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charlenegillego/The MAGS Group Dropbox/Top Score/Top Score Implimentation/Digital 25-26/"/>
    </mc:Choice>
  </mc:AlternateContent>
  <xr:revisionPtr revIDLastSave="0" documentId="13_ncr:1_{1CE231D0-59C2-BE4B-BB2D-458F2FBAB093}" xr6:coauthVersionLast="47" xr6:coauthVersionMax="47" xr10:uidLastSave="{00000000-0000-0000-0000-000000000000}"/>
  <bookViews>
    <workbookView xWindow="1500" yWindow="940" windowWidth="26420" windowHeight="15300" activeTab="2" xr2:uid="{6F10935E-8988-4396-AFC3-051F5F2A6B15}"/>
  </bookViews>
  <sheets>
    <sheet name="Sample Email" sheetId="9" state="hidden" r:id="rId1"/>
    <sheet name="Courses Legend" sheetId="7" state="hidden" r:id="rId2"/>
    <sheet name="Teachers" sheetId="3" r:id="rId3"/>
    <sheet name="Users" sheetId="12" r:id="rId4"/>
    <sheet name="Courses" sheetId="10" r:id="rId5"/>
    <sheet name="Enrollment" sheetId="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8" i="10" l="1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10" i="11"/>
  <c r="A109" i="11"/>
  <c r="A108" i="11"/>
  <c r="A107" i="11"/>
  <c r="A106" i="11"/>
  <c r="A105" i="11"/>
  <c r="A104" i="11"/>
  <c r="A103" i="11"/>
  <c r="A102" i="11"/>
  <c r="A101" i="11"/>
  <c r="A100" i="11"/>
  <c r="G117" i="11"/>
  <c r="D117" i="11"/>
  <c r="B117" i="11"/>
  <c r="A117" i="11"/>
  <c r="G116" i="11"/>
  <c r="D116" i="11"/>
  <c r="B116" i="11"/>
  <c r="A116" i="11"/>
  <c r="G115" i="11"/>
  <c r="D115" i="11"/>
  <c r="B115" i="11"/>
  <c r="A115" i="11"/>
  <c r="G114" i="11"/>
  <c r="D114" i="11"/>
  <c r="B114" i="11"/>
  <c r="A114" i="11"/>
  <c r="G113" i="11"/>
  <c r="D113" i="11"/>
  <c r="B113" i="11"/>
  <c r="A113" i="11"/>
  <c r="G112" i="11"/>
  <c r="D112" i="11"/>
  <c r="B112" i="11"/>
  <c r="A112" i="11"/>
  <c r="G111" i="11"/>
  <c r="D111" i="11"/>
  <c r="B111" i="11"/>
  <c r="A111" i="11"/>
  <c r="G110" i="11"/>
  <c r="D110" i="11"/>
  <c r="B110" i="11"/>
  <c r="G109" i="11"/>
  <c r="D109" i="11"/>
  <c r="B109" i="11"/>
  <c r="G108" i="11"/>
  <c r="D108" i="11"/>
  <c r="B108" i="11"/>
  <c r="G107" i="11"/>
  <c r="D107" i="11"/>
  <c r="B107" i="11"/>
  <c r="G106" i="11"/>
  <c r="D106" i="11"/>
  <c r="B106" i="11"/>
  <c r="G105" i="11"/>
  <c r="D105" i="11"/>
  <c r="B105" i="11"/>
  <c r="G104" i="11"/>
  <c r="D104" i="11"/>
  <c r="B104" i="11"/>
  <c r="G103" i="11"/>
  <c r="D103" i="11"/>
  <c r="B103" i="11"/>
  <c r="G102" i="11"/>
  <c r="D102" i="11"/>
  <c r="B102" i="11"/>
  <c r="G101" i="11"/>
  <c r="D101" i="11"/>
  <c r="B101" i="11"/>
  <c r="J123" i="10"/>
  <c r="F123" i="10"/>
  <c r="B123" i="10" a="1"/>
  <c r="B123" i="10" s="1"/>
  <c r="C123" i="10" s="1"/>
  <c r="A123" i="10"/>
  <c r="J122" i="10"/>
  <c r="F122" i="10"/>
  <c r="B122" i="10" a="1"/>
  <c r="B122" i="10" s="1"/>
  <c r="C122" i="10" s="1"/>
  <c r="A122" i="10"/>
  <c r="J121" i="10"/>
  <c r="F121" i="10"/>
  <c r="B121" i="10" a="1"/>
  <c r="B121" i="10" s="1"/>
  <c r="C121" i="10" s="1"/>
  <c r="A121" i="10"/>
  <c r="J120" i="10"/>
  <c r="F120" i="10"/>
  <c r="B120" i="10" a="1"/>
  <c r="B120" i="10" s="1"/>
  <c r="C120" i="10" s="1"/>
  <c r="A120" i="10"/>
  <c r="J119" i="10"/>
  <c r="F119" i="10"/>
  <c r="B119" i="10" a="1"/>
  <c r="B119" i="10" s="1"/>
  <c r="C119" i="10" s="1"/>
  <c r="A119" i="10"/>
  <c r="J118" i="10"/>
  <c r="F118" i="10"/>
  <c r="B118" i="10" a="1"/>
  <c r="B118" i="10" s="1"/>
  <c r="C118" i="10" s="1"/>
  <c r="A118" i="10"/>
  <c r="J117" i="10"/>
  <c r="F117" i="10"/>
  <c r="B117" i="10" a="1"/>
  <c r="B117" i="10" s="1"/>
  <c r="C117" i="10" s="1"/>
  <c r="A117" i="10"/>
  <c r="J116" i="10"/>
  <c r="F116" i="10"/>
  <c r="B116" i="10" a="1"/>
  <c r="B116" i="10" s="1"/>
  <c r="C116" i="10" s="1"/>
  <c r="A116" i="10"/>
  <c r="J115" i="10"/>
  <c r="F115" i="10"/>
  <c r="B115" i="10" a="1"/>
  <c r="B115" i="10" s="1"/>
  <c r="C115" i="10" s="1"/>
  <c r="A115" i="10"/>
  <c r="J114" i="10"/>
  <c r="F114" i="10"/>
  <c r="B114" i="10" a="1"/>
  <c r="B114" i="10" s="1"/>
  <c r="C114" i="10" s="1"/>
  <c r="A114" i="10"/>
  <c r="J113" i="10"/>
  <c r="F113" i="10"/>
  <c r="B113" i="10" a="1"/>
  <c r="B113" i="10" s="1"/>
  <c r="C113" i="10" s="1"/>
  <c r="A113" i="10"/>
  <c r="J112" i="10"/>
  <c r="F112" i="10"/>
  <c r="B112" i="10" a="1"/>
  <c r="B112" i="10" s="1"/>
  <c r="C112" i="10" s="1"/>
  <c r="A112" i="10"/>
  <c r="J111" i="10"/>
  <c r="F111" i="10"/>
  <c r="B111" i="10" a="1"/>
  <c r="B111" i="10" s="1"/>
  <c r="C111" i="10" s="1"/>
  <c r="A111" i="10"/>
  <c r="J110" i="10"/>
  <c r="F110" i="10"/>
  <c r="B110" i="10" a="1"/>
  <c r="B110" i="10" s="1"/>
  <c r="C110" i="10" s="1"/>
  <c r="A110" i="10"/>
  <c r="J109" i="10"/>
  <c r="F109" i="10"/>
  <c r="B109" i="10" a="1"/>
  <c r="B109" i="10" s="1"/>
  <c r="C109" i="10" s="1"/>
  <c r="A109" i="10"/>
  <c r="J108" i="10"/>
  <c r="F108" i="10"/>
  <c r="B108" i="10" a="1"/>
  <c r="B108" i="10" s="1"/>
  <c r="C108" i="10" s="1"/>
  <c r="A108" i="10"/>
  <c r="J107" i="10"/>
  <c r="F107" i="10"/>
  <c r="B107" i="10" a="1"/>
  <c r="B107" i="10" s="1"/>
  <c r="C107" i="10" s="1"/>
  <c r="A107" i="10"/>
  <c r="J106" i="10"/>
  <c r="F106" i="10"/>
  <c r="B106" i="10" a="1"/>
  <c r="B106" i="10" s="1"/>
  <c r="C106" i="10" s="1"/>
  <c r="A106" i="10"/>
  <c r="J105" i="10"/>
  <c r="F105" i="10"/>
  <c r="B105" i="10" a="1"/>
  <c r="B105" i="10" s="1"/>
  <c r="C105" i="10" s="1"/>
  <c r="A105" i="10"/>
  <c r="J104" i="10"/>
  <c r="F104" i="10"/>
  <c r="B104" i="10" a="1"/>
  <c r="B104" i="10" s="1"/>
  <c r="C104" i="10" s="1"/>
  <c r="A104" i="10"/>
  <c r="J103" i="10"/>
  <c r="F103" i="10"/>
  <c r="B103" i="10" a="1"/>
  <c r="B103" i="10" s="1"/>
  <c r="C103" i="10" s="1"/>
  <c r="A103" i="10"/>
  <c r="J102" i="10"/>
  <c r="F102" i="10"/>
  <c r="B102" i="10" a="1"/>
  <c r="B102" i="10" s="1"/>
  <c r="C102" i="10" s="1"/>
  <c r="A102" i="10"/>
  <c r="J101" i="10"/>
  <c r="F101" i="10"/>
  <c r="B101" i="10" a="1"/>
  <c r="B101" i="10" s="1"/>
  <c r="C101" i="10" s="1"/>
  <c r="A101" i="10"/>
  <c r="J200" i="12"/>
  <c r="G200" i="12"/>
  <c r="F200" i="12"/>
  <c r="E200" i="12"/>
  <c r="C200" i="12"/>
  <c r="K200" i="12" s="1"/>
  <c r="A200" i="12"/>
  <c r="J199" i="12"/>
  <c r="G199" i="12"/>
  <c r="F199" i="12"/>
  <c r="E199" i="12"/>
  <c r="C199" i="12"/>
  <c r="A199" i="12"/>
  <c r="J198" i="12"/>
  <c r="G198" i="12"/>
  <c r="F198" i="12"/>
  <c r="E198" i="12"/>
  <c r="C198" i="12"/>
  <c r="A198" i="12"/>
  <c r="J197" i="12"/>
  <c r="G197" i="12"/>
  <c r="F197" i="12"/>
  <c r="E197" i="12"/>
  <c r="C197" i="12"/>
  <c r="A197" i="12"/>
  <c r="J196" i="12"/>
  <c r="G196" i="12"/>
  <c r="F196" i="12"/>
  <c r="E196" i="12"/>
  <c r="C196" i="12"/>
  <c r="A196" i="12"/>
  <c r="J195" i="12"/>
  <c r="G195" i="12"/>
  <c r="F195" i="12"/>
  <c r="E195" i="12"/>
  <c r="C195" i="12"/>
  <c r="A195" i="12"/>
  <c r="J194" i="12"/>
  <c r="G194" i="12"/>
  <c r="F194" i="12"/>
  <c r="E194" i="12"/>
  <c r="C194" i="12"/>
  <c r="A194" i="12"/>
  <c r="J193" i="12"/>
  <c r="G193" i="12"/>
  <c r="F193" i="12"/>
  <c r="E193" i="12"/>
  <c r="C193" i="12"/>
  <c r="A193" i="12"/>
  <c r="J192" i="12"/>
  <c r="G192" i="12"/>
  <c r="F192" i="12"/>
  <c r="E192" i="12"/>
  <c r="C192" i="12"/>
  <c r="A192" i="12"/>
  <c r="J191" i="12"/>
  <c r="G191" i="12"/>
  <c r="F191" i="12"/>
  <c r="E191" i="12"/>
  <c r="C191" i="12"/>
  <c r="A191" i="12"/>
  <c r="J190" i="12"/>
  <c r="G190" i="12"/>
  <c r="F190" i="12"/>
  <c r="E190" i="12"/>
  <c r="C190" i="12"/>
  <c r="A190" i="12"/>
  <c r="J189" i="12"/>
  <c r="G189" i="12"/>
  <c r="F189" i="12"/>
  <c r="E189" i="12"/>
  <c r="C189" i="12"/>
  <c r="A189" i="12"/>
  <c r="J188" i="12"/>
  <c r="G188" i="12"/>
  <c r="F188" i="12"/>
  <c r="E188" i="12"/>
  <c r="C188" i="12"/>
  <c r="A188" i="12"/>
  <c r="J187" i="12"/>
  <c r="G187" i="12"/>
  <c r="F187" i="12"/>
  <c r="E187" i="12"/>
  <c r="C187" i="12"/>
  <c r="A187" i="12"/>
  <c r="J186" i="12"/>
  <c r="G186" i="12"/>
  <c r="F186" i="12"/>
  <c r="E186" i="12"/>
  <c r="C186" i="12"/>
  <c r="A186" i="12"/>
  <c r="J185" i="12"/>
  <c r="G185" i="12"/>
  <c r="F185" i="12"/>
  <c r="E185" i="12"/>
  <c r="C185" i="12"/>
  <c r="A185" i="12"/>
  <c r="J184" i="12"/>
  <c r="G184" i="12"/>
  <c r="F184" i="12"/>
  <c r="E184" i="12"/>
  <c r="C184" i="12"/>
  <c r="A184" i="12"/>
  <c r="J183" i="12"/>
  <c r="G183" i="12"/>
  <c r="F183" i="12"/>
  <c r="E183" i="12"/>
  <c r="C183" i="12"/>
  <c r="A183" i="12"/>
  <c r="J182" i="12"/>
  <c r="G182" i="12"/>
  <c r="F182" i="12"/>
  <c r="E182" i="12"/>
  <c r="C182" i="12"/>
  <c r="A182" i="12"/>
  <c r="J181" i="12"/>
  <c r="G181" i="12"/>
  <c r="F181" i="12"/>
  <c r="E181" i="12"/>
  <c r="C181" i="12"/>
  <c r="A181" i="12"/>
  <c r="J180" i="12"/>
  <c r="G180" i="12"/>
  <c r="F180" i="12"/>
  <c r="E180" i="12"/>
  <c r="C180" i="12"/>
  <c r="A180" i="12"/>
  <c r="J179" i="12"/>
  <c r="G179" i="12"/>
  <c r="F179" i="12"/>
  <c r="E179" i="12"/>
  <c r="C179" i="12"/>
  <c r="A179" i="12"/>
  <c r="J178" i="12"/>
  <c r="G178" i="12"/>
  <c r="F178" i="12"/>
  <c r="E178" i="12"/>
  <c r="C178" i="12"/>
  <c r="A178" i="12"/>
  <c r="J177" i="12"/>
  <c r="G177" i="12"/>
  <c r="F177" i="12"/>
  <c r="E177" i="12"/>
  <c r="C177" i="12"/>
  <c r="A177" i="12"/>
  <c r="J176" i="12"/>
  <c r="G176" i="12"/>
  <c r="F176" i="12"/>
  <c r="E176" i="12"/>
  <c r="C176" i="12"/>
  <c r="A176" i="12"/>
  <c r="J175" i="12"/>
  <c r="G175" i="12"/>
  <c r="F175" i="12"/>
  <c r="E175" i="12"/>
  <c r="C175" i="12"/>
  <c r="A175" i="12"/>
  <c r="J174" i="12"/>
  <c r="G174" i="12"/>
  <c r="F174" i="12"/>
  <c r="E174" i="12"/>
  <c r="C174" i="12"/>
  <c r="A174" i="12"/>
  <c r="J173" i="12"/>
  <c r="G173" i="12"/>
  <c r="F173" i="12"/>
  <c r="E173" i="12"/>
  <c r="C173" i="12"/>
  <c r="A173" i="12"/>
  <c r="J172" i="12"/>
  <c r="G172" i="12"/>
  <c r="F172" i="12"/>
  <c r="E172" i="12"/>
  <c r="C172" i="12"/>
  <c r="A172" i="12"/>
  <c r="J171" i="12"/>
  <c r="G171" i="12"/>
  <c r="F171" i="12"/>
  <c r="E171" i="12"/>
  <c r="C171" i="12"/>
  <c r="A171" i="12"/>
  <c r="J170" i="12"/>
  <c r="G170" i="12"/>
  <c r="F170" i="12"/>
  <c r="E170" i="12"/>
  <c r="C170" i="12"/>
  <c r="A170" i="12"/>
  <c r="J169" i="12"/>
  <c r="G169" i="12"/>
  <c r="F169" i="12"/>
  <c r="E169" i="12"/>
  <c r="C169" i="12"/>
  <c r="A169" i="12"/>
  <c r="J168" i="12"/>
  <c r="G168" i="12"/>
  <c r="F168" i="12"/>
  <c r="E168" i="12"/>
  <c r="C168" i="12"/>
  <c r="A168" i="12"/>
  <c r="J167" i="12"/>
  <c r="G167" i="12"/>
  <c r="F167" i="12"/>
  <c r="E167" i="12"/>
  <c r="C167" i="12"/>
  <c r="A167" i="12"/>
  <c r="J166" i="12"/>
  <c r="G166" i="12"/>
  <c r="F166" i="12"/>
  <c r="E166" i="12"/>
  <c r="C166" i="12"/>
  <c r="A166" i="12"/>
  <c r="J165" i="12"/>
  <c r="G165" i="12"/>
  <c r="F165" i="12"/>
  <c r="E165" i="12"/>
  <c r="C165" i="12"/>
  <c r="A165" i="12"/>
  <c r="J164" i="12"/>
  <c r="G164" i="12"/>
  <c r="F164" i="12"/>
  <c r="E164" i="12"/>
  <c r="C164" i="12"/>
  <c r="A164" i="12"/>
  <c r="J163" i="12"/>
  <c r="G163" i="12"/>
  <c r="F163" i="12"/>
  <c r="E163" i="12"/>
  <c r="C163" i="12"/>
  <c r="A163" i="12"/>
  <c r="J162" i="12"/>
  <c r="G162" i="12"/>
  <c r="F162" i="12"/>
  <c r="E162" i="12"/>
  <c r="C162" i="12"/>
  <c r="A162" i="12"/>
  <c r="J161" i="12"/>
  <c r="G161" i="12"/>
  <c r="F161" i="12"/>
  <c r="E161" i="12"/>
  <c r="C161" i="12"/>
  <c r="A161" i="12"/>
  <c r="J160" i="12"/>
  <c r="G160" i="12"/>
  <c r="F160" i="12"/>
  <c r="E160" i="12"/>
  <c r="C160" i="12"/>
  <c r="A160" i="12"/>
  <c r="J159" i="12"/>
  <c r="G159" i="12"/>
  <c r="F159" i="12"/>
  <c r="E159" i="12"/>
  <c r="C159" i="12"/>
  <c r="A159" i="12"/>
  <c r="J158" i="12"/>
  <c r="G158" i="12"/>
  <c r="F158" i="12"/>
  <c r="E158" i="12"/>
  <c r="C158" i="12"/>
  <c r="A158" i="12"/>
  <c r="J157" i="12"/>
  <c r="G157" i="12"/>
  <c r="F157" i="12"/>
  <c r="E157" i="12"/>
  <c r="C157" i="12"/>
  <c r="A157" i="12"/>
  <c r="J156" i="12"/>
  <c r="G156" i="12"/>
  <c r="F156" i="12"/>
  <c r="E156" i="12"/>
  <c r="C156" i="12"/>
  <c r="A156" i="12"/>
  <c r="J155" i="12"/>
  <c r="G155" i="12"/>
  <c r="F155" i="12"/>
  <c r="E155" i="12"/>
  <c r="C155" i="12"/>
  <c r="A155" i="12"/>
  <c r="J154" i="12"/>
  <c r="G154" i="12"/>
  <c r="F154" i="12"/>
  <c r="E154" i="12"/>
  <c r="C154" i="12"/>
  <c r="A154" i="12"/>
  <c r="J153" i="12"/>
  <c r="G153" i="12"/>
  <c r="F153" i="12"/>
  <c r="E153" i="12"/>
  <c r="C153" i="12"/>
  <c r="A153" i="12"/>
  <c r="J152" i="12"/>
  <c r="G152" i="12"/>
  <c r="F152" i="12"/>
  <c r="E152" i="12"/>
  <c r="C152" i="12"/>
  <c r="A152" i="12"/>
  <c r="J151" i="12"/>
  <c r="G151" i="12"/>
  <c r="F151" i="12"/>
  <c r="E151" i="12"/>
  <c r="C151" i="12"/>
  <c r="A151" i="12"/>
  <c r="J150" i="12"/>
  <c r="G150" i="12"/>
  <c r="F150" i="12"/>
  <c r="E150" i="12"/>
  <c r="C150" i="12"/>
  <c r="A150" i="12"/>
  <c r="J149" i="12"/>
  <c r="G149" i="12"/>
  <c r="F149" i="12"/>
  <c r="E149" i="12"/>
  <c r="C149" i="12"/>
  <c r="A149" i="12"/>
  <c r="J148" i="12"/>
  <c r="G148" i="12"/>
  <c r="F148" i="12"/>
  <c r="E148" i="12"/>
  <c r="C148" i="12"/>
  <c r="A148" i="12"/>
  <c r="J147" i="12"/>
  <c r="G147" i="12"/>
  <c r="F147" i="12"/>
  <c r="E147" i="12"/>
  <c r="C147" i="12"/>
  <c r="A147" i="12"/>
  <c r="J146" i="12"/>
  <c r="G146" i="12"/>
  <c r="F146" i="12"/>
  <c r="E146" i="12"/>
  <c r="C146" i="12"/>
  <c r="A146" i="12"/>
  <c r="J145" i="12"/>
  <c r="G145" i="12"/>
  <c r="F145" i="12"/>
  <c r="E145" i="12"/>
  <c r="C145" i="12"/>
  <c r="A145" i="12"/>
  <c r="J144" i="12"/>
  <c r="G144" i="12"/>
  <c r="F144" i="12"/>
  <c r="E144" i="12"/>
  <c r="C144" i="12"/>
  <c r="A144" i="12"/>
  <c r="J143" i="12"/>
  <c r="G143" i="12"/>
  <c r="F143" i="12"/>
  <c r="E143" i="12"/>
  <c r="C143" i="12"/>
  <c r="A143" i="12"/>
  <c r="J142" i="12"/>
  <c r="G142" i="12"/>
  <c r="F142" i="12"/>
  <c r="E142" i="12"/>
  <c r="C142" i="12"/>
  <c r="A142" i="12"/>
  <c r="J141" i="12"/>
  <c r="G141" i="12"/>
  <c r="F141" i="12"/>
  <c r="E141" i="12"/>
  <c r="C141" i="12"/>
  <c r="A141" i="12"/>
  <c r="J140" i="12"/>
  <c r="G140" i="12"/>
  <c r="F140" i="12"/>
  <c r="E140" i="12"/>
  <c r="C140" i="12"/>
  <c r="A140" i="12"/>
  <c r="J139" i="12"/>
  <c r="G139" i="12"/>
  <c r="F139" i="12"/>
  <c r="E139" i="12"/>
  <c r="C139" i="12"/>
  <c r="A139" i="12"/>
  <c r="J138" i="12"/>
  <c r="G138" i="12"/>
  <c r="F138" i="12"/>
  <c r="E138" i="12"/>
  <c r="C138" i="12"/>
  <c r="A138" i="12"/>
  <c r="J137" i="12"/>
  <c r="G137" i="12"/>
  <c r="F137" i="12"/>
  <c r="E137" i="12"/>
  <c r="C137" i="12"/>
  <c r="A137" i="12"/>
  <c r="J136" i="12"/>
  <c r="G136" i="12"/>
  <c r="F136" i="12"/>
  <c r="E136" i="12"/>
  <c r="C136" i="12"/>
  <c r="A136" i="12"/>
  <c r="J135" i="12"/>
  <c r="G135" i="12"/>
  <c r="F135" i="12"/>
  <c r="E135" i="12"/>
  <c r="C135" i="12"/>
  <c r="A135" i="12"/>
  <c r="J134" i="12"/>
  <c r="G134" i="12"/>
  <c r="F134" i="12"/>
  <c r="E134" i="12"/>
  <c r="C134" i="12"/>
  <c r="A134" i="12"/>
  <c r="J133" i="12"/>
  <c r="G133" i="12"/>
  <c r="F133" i="12"/>
  <c r="E133" i="12"/>
  <c r="C133" i="12"/>
  <c r="A133" i="12"/>
  <c r="J132" i="12"/>
  <c r="G132" i="12"/>
  <c r="F132" i="12"/>
  <c r="E132" i="12"/>
  <c r="C132" i="12"/>
  <c r="A132" i="12"/>
  <c r="J131" i="12"/>
  <c r="G131" i="12"/>
  <c r="F131" i="12"/>
  <c r="E131" i="12"/>
  <c r="C131" i="12"/>
  <c r="A131" i="12"/>
  <c r="J130" i="12"/>
  <c r="G130" i="12"/>
  <c r="F130" i="12"/>
  <c r="E130" i="12"/>
  <c r="C130" i="12"/>
  <c r="A130" i="12"/>
  <c r="J129" i="12"/>
  <c r="G129" i="12"/>
  <c r="F129" i="12"/>
  <c r="E129" i="12"/>
  <c r="C129" i="12"/>
  <c r="A129" i="12"/>
  <c r="J128" i="12"/>
  <c r="G128" i="12"/>
  <c r="F128" i="12"/>
  <c r="E128" i="12"/>
  <c r="C128" i="12"/>
  <c r="A128" i="12"/>
  <c r="J127" i="12"/>
  <c r="G127" i="12"/>
  <c r="F127" i="12"/>
  <c r="E127" i="12"/>
  <c r="C127" i="12"/>
  <c r="A127" i="12"/>
  <c r="J126" i="12"/>
  <c r="G126" i="12"/>
  <c r="F126" i="12"/>
  <c r="E126" i="12"/>
  <c r="C126" i="12"/>
  <c r="A126" i="12"/>
  <c r="J125" i="12"/>
  <c r="G125" i="12"/>
  <c r="F125" i="12"/>
  <c r="E125" i="12"/>
  <c r="C125" i="12"/>
  <c r="A125" i="12"/>
  <c r="J124" i="12"/>
  <c r="G124" i="12"/>
  <c r="F124" i="12"/>
  <c r="E124" i="12"/>
  <c r="C124" i="12"/>
  <c r="A124" i="12"/>
  <c r="J123" i="12"/>
  <c r="G123" i="12"/>
  <c r="F123" i="12"/>
  <c r="E123" i="12"/>
  <c r="C123" i="12"/>
  <c r="A123" i="12"/>
  <c r="J122" i="12"/>
  <c r="G122" i="12"/>
  <c r="F122" i="12"/>
  <c r="E122" i="12"/>
  <c r="C122" i="12"/>
  <c r="A122" i="12"/>
  <c r="J121" i="12"/>
  <c r="G121" i="12"/>
  <c r="F121" i="12"/>
  <c r="E121" i="12"/>
  <c r="C121" i="12"/>
  <c r="A121" i="12"/>
  <c r="J120" i="12"/>
  <c r="G120" i="12"/>
  <c r="F120" i="12"/>
  <c r="E120" i="12"/>
  <c r="C120" i="12"/>
  <c r="A120" i="12"/>
  <c r="J119" i="12"/>
  <c r="G119" i="12"/>
  <c r="F119" i="12"/>
  <c r="E119" i="12"/>
  <c r="C119" i="12"/>
  <c r="A119" i="12"/>
  <c r="J118" i="12"/>
  <c r="G118" i="12"/>
  <c r="F118" i="12"/>
  <c r="E118" i="12"/>
  <c r="C118" i="12"/>
  <c r="A118" i="12"/>
  <c r="J117" i="12"/>
  <c r="G117" i="12"/>
  <c r="F117" i="12"/>
  <c r="E117" i="12"/>
  <c r="C117" i="12"/>
  <c r="A117" i="12"/>
  <c r="C117" i="11" s="1"/>
  <c r="J116" i="12"/>
  <c r="G116" i="12"/>
  <c r="F116" i="12"/>
  <c r="E116" i="12"/>
  <c r="C116" i="12"/>
  <c r="D116" i="12" s="1"/>
  <c r="A116" i="12"/>
  <c r="C116" i="11" s="1"/>
  <c r="K115" i="12"/>
  <c r="J115" i="12"/>
  <c r="G115" i="12"/>
  <c r="F115" i="12"/>
  <c r="E115" i="12"/>
  <c r="C115" i="12"/>
  <c r="D115" i="12" s="1"/>
  <c r="A115" i="12"/>
  <c r="C115" i="11" s="1"/>
  <c r="K114" i="12"/>
  <c r="J114" i="12"/>
  <c r="G114" i="12"/>
  <c r="F114" i="12"/>
  <c r="E114" i="12"/>
  <c r="C114" i="12"/>
  <c r="D114" i="12" s="1"/>
  <c r="A114" i="12"/>
  <c r="C114" i="11" s="1"/>
  <c r="K113" i="12"/>
  <c r="J113" i="12"/>
  <c r="G113" i="12"/>
  <c r="F113" i="12"/>
  <c r="E113" i="12"/>
  <c r="C113" i="12"/>
  <c r="D113" i="12" s="1"/>
  <c r="A113" i="12"/>
  <c r="C113" i="11" s="1"/>
  <c r="K112" i="12"/>
  <c r="J112" i="12"/>
  <c r="G112" i="12"/>
  <c r="F112" i="12"/>
  <c r="E112" i="12"/>
  <c r="C112" i="12"/>
  <c r="D112" i="12" s="1"/>
  <c r="A112" i="12"/>
  <c r="C112" i="11" s="1"/>
  <c r="J111" i="12"/>
  <c r="G111" i="12"/>
  <c r="F111" i="12"/>
  <c r="E111" i="12"/>
  <c r="C111" i="12"/>
  <c r="D111" i="12" s="1"/>
  <c r="A111" i="12"/>
  <c r="C111" i="11" s="1"/>
  <c r="K110" i="12"/>
  <c r="J110" i="12"/>
  <c r="G110" i="12"/>
  <c r="F110" i="12"/>
  <c r="E110" i="12"/>
  <c r="C110" i="12"/>
  <c r="D110" i="12" s="1"/>
  <c r="A110" i="12"/>
  <c r="C110" i="11" s="1"/>
  <c r="K109" i="12"/>
  <c r="J109" i="12"/>
  <c r="G109" i="12"/>
  <c r="F109" i="12"/>
  <c r="E109" i="12"/>
  <c r="C109" i="12"/>
  <c r="D109" i="12" s="1"/>
  <c r="A109" i="12"/>
  <c r="C109" i="11" s="1"/>
  <c r="K108" i="12"/>
  <c r="J108" i="12"/>
  <c r="G108" i="12"/>
  <c r="F108" i="12"/>
  <c r="E108" i="12"/>
  <c r="C108" i="12"/>
  <c r="D108" i="12" s="1"/>
  <c r="A108" i="12"/>
  <c r="C108" i="11" s="1"/>
  <c r="J107" i="12"/>
  <c r="G107" i="12"/>
  <c r="F107" i="12"/>
  <c r="E107" i="12"/>
  <c r="C107" i="12"/>
  <c r="D107" i="12" s="1"/>
  <c r="A107" i="12"/>
  <c r="C107" i="11" s="1"/>
  <c r="J106" i="12"/>
  <c r="G106" i="12"/>
  <c r="F106" i="12"/>
  <c r="E106" i="12"/>
  <c r="C106" i="12"/>
  <c r="D106" i="12" s="1"/>
  <c r="A106" i="12"/>
  <c r="C106" i="11" s="1"/>
  <c r="K105" i="12"/>
  <c r="J105" i="12"/>
  <c r="G105" i="12"/>
  <c r="F105" i="12"/>
  <c r="E105" i="12"/>
  <c r="C105" i="12"/>
  <c r="D105" i="12" s="1"/>
  <c r="A105" i="12"/>
  <c r="C105" i="11" s="1"/>
  <c r="J104" i="12"/>
  <c r="G104" i="12"/>
  <c r="F104" i="12"/>
  <c r="E104" i="12"/>
  <c r="C104" i="12"/>
  <c r="D104" i="12" s="1"/>
  <c r="A104" i="12"/>
  <c r="C104" i="11" s="1"/>
  <c r="J103" i="12"/>
  <c r="G103" i="12"/>
  <c r="F103" i="12"/>
  <c r="E103" i="12"/>
  <c r="C103" i="12"/>
  <c r="D103" i="12" s="1"/>
  <c r="A103" i="12"/>
  <c r="C103" i="11" s="1"/>
  <c r="K102" i="12"/>
  <c r="J102" i="12"/>
  <c r="G102" i="12"/>
  <c r="F102" i="12"/>
  <c r="E102" i="12"/>
  <c r="C102" i="12"/>
  <c r="D102" i="12" s="1"/>
  <c r="A102" i="12"/>
  <c r="C102" i="11" s="1"/>
  <c r="K101" i="12"/>
  <c r="J101" i="12"/>
  <c r="G101" i="12"/>
  <c r="F101" i="12"/>
  <c r="E101" i="12"/>
  <c r="C101" i="12"/>
  <c r="D101" i="12" s="1"/>
  <c r="A101" i="12"/>
  <c r="C101" i="11" s="1"/>
  <c r="K104" i="12" l="1"/>
  <c r="K103" i="12"/>
  <c r="K111" i="12"/>
  <c r="K107" i="12"/>
  <c r="K106" i="12"/>
  <c r="K117" i="12"/>
  <c r="D117" i="12"/>
  <c r="K121" i="12"/>
  <c r="D121" i="12"/>
  <c r="K125" i="12"/>
  <c r="D125" i="12"/>
  <c r="K129" i="12"/>
  <c r="D129" i="12"/>
  <c r="K133" i="12"/>
  <c r="D133" i="12"/>
  <c r="K137" i="12"/>
  <c r="D137" i="12"/>
  <c r="K141" i="12"/>
  <c r="D141" i="12"/>
  <c r="K145" i="12"/>
  <c r="D145" i="12"/>
  <c r="K149" i="12"/>
  <c r="D149" i="12"/>
  <c r="K153" i="12"/>
  <c r="D153" i="12"/>
  <c r="K157" i="12"/>
  <c r="D157" i="12"/>
  <c r="K161" i="12"/>
  <c r="D161" i="12"/>
  <c r="K165" i="12"/>
  <c r="D165" i="12"/>
  <c r="K169" i="12"/>
  <c r="D169" i="12"/>
  <c r="K173" i="12"/>
  <c r="D173" i="12"/>
  <c r="K177" i="12"/>
  <c r="D177" i="12"/>
  <c r="K181" i="12"/>
  <c r="D181" i="12"/>
  <c r="K185" i="12"/>
  <c r="D185" i="12"/>
  <c r="K189" i="12"/>
  <c r="D189" i="12"/>
  <c r="K193" i="12"/>
  <c r="D193" i="12"/>
  <c r="K197" i="12"/>
  <c r="D197" i="12"/>
  <c r="K140" i="12"/>
  <c r="D140" i="12"/>
  <c r="K152" i="12"/>
  <c r="D152" i="12"/>
  <c r="K156" i="12"/>
  <c r="D156" i="12"/>
  <c r="K160" i="12"/>
  <c r="D160" i="12"/>
  <c r="K164" i="12"/>
  <c r="D164" i="12"/>
  <c r="K168" i="12"/>
  <c r="D168" i="12"/>
  <c r="K172" i="12"/>
  <c r="D172" i="12"/>
  <c r="K176" i="12"/>
  <c r="D176" i="12"/>
  <c r="K180" i="12"/>
  <c r="D180" i="12"/>
  <c r="K184" i="12"/>
  <c r="D184" i="12"/>
  <c r="K188" i="12"/>
  <c r="D188" i="12"/>
  <c r="K192" i="12"/>
  <c r="D192" i="12"/>
  <c r="K196" i="12"/>
  <c r="D196" i="12"/>
  <c r="K144" i="12"/>
  <c r="D144" i="12"/>
  <c r="K120" i="12"/>
  <c r="D120" i="12"/>
  <c r="K124" i="12"/>
  <c r="D124" i="12"/>
  <c r="K128" i="12"/>
  <c r="D128" i="12"/>
  <c r="K136" i="12"/>
  <c r="D136" i="12"/>
  <c r="K127" i="12"/>
  <c r="D127" i="12"/>
  <c r="K151" i="12"/>
  <c r="D151" i="12"/>
  <c r="K199" i="12"/>
  <c r="D199" i="12"/>
  <c r="K132" i="12"/>
  <c r="D132" i="12"/>
  <c r="K148" i="12"/>
  <c r="D148" i="12"/>
  <c r="K119" i="12"/>
  <c r="D119" i="12"/>
  <c r="K123" i="12"/>
  <c r="D123" i="12"/>
  <c r="K131" i="12"/>
  <c r="D131" i="12"/>
  <c r="K135" i="12"/>
  <c r="D135" i="12"/>
  <c r="K139" i="12"/>
  <c r="D139" i="12"/>
  <c r="K143" i="12"/>
  <c r="D143" i="12"/>
  <c r="K147" i="12"/>
  <c r="D147" i="12"/>
  <c r="K155" i="12"/>
  <c r="D155" i="12"/>
  <c r="K159" i="12"/>
  <c r="D159" i="12"/>
  <c r="K163" i="12"/>
  <c r="D163" i="12"/>
  <c r="K167" i="12"/>
  <c r="D167" i="12"/>
  <c r="K171" i="12"/>
  <c r="D171" i="12"/>
  <c r="K175" i="12"/>
  <c r="D175" i="12"/>
  <c r="K179" i="12"/>
  <c r="D179" i="12"/>
  <c r="K183" i="12"/>
  <c r="D183" i="12"/>
  <c r="K187" i="12"/>
  <c r="D187" i="12"/>
  <c r="K191" i="12"/>
  <c r="D191" i="12"/>
  <c r="K195" i="12"/>
  <c r="D195" i="12"/>
  <c r="K116" i="12"/>
  <c r="K118" i="12"/>
  <c r="D118" i="12"/>
  <c r="K122" i="12"/>
  <c r="D122" i="12"/>
  <c r="K126" i="12"/>
  <c r="D126" i="12"/>
  <c r="K130" i="12"/>
  <c r="D130" i="12"/>
  <c r="K134" i="12"/>
  <c r="D134" i="12"/>
  <c r="K138" i="12"/>
  <c r="D138" i="12"/>
  <c r="K142" i="12"/>
  <c r="D142" i="12"/>
  <c r="K146" i="12"/>
  <c r="D146" i="12"/>
  <c r="K150" i="12"/>
  <c r="D150" i="12"/>
  <c r="K154" i="12"/>
  <c r="D154" i="12"/>
  <c r="K158" i="12"/>
  <c r="D158" i="12"/>
  <c r="K162" i="12"/>
  <c r="D162" i="12"/>
  <c r="K166" i="12"/>
  <c r="D166" i="12"/>
  <c r="K170" i="12"/>
  <c r="D170" i="12"/>
  <c r="K174" i="12"/>
  <c r="D174" i="12"/>
  <c r="K178" i="12"/>
  <c r="D178" i="12"/>
  <c r="K182" i="12"/>
  <c r="D182" i="12"/>
  <c r="K186" i="12"/>
  <c r="D186" i="12"/>
  <c r="K190" i="12"/>
  <c r="D190" i="12"/>
  <c r="K194" i="12"/>
  <c r="D194" i="12"/>
  <c r="K198" i="12"/>
  <c r="D198" i="12"/>
  <c r="D200" i="12"/>
  <c r="G100" i="12" l="1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A99" i="11" l="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 a="1"/>
  <c r="B95" i="10" s="1"/>
  <c r="B94" i="10" a="1"/>
  <c r="B94" i="10" s="1"/>
  <c r="B93" i="10" a="1"/>
  <c r="B93" i="10" s="1"/>
  <c r="B92" i="10" a="1"/>
  <c r="B92" i="10" s="1"/>
  <c r="B91" i="10" a="1"/>
  <c r="B91" i="10" s="1"/>
  <c r="B90" i="10" a="1"/>
  <c r="B90" i="10" s="1"/>
  <c r="B89" i="10" a="1"/>
  <c r="B89" i="10" s="1"/>
  <c r="B88" i="10" a="1"/>
  <c r="B88" i="10" s="1"/>
  <c r="B87" i="10" a="1"/>
  <c r="B87" i="10" s="1"/>
  <c r="B86" i="10" a="1"/>
  <c r="B86" i="10" s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 a="1"/>
  <c r="B26" i="10" s="1"/>
  <c r="B25" i="10" a="1"/>
  <c r="B25" i="10" s="1"/>
  <c r="B24" i="10" a="1"/>
  <c r="B24" i="10" s="1"/>
  <c r="B23" i="10" a="1"/>
  <c r="B23" i="10" s="1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B2" i="10" l="1" a="1"/>
  <c r="B2" i="10" s="1"/>
  <c r="J100" i="10" l="1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G100" i="11"/>
  <c r="D100" i="11"/>
  <c r="G99" i="11"/>
  <c r="D99" i="11"/>
  <c r="G98" i="11"/>
  <c r="D98" i="11"/>
  <c r="G97" i="11"/>
  <c r="D97" i="11"/>
  <c r="G96" i="11"/>
  <c r="D96" i="11"/>
  <c r="G95" i="11"/>
  <c r="D95" i="11"/>
  <c r="G94" i="11"/>
  <c r="D94" i="11"/>
  <c r="G93" i="11"/>
  <c r="D93" i="11"/>
  <c r="G92" i="11"/>
  <c r="D92" i="11"/>
  <c r="G91" i="11"/>
  <c r="D91" i="11"/>
  <c r="G90" i="11"/>
  <c r="D90" i="11"/>
  <c r="G89" i="11"/>
  <c r="D89" i="11"/>
  <c r="G88" i="11"/>
  <c r="D88" i="11"/>
  <c r="G87" i="11"/>
  <c r="D87" i="11"/>
  <c r="G86" i="11"/>
  <c r="D86" i="11"/>
  <c r="G85" i="11"/>
  <c r="D85" i="11"/>
  <c r="G84" i="11"/>
  <c r="D84" i="11"/>
  <c r="G83" i="11"/>
  <c r="D83" i="11"/>
  <c r="G82" i="11"/>
  <c r="D82" i="11"/>
  <c r="B100" i="11"/>
  <c r="B99" i="11"/>
  <c r="B98" i="11"/>
  <c r="B97" i="11"/>
  <c r="B96" i="11"/>
  <c r="B95" i="11"/>
  <c r="B94" i="11"/>
  <c r="B93" i="11"/>
  <c r="B92" i="11"/>
  <c r="B91" i="11"/>
  <c r="B90" i="11"/>
  <c r="B89" i="11"/>
  <c r="B88" i="11"/>
  <c r="B87" i="11"/>
  <c r="B86" i="11"/>
  <c r="B85" i="11"/>
  <c r="B84" i="11"/>
  <c r="B83" i="11"/>
  <c r="B82" i="11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C97" i="10"/>
  <c r="C93" i="10"/>
  <c r="C92" i="10"/>
  <c r="C100" i="10"/>
  <c r="C99" i="10"/>
  <c r="C98" i="10"/>
  <c r="C96" i="10"/>
  <c r="C95" i="10"/>
  <c r="C94" i="10"/>
  <c r="C91" i="10"/>
  <c r="C90" i="10"/>
  <c r="C89" i="10"/>
  <c r="C88" i="10"/>
  <c r="C87" i="10"/>
  <c r="C86" i="10"/>
  <c r="C85" i="10"/>
  <c r="C84" i="10"/>
  <c r="C83" i="10"/>
  <c r="C82" i="10"/>
  <c r="J100" i="12"/>
  <c r="F100" i="12"/>
  <c r="E100" i="12"/>
  <c r="C100" i="12"/>
  <c r="K100" i="12" s="1"/>
  <c r="J99" i="12"/>
  <c r="F99" i="12"/>
  <c r="E99" i="12"/>
  <c r="C99" i="12"/>
  <c r="D99" i="12" s="1"/>
  <c r="J98" i="12"/>
  <c r="F98" i="12"/>
  <c r="E98" i="12"/>
  <c r="D98" i="12"/>
  <c r="C98" i="12"/>
  <c r="K98" i="12" s="1"/>
  <c r="J97" i="12"/>
  <c r="F97" i="12"/>
  <c r="E97" i="12"/>
  <c r="C97" i="12"/>
  <c r="D97" i="12" s="1"/>
  <c r="J96" i="12"/>
  <c r="F96" i="12"/>
  <c r="E96" i="12"/>
  <c r="C96" i="12"/>
  <c r="K96" i="12" s="1"/>
  <c r="J95" i="12"/>
  <c r="F95" i="12"/>
  <c r="E95" i="12"/>
  <c r="C95" i="12"/>
  <c r="D95" i="12" s="1"/>
  <c r="J94" i="12"/>
  <c r="F94" i="12"/>
  <c r="E94" i="12"/>
  <c r="C94" i="12"/>
  <c r="K94" i="12" s="1"/>
  <c r="J93" i="12"/>
  <c r="F93" i="12"/>
  <c r="E93" i="12"/>
  <c r="C93" i="12"/>
  <c r="K93" i="12" s="1"/>
  <c r="J92" i="12"/>
  <c r="F92" i="12"/>
  <c r="E92" i="12"/>
  <c r="C92" i="12"/>
  <c r="K92" i="12" s="1"/>
  <c r="J91" i="12"/>
  <c r="F91" i="12"/>
  <c r="E91" i="12"/>
  <c r="C91" i="12"/>
  <c r="D91" i="12" s="1"/>
  <c r="K90" i="12"/>
  <c r="J90" i="12"/>
  <c r="F90" i="12"/>
  <c r="E90" i="12"/>
  <c r="C90" i="12"/>
  <c r="D90" i="12" s="1"/>
  <c r="J89" i="12"/>
  <c r="F89" i="12"/>
  <c r="E89" i="12"/>
  <c r="C89" i="12"/>
  <c r="D89" i="12" s="1"/>
  <c r="J88" i="12"/>
  <c r="F88" i="12"/>
  <c r="E88" i="12"/>
  <c r="C88" i="12"/>
  <c r="K88" i="12" s="1"/>
  <c r="J87" i="12"/>
  <c r="F87" i="12"/>
  <c r="E87" i="12"/>
  <c r="C87" i="12"/>
  <c r="D87" i="12" s="1"/>
  <c r="J86" i="12"/>
  <c r="F86" i="12"/>
  <c r="E86" i="12"/>
  <c r="C86" i="12"/>
  <c r="D86" i="12" s="1"/>
  <c r="J85" i="12"/>
  <c r="F85" i="12"/>
  <c r="E85" i="12"/>
  <c r="C85" i="12"/>
  <c r="D85" i="12" s="1"/>
  <c r="J84" i="12"/>
  <c r="F84" i="12"/>
  <c r="E84" i="12"/>
  <c r="C84" i="12"/>
  <c r="K84" i="12" s="1"/>
  <c r="J83" i="12"/>
  <c r="F83" i="12"/>
  <c r="E83" i="12"/>
  <c r="C83" i="12"/>
  <c r="D83" i="12" s="1"/>
  <c r="J82" i="12"/>
  <c r="F82" i="12"/>
  <c r="E82" i="12"/>
  <c r="C82" i="12"/>
  <c r="K82" i="12" s="1"/>
  <c r="A100" i="12"/>
  <c r="C100" i="11" s="1"/>
  <c r="A99" i="12"/>
  <c r="C99" i="11" s="1"/>
  <c r="A98" i="12"/>
  <c r="C98" i="11" s="1"/>
  <c r="A97" i="12"/>
  <c r="C97" i="11" s="1"/>
  <c r="A96" i="12"/>
  <c r="C96" i="11" s="1"/>
  <c r="A95" i="12"/>
  <c r="C95" i="11" s="1"/>
  <c r="A94" i="12"/>
  <c r="C94" i="11" s="1"/>
  <c r="A93" i="12"/>
  <c r="C93" i="11" s="1"/>
  <c r="A92" i="12"/>
  <c r="C92" i="11" s="1"/>
  <c r="A91" i="12"/>
  <c r="C91" i="11" s="1"/>
  <c r="A90" i="12"/>
  <c r="C90" i="11" s="1"/>
  <c r="A89" i="12"/>
  <c r="C89" i="11" s="1"/>
  <c r="A88" i="12"/>
  <c r="C88" i="11" s="1"/>
  <c r="A87" i="12"/>
  <c r="C87" i="11" s="1"/>
  <c r="A86" i="12"/>
  <c r="C86" i="11" s="1"/>
  <c r="A85" i="12"/>
  <c r="C85" i="11" s="1"/>
  <c r="A84" i="12"/>
  <c r="C84" i="11" s="1"/>
  <c r="A83" i="12"/>
  <c r="C83" i="11" s="1"/>
  <c r="A82" i="12"/>
  <c r="C82" i="11" s="1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B2" i="11"/>
  <c r="C2" i="10"/>
  <c r="J2" i="12"/>
  <c r="A2" i="12"/>
  <c r="C2" i="11" s="1"/>
  <c r="K91" i="12" l="1"/>
  <c r="K95" i="12"/>
  <c r="D94" i="12"/>
  <c r="K99" i="12"/>
  <c r="K86" i="12"/>
  <c r="K83" i="12"/>
  <c r="K87" i="12"/>
  <c r="D82" i="12"/>
  <c r="D84" i="12"/>
  <c r="D88" i="12"/>
  <c r="D92" i="12"/>
  <c r="D96" i="12"/>
  <c r="D100" i="12"/>
  <c r="D93" i="12"/>
  <c r="K85" i="12"/>
  <c r="K89" i="12"/>
  <c r="K97" i="12"/>
  <c r="G52" i="12" l="1"/>
  <c r="G51" i="12"/>
  <c r="G50" i="12"/>
  <c r="G49" i="12"/>
  <c r="G48" i="12"/>
  <c r="G47" i="12"/>
  <c r="G46" i="12"/>
  <c r="G45" i="12"/>
  <c r="G44" i="12"/>
  <c r="G43" i="12"/>
  <c r="G42" i="12"/>
  <c r="C5" i="11" l="1"/>
  <c r="C6" i="11"/>
  <c r="C7" i="11"/>
  <c r="C8" i="11"/>
  <c r="C9" i="11"/>
  <c r="C10" i="11"/>
  <c r="C14" i="11"/>
  <c r="C16" i="11"/>
  <c r="C17" i="11"/>
  <c r="C18" i="11"/>
  <c r="C21" i="11"/>
  <c r="C22" i="11"/>
  <c r="C23" i="11"/>
  <c r="C24" i="11"/>
  <c r="C25" i="11"/>
  <c r="C26" i="11"/>
  <c r="C30" i="11"/>
  <c r="C33" i="11"/>
  <c r="C34" i="11"/>
  <c r="C37" i="11"/>
  <c r="C38" i="11"/>
  <c r="C39" i="11"/>
  <c r="C40" i="11"/>
  <c r="C41" i="11"/>
  <c r="C42" i="11"/>
  <c r="C46" i="11"/>
  <c r="C47" i="11"/>
  <c r="C48" i="11"/>
  <c r="C49" i="11"/>
  <c r="C50" i="11"/>
  <c r="C53" i="11"/>
  <c r="C54" i="11"/>
  <c r="C55" i="11"/>
  <c r="C56" i="11"/>
  <c r="C57" i="11"/>
  <c r="C58" i="11"/>
  <c r="C60" i="11"/>
  <c r="C62" i="11"/>
  <c r="C64" i="11"/>
  <c r="C65" i="11"/>
  <c r="C66" i="11"/>
  <c r="C68" i="11"/>
  <c r="C69" i="11"/>
  <c r="C70" i="11"/>
  <c r="C71" i="11"/>
  <c r="C72" i="11"/>
  <c r="C73" i="11"/>
  <c r="C74" i="11"/>
  <c r="C75" i="11"/>
  <c r="C76" i="11"/>
  <c r="C80" i="11"/>
  <c r="C81" i="11"/>
  <c r="C3" i="11"/>
  <c r="C4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5" i="10"/>
  <c r="C76" i="10"/>
  <c r="C77" i="10"/>
  <c r="C78" i="10"/>
  <c r="C79" i="10"/>
  <c r="C80" i="10"/>
  <c r="C81" i="10"/>
  <c r="C11" i="11"/>
  <c r="C1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2" i="11"/>
  <c r="C13" i="11"/>
  <c r="C19" i="11"/>
  <c r="C20" i="11"/>
  <c r="C29" i="11"/>
  <c r="C31" i="11"/>
  <c r="C32" i="11"/>
  <c r="C36" i="11"/>
  <c r="C43" i="11"/>
  <c r="C45" i="11"/>
  <c r="C51" i="11"/>
  <c r="C59" i="11"/>
  <c r="C61" i="11"/>
  <c r="C67" i="11"/>
  <c r="C77" i="11"/>
  <c r="C78" i="11"/>
  <c r="C79" i="11"/>
  <c r="C74" i="10"/>
  <c r="C63" i="11"/>
  <c r="C52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C79" i="12"/>
  <c r="K79" i="12" s="1"/>
  <c r="C80" i="12"/>
  <c r="D80" i="12" s="1"/>
  <c r="C81" i="12"/>
  <c r="D81" i="12" s="1"/>
  <c r="C67" i="12"/>
  <c r="D67" i="12" s="1"/>
  <c r="C68" i="12"/>
  <c r="K68" i="12" s="1"/>
  <c r="C69" i="12"/>
  <c r="K69" i="12" s="1"/>
  <c r="C70" i="12"/>
  <c r="K70" i="12" s="1"/>
  <c r="C71" i="12"/>
  <c r="K71" i="12" s="1"/>
  <c r="C72" i="12"/>
  <c r="D72" i="12" s="1"/>
  <c r="C73" i="12"/>
  <c r="D73" i="12" s="1"/>
  <c r="C74" i="12"/>
  <c r="D74" i="12" s="1"/>
  <c r="C75" i="12"/>
  <c r="D75" i="12" s="1"/>
  <c r="C76" i="12"/>
  <c r="K76" i="12" s="1"/>
  <c r="C77" i="12"/>
  <c r="D77" i="12" s="1"/>
  <c r="C78" i="12"/>
  <c r="D78" i="12" s="1"/>
  <c r="C45" i="12"/>
  <c r="K45" i="12" s="1"/>
  <c r="C46" i="12"/>
  <c r="K46" i="12" s="1"/>
  <c r="C47" i="12"/>
  <c r="K47" i="12" s="1"/>
  <c r="C48" i="12"/>
  <c r="K48" i="12" s="1"/>
  <c r="C49" i="12"/>
  <c r="K49" i="12" s="1"/>
  <c r="C50" i="12"/>
  <c r="K50" i="12" s="1"/>
  <c r="C51" i="12"/>
  <c r="D51" i="12" s="1"/>
  <c r="C52" i="12"/>
  <c r="D52" i="12" s="1"/>
  <c r="C53" i="12"/>
  <c r="D53" i="12" s="1"/>
  <c r="C54" i="12"/>
  <c r="K54" i="12" s="1"/>
  <c r="C55" i="12"/>
  <c r="K55" i="12" s="1"/>
  <c r="C56" i="12"/>
  <c r="D56" i="12" s="1"/>
  <c r="C57" i="12"/>
  <c r="K57" i="12" s="1"/>
  <c r="C58" i="12"/>
  <c r="K58" i="12" s="1"/>
  <c r="C59" i="12"/>
  <c r="D59" i="12" s="1"/>
  <c r="C60" i="12"/>
  <c r="D60" i="12" s="1"/>
  <c r="C61" i="12"/>
  <c r="D61" i="12" s="1"/>
  <c r="C62" i="12"/>
  <c r="K62" i="12" s="1"/>
  <c r="C63" i="12"/>
  <c r="D63" i="12" s="1"/>
  <c r="C64" i="12"/>
  <c r="K64" i="12" s="1"/>
  <c r="C65" i="12"/>
  <c r="D65" i="12" s="1"/>
  <c r="C66" i="12"/>
  <c r="D66" i="12" s="1"/>
  <c r="C42" i="12"/>
  <c r="D42" i="12" s="1"/>
  <c r="C43" i="12"/>
  <c r="D43" i="12" s="1"/>
  <c r="C44" i="12"/>
  <c r="K44" i="12" s="1"/>
  <c r="C44" i="11"/>
  <c r="C35" i="11"/>
  <c r="C28" i="11"/>
  <c r="C27" i="11"/>
  <c r="C15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G34" i="11"/>
  <c r="G35" i="11"/>
  <c r="G36" i="11"/>
  <c r="G37" i="11"/>
  <c r="G38" i="11"/>
  <c r="G39" i="11"/>
  <c r="G40" i="11"/>
  <c r="G41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2" i="11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2" i="10"/>
  <c r="C41" i="12"/>
  <c r="K41" i="12" s="1"/>
  <c r="E41" i="12"/>
  <c r="F41" i="12"/>
  <c r="G41" i="12"/>
  <c r="J41" i="12"/>
  <c r="E21" i="12"/>
  <c r="F21" i="12"/>
  <c r="G21" i="12"/>
  <c r="J21" i="12"/>
  <c r="E22" i="12"/>
  <c r="F22" i="12"/>
  <c r="G22" i="12"/>
  <c r="J22" i="12"/>
  <c r="E23" i="12"/>
  <c r="F23" i="12"/>
  <c r="G23" i="12"/>
  <c r="J23" i="12"/>
  <c r="E24" i="12"/>
  <c r="F24" i="12"/>
  <c r="G24" i="12"/>
  <c r="J24" i="12"/>
  <c r="E25" i="12"/>
  <c r="F25" i="12"/>
  <c r="G25" i="12"/>
  <c r="J25" i="12"/>
  <c r="E26" i="12"/>
  <c r="F26" i="12"/>
  <c r="G26" i="12"/>
  <c r="J26" i="12"/>
  <c r="E27" i="12"/>
  <c r="F27" i="12"/>
  <c r="G27" i="12"/>
  <c r="J27" i="12"/>
  <c r="E28" i="12"/>
  <c r="F28" i="12"/>
  <c r="G28" i="12"/>
  <c r="J28" i="12"/>
  <c r="E29" i="12"/>
  <c r="F29" i="12"/>
  <c r="G29" i="12"/>
  <c r="J29" i="12"/>
  <c r="E30" i="12"/>
  <c r="F30" i="12"/>
  <c r="G30" i="12"/>
  <c r="J30" i="12"/>
  <c r="E31" i="12"/>
  <c r="F31" i="12"/>
  <c r="G31" i="12"/>
  <c r="J31" i="12"/>
  <c r="E32" i="12"/>
  <c r="F32" i="12"/>
  <c r="G32" i="12"/>
  <c r="J32" i="12"/>
  <c r="E33" i="12"/>
  <c r="F33" i="12"/>
  <c r="G33" i="12"/>
  <c r="J33" i="12"/>
  <c r="E34" i="12"/>
  <c r="F34" i="12"/>
  <c r="G34" i="12"/>
  <c r="J34" i="12"/>
  <c r="E35" i="12"/>
  <c r="F35" i="12"/>
  <c r="G35" i="12"/>
  <c r="J35" i="12"/>
  <c r="E36" i="12"/>
  <c r="F36" i="12"/>
  <c r="G36" i="12"/>
  <c r="J36" i="12"/>
  <c r="E37" i="12"/>
  <c r="F37" i="12"/>
  <c r="G37" i="12"/>
  <c r="J37" i="12"/>
  <c r="E38" i="12"/>
  <c r="F38" i="12"/>
  <c r="G38" i="12"/>
  <c r="J38" i="12"/>
  <c r="E39" i="12"/>
  <c r="F39" i="12"/>
  <c r="G39" i="12"/>
  <c r="J39" i="12"/>
  <c r="E40" i="12"/>
  <c r="F40" i="12"/>
  <c r="G40" i="12"/>
  <c r="J40" i="12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K27" i="12" s="1"/>
  <c r="C28" i="12"/>
  <c r="D28" i="12" s="1"/>
  <c r="C29" i="12"/>
  <c r="D29" i="12" s="1"/>
  <c r="C30" i="12"/>
  <c r="K30" i="12" s="1"/>
  <c r="C31" i="12"/>
  <c r="D31" i="12" s="1"/>
  <c r="C32" i="12"/>
  <c r="K32" i="12" s="1"/>
  <c r="C33" i="12"/>
  <c r="K33" i="12" s="1"/>
  <c r="C34" i="12"/>
  <c r="K34" i="12" s="1"/>
  <c r="C35" i="12"/>
  <c r="K35" i="12" s="1"/>
  <c r="C36" i="12"/>
  <c r="D36" i="12" s="1"/>
  <c r="C37" i="12"/>
  <c r="K37" i="12" s="1"/>
  <c r="C38" i="12"/>
  <c r="D38" i="12" s="1"/>
  <c r="C39" i="12"/>
  <c r="K39" i="12" s="1"/>
  <c r="C40" i="12"/>
  <c r="D40" i="12" s="1"/>
  <c r="C16" i="12"/>
  <c r="D16" i="12" s="1"/>
  <c r="C17" i="12"/>
  <c r="D17" i="12" s="1"/>
  <c r="C18" i="12"/>
  <c r="K18" i="12" s="1"/>
  <c r="C19" i="12"/>
  <c r="D19" i="12" s="1"/>
  <c r="C20" i="12"/>
  <c r="D20" i="12" s="1"/>
  <c r="J16" i="12"/>
  <c r="J17" i="12"/>
  <c r="J18" i="12"/>
  <c r="J19" i="12"/>
  <c r="J20" i="12"/>
  <c r="E16" i="12"/>
  <c r="F16" i="12"/>
  <c r="G16" i="12"/>
  <c r="E17" i="12"/>
  <c r="F17" i="12"/>
  <c r="G17" i="12"/>
  <c r="E18" i="12"/>
  <c r="F18" i="12"/>
  <c r="G18" i="12"/>
  <c r="E19" i="12"/>
  <c r="F19" i="12"/>
  <c r="G19" i="12"/>
  <c r="E20" i="12"/>
  <c r="F20" i="12"/>
  <c r="G20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2" i="12"/>
  <c r="C3" i="12"/>
  <c r="K3" i="12" s="1"/>
  <c r="C4" i="12"/>
  <c r="D4" i="12" s="1"/>
  <c r="C5" i="12"/>
  <c r="K5" i="12" s="1"/>
  <c r="C6" i="12"/>
  <c r="K6" i="12" s="1"/>
  <c r="C7" i="12"/>
  <c r="D7" i="12" s="1"/>
  <c r="C8" i="12"/>
  <c r="D8" i="12" s="1"/>
  <c r="C9" i="12"/>
  <c r="K9" i="12" s="1"/>
  <c r="C10" i="12"/>
  <c r="K10" i="12" s="1"/>
  <c r="C11" i="12"/>
  <c r="K11" i="12" s="1"/>
  <c r="C12" i="12"/>
  <c r="D12" i="12" s="1"/>
  <c r="C13" i="12"/>
  <c r="D13" i="12" s="1"/>
  <c r="C14" i="12"/>
  <c r="D14" i="12" s="1"/>
  <c r="C15" i="12"/>
  <c r="K15" i="12" s="1"/>
  <c r="C2" i="12"/>
  <c r="D2" i="12" s="1"/>
  <c r="K77" i="12" l="1"/>
  <c r="K78" i="12"/>
  <c r="D70" i="12"/>
  <c r="D71" i="12"/>
  <c r="K75" i="12"/>
  <c r="D79" i="12"/>
  <c r="K74" i="12"/>
  <c r="K73" i="12"/>
  <c r="D69" i="12"/>
  <c r="K63" i="12"/>
  <c r="K67" i="12"/>
  <c r="K66" i="12"/>
  <c r="D64" i="12"/>
  <c r="K81" i="12"/>
  <c r="K65" i="12"/>
  <c r="D76" i="12"/>
  <c r="K80" i="12"/>
  <c r="K72" i="12"/>
  <c r="D62" i="12"/>
  <c r="K61" i="12"/>
  <c r="D68" i="12"/>
  <c r="K60" i="12"/>
  <c r="K59" i="12"/>
  <c r="D58" i="12"/>
  <c r="D57" i="12"/>
  <c r="K52" i="12"/>
  <c r="K25" i="12"/>
  <c r="K43" i="12"/>
  <c r="K53" i="12"/>
  <c r="D55" i="12"/>
  <c r="D54" i="12"/>
  <c r="K56" i="12"/>
  <c r="K51" i="12"/>
  <c r="K31" i="12"/>
  <c r="D33" i="12"/>
  <c r="D32" i="12"/>
  <c r="D30" i="12"/>
  <c r="D18" i="12"/>
  <c r="D5" i="12"/>
  <c r="K19" i="12"/>
  <c r="K20" i="12"/>
  <c r="K22" i="12"/>
  <c r="K16" i="12"/>
  <c r="D10" i="12"/>
  <c r="K4" i="12"/>
  <c r="D11" i="12"/>
  <c r="D48" i="12"/>
  <c r="K28" i="12"/>
  <c r="D39" i="12"/>
  <c r="D27" i="12"/>
  <c r="K7" i="12"/>
  <c r="K21" i="12"/>
  <c r="K8" i="12"/>
  <c r="K14" i="12"/>
  <c r="K13" i="12"/>
  <c r="D6" i="12"/>
  <c r="D9" i="12"/>
  <c r="K12" i="12"/>
  <c r="D34" i="12"/>
  <c r="K42" i="12"/>
  <c r="D41" i="12"/>
  <c r="D50" i="12"/>
  <c r="D37" i="12"/>
  <c r="D35" i="12"/>
  <c r="K17" i="12"/>
  <c r="K26" i="12"/>
  <c r="K40" i="12"/>
  <c r="K38" i="12"/>
  <c r="K36" i="12"/>
  <c r="D49" i="12"/>
  <c r="D15" i="12"/>
  <c r="D3" i="12"/>
  <c r="D44" i="12"/>
  <c r="D47" i="12"/>
  <c r="K29" i="12"/>
  <c r="D46" i="12"/>
  <c r="K23" i="12"/>
  <c r="K24" i="12"/>
  <c r="D45" i="12"/>
  <c r="K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<sst xmlns="http://schemas.openxmlformats.org/spreadsheetml/2006/main" count="261" uniqueCount="106">
  <si>
    <t>First Name</t>
  </si>
  <si>
    <t>Last Name</t>
  </si>
  <si>
    <t>Email Address</t>
  </si>
  <si>
    <t>Grade</t>
  </si>
  <si>
    <t>District</t>
  </si>
  <si>
    <t>School</t>
  </si>
  <si>
    <t>Top Score ISD</t>
  </si>
  <si>
    <t>Expository Elementary</t>
  </si>
  <si>
    <t>Opinion</t>
  </si>
  <si>
    <t>Argumentative</t>
  </si>
  <si>
    <t>Important Notes</t>
  </si>
  <si>
    <t>Expository</t>
  </si>
  <si>
    <t>Planning</t>
  </si>
  <si>
    <t>OArgumentative@ExpositoryElementary.com</t>
  </si>
  <si>
    <t>EPlanning@ExpositoryElementary.com</t>
  </si>
  <si>
    <t>Transition</t>
  </si>
  <si>
    <t>Words</t>
  </si>
  <si>
    <t>Twords@ExpositoryElementary.com</t>
  </si>
  <si>
    <r>
      <t xml:space="preserve">Top Score Writing </t>
    </r>
    <r>
      <rPr>
        <b/>
        <sz val="18"/>
        <color rgb="FF7030A0"/>
        <rFont val="Calibri (Body)"/>
      </rPr>
      <t>TEACHER</t>
    </r>
    <r>
      <rPr>
        <b/>
        <sz val="18"/>
        <color theme="1"/>
        <rFont val="Calibri"/>
        <family val="2"/>
        <scheme val="minor"/>
      </rPr>
      <t xml:space="preserve"> Implementation Form</t>
    </r>
  </si>
  <si>
    <t>Principal</t>
  </si>
  <si>
    <t>Dr. Informative</t>
  </si>
  <si>
    <t>Boot Camp</t>
  </si>
  <si>
    <t>Grade 3 Boot Camp</t>
  </si>
  <si>
    <t>Grade 4 Boot Camp</t>
  </si>
  <si>
    <t>Grade 5 Boot Camp</t>
  </si>
  <si>
    <t>Course Lists</t>
  </si>
  <si>
    <t>Teacher Resources</t>
  </si>
  <si>
    <t>Sections</t>
  </si>
  <si>
    <t>MS</t>
  </si>
  <si>
    <t>Professional Development</t>
  </si>
  <si>
    <r>
      <t xml:space="preserve">3. See the Tabs below for samples of how to fill out the forms using </t>
    </r>
    <r>
      <rPr>
        <b/>
        <sz val="14"/>
        <color theme="4"/>
        <rFont val="Calibri (Body)"/>
      </rPr>
      <t>Email.</t>
    </r>
  </si>
  <si>
    <t>5. If the information is not filled out correctly on this form it could delay your digital implementation.</t>
  </si>
  <si>
    <t>Middle School Professional Development</t>
  </si>
  <si>
    <t>HS</t>
  </si>
  <si>
    <r>
      <t xml:space="preserve">1. This form is for </t>
    </r>
    <r>
      <rPr>
        <sz val="14"/>
        <color rgb="FFFF0000"/>
        <rFont val="Calibri (Body)"/>
      </rPr>
      <t>TEACHERS ONLY</t>
    </r>
    <r>
      <rPr>
        <sz val="14"/>
        <color theme="1"/>
        <rFont val="Calibri"/>
        <family val="2"/>
        <scheme val="minor"/>
      </rPr>
      <t>.</t>
    </r>
  </si>
  <si>
    <t>2nd Grade Teacher Lessons and Activities</t>
  </si>
  <si>
    <t>2nd Grade Animated Lessons</t>
  </si>
  <si>
    <t>3rd Grade Animated Lessons</t>
  </si>
  <si>
    <t>3rd Grade Teacher Lessons and Activities</t>
  </si>
  <si>
    <t>4th Grade Animated Lessons</t>
  </si>
  <si>
    <t>4th Grade Teacher Lessons and Activities</t>
  </si>
  <si>
    <t>5th grade Animated Lessons</t>
  </si>
  <si>
    <t>5th Grade Teacher Lessons and Activities</t>
  </si>
  <si>
    <t>9th-12th Grade Animated Lessons</t>
  </si>
  <si>
    <t>High School Teacher Lessons and Activities</t>
  </si>
  <si>
    <t>Middle School Animated Lessons</t>
  </si>
  <si>
    <t>Middle School Teacher Lessons and Activities</t>
  </si>
  <si>
    <t>3rd Grade (Homeschool)</t>
  </si>
  <si>
    <t>4th Grade Animated Lessons (Homeschool)</t>
  </si>
  <si>
    <t>5th grade Animated Lessons (Homeschool)</t>
  </si>
  <si>
    <t>user_id</t>
  </si>
  <si>
    <t>integration_id</t>
  </si>
  <si>
    <t>login_id</t>
  </si>
  <si>
    <t>password</t>
  </si>
  <si>
    <t>first_name</t>
  </si>
  <si>
    <t>last_name</t>
  </si>
  <si>
    <t>full_name</t>
  </si>
  <si>
    <t>sortable_name</t>
  </si>
  <si>
    <t>short_name</t>
  </si>
  <si>
    <t>email</t>
  </si>
  <si>
    <t>status</t>
  </si>
  <si>
    <t>course_id</t>
  </si>
  <si>
    <t>long_name</t>
  </si>
  <si>
    <t>account_id</t>
  </si>
  <si>
    <t>term_id</t>
  </si>
  <si>
    <t>start_date</t>
  </si>
  <si>
    <t>end_date</t>
  </si>
  <si>
    <t>course_format</t>
  </si>
  <si>
    <t>blueprint_course_id</t>
  </si>
  <si>
    <t>root_account</t>
  </si>
  <si>
    <t>role</t>
  </si>
  <si>
    <t>role_id</t>
  </si>
  <si>
    <t>section_id</t>
  </si>
  <si>
    <t>associated_user_id</t>
  </si>
  <si>
    <t>limit_section_privileges</t>
  </si>
  <si>
    <r>
      <t xml:space="preserve">4. Please save the file using the following format: </t>
    </r>
    <r>
      <rPr>
        <b/>
        <sz val="14"/>
        <rFont val="Calibri"/>
        <family val="2"/>
        <scheme val="minor"/>
      </rPr>
      <t>Top Score Teacher_SCHOOL NAME.</t>
    </r>
  </si>
  <si>
    <t>UID-</t>
  </si>
  <si>
    <t>Course-ID-Logic</t>
  </si>
  <si>
    <t>CID-school initials-teacher first two initials of last name-teacher first two initials of first name-Grade Level (represented as G#)-2021</t>
  </si>
  <si>
    <t>Short name logic</t>
  </si>
  <si>
    <t>Last name + grade level + 20-21</t>
  </si>
  <si>
    <t xml:space="preserve">Long name logic </t>
  </si>
  <si>
    <t xml:space="preserve">Same as short name </t>
  </si>
  <si>
    <t xml:space="preserve">Active </t>
  </si>
  <si>
    <t>Status logic</t>
  </si>
  <si>
    <t xml:space="preserve">Blueprint course ID logic </t>
  </si>
  <si>
    <t xml:space="preserve">SIS ID to match grade </t>
  </si>
  <si>
    <t xml:space="preserve">Same as CID on course tab Cell A </t>
  </si>
  <si>
    <t xml:space="preserve">Root account </t>
  </si>
  <si>
    <t>Always topscorewriting.instructure.com</t>
  </si>
  <si>
    <t xml:space="preserve">user ID logic </t>
  </si>
  <si>
    <t xml:space="preserve">Same as user sheet cell A </t>
  </si>
  <si>
    <t xml:space="preserve">Role logic is always teacher </t>
  </si>
  <si>
    <t xml:space="preserve">status logic Is active </t>
  </si>
  <si>
    <t xml:space="preserve">Is active </t>
  </si>
  <si>
    <t>CID-</t>
  </si>
  <si>
    <t xml:space="preserve">Enrollment ID logic </t>
  </si>
  <si>
    <t>EID-</t>
  </si>
  <si>
    <t>Point of Contact Email</t>
  </si>
  <si>
    <t>Please fill out all requested information and email to Digital@topscorewriting.com</t>
  </si>
  <si>
    <t>If you have any questions you can email Digital@topscorewriting.com or call 954-805-5806 Ext 3</t>
  </si>
  <si>
    <t>25-26 Default</t>
  </si>
  <si>
    <t>N W F</t>
  </si>
  <si>
    <t>Monica.Stratmeier@k12.sd.us</t>
  </si>
  <si>
    <t>Monica</t>
  </si>
  <si>
    <t>Stratmeier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</si>
</sst>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rgb="FFFF0000"/>
      <name val="Calibri (Body)"/>
    </font>
    <font>
      <b/>
      <sz val="14"/>
      <color theme="4"/>
      <name val="Calibri (Body)"/>
    </font>
    <font>
      <b/>
      <sz val="18"/>
      <color rgb="FF7030A0"/>
      <name val="Calibri (Body)"/>
    </font>
    <font>
      <u/>
      <sz val="12"/>
      <color theme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</font>
    <font>
      <sz val="12"/>
      <name val="Calibri"/>
      <family val="2"/>
      <scheme val="minor"/>
    </font>
    <font>
      <sz val="18"/>
      <color theme="4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313949"/>
      <name val="Calibri"/>
      <family val="2"/>
    </font>
    <font>
      <sz val="12"/>
      <color rgb="FF0563C1"/>
      <name val="Calibri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13">
    <xf numFmtId="0" fontId="0" fillId="0" borderId="0" xfId="0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8" fillId="2" borderId="0" xfId="0" applyFont="1" applyFill="1"/>
    <xf numFmtId="0" fontId="8" fillId="0" borderId="0" xfId="0" applyFont="1"/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5" fillId="4" borderId="0" xfId="0" applyFont="1" applyFill="1"/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5" fillId="4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9" fillId="0" borderId="0" xfId="1" applyAlignment="1">
      <alignment horizontal="center"/>
    </xf>
    <xf numFmtId="0" fontId="0" fillId="0" borderId="0" xfId="0" applyAlignment="1">
      <alignment horizontal="center"/>
    </xf>
    <xf numFmtId="0" fontId="21" fillId="0" borderId="0" xfId="1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18" fillId="5" borderId="16" xfId="5" applyFont="1" applyFill="1" applyBorder="1" applyAlignment="1">
      <alignment horizontal="center"/>
    </xf>
    <xf numFmtId="0" fontId="18" fillId="5" borderId="17" xfId="5" applyFont="1" applyFill="1" applyBorder="1" applyAlignment="1">
      <alignment horizontal="center"/>
    </xf>
    <xf numFmtId="0" fontId="18" fillId="5" borderId="15" xfId="5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left"/>
    </xf>
    <xf numFmtId="0" fontId="2" fillId="0" borderId="10" xfId="5" applyFont="1" applyBorder="1"/>
    <xf numFmtId="0" fontId="18" fillId="0" borderId="0" xfId="5" applyFont="1"/>
    <xf numFmtId="0" fontId="2" fillId="0" borderId="0" xfId="5" applyFont="1" applyAlignment="1">
      <alignment horizontal="center"/>
    </xf>
    <xf numFmtId="0" fontId="2" fillId="0" borderId="0" xfId="5" applyFont="1"/>
    <xf numFmtId="0" fontId="2" fillId="0" borderId="0" xfId="5" applyFont="1" applyAlignment="1">
      <alignment horizontal="left"/>
    </xf>
    <xf numFmtId="0" fontId="2" fillId="0" borderId="18" xfId="5" applyFont="1" applyBorder="1" applyAlignment="1">
      <alignment horizontal="center"/>
    </xf>
    <xf numFmtId="0" fontId="2" fillId="0" borderId="18" xfId="5" applyFont="1" applyBorder="1"/>
    <xf numFmtId="0" fontId="2" fillId="0" borderId="13" xfId="5" applyFont="1" applyBorder="1" applyAlignment="1">
      <alignment horizontal="center"/>
    </xf>
    <xf numFmtId="0" fontId="2" fillId="0" borderId="9" xfId="5" applyFont="1" applyBorder="1" applyAlignment="1">
      <alignment horizontal="center"/>
    </xf>
    <xf numFmtId="0" fontId="2" fillId="0" borderId="10" xfId="0" applyFont="1" applyBorder="1"/>
    <xf numFmtId="0" fontId="2" fillId="0" borderId="13" xfId="5" applyFont="1" applyBorder="1"/>
    <xf numFmtId="0" fontId="2" fillId="0" borderId="14" xfId="5" applyFont="1" applyBorder="1"/>
    <xf numFmtId="0" fontId="2" fillId="0" borderId="11" xfId="5" applyFont="1" applyBorder="1" applyAlignment="1">
      <alignment horizontal="center"/>
    </xf>
    <xf numFmtId="0" fontId="2" fillId="0" borderId="12" xfId="5" applyFont="1" applyBorder="1"/>
    <xf numFmtId="0" fontId="2" fillId="0" borderId="12" xfId="0" applyFont="1" applyBorder="1"/>
    <xf numFmtId="0" fontId="25" fillId="0" borderId="0" xfId="0" applyFont="1"/>
    <xf numFmtId="0" fontId="2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4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1" fillId="0" borderId="19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30" fillId="0" borderId="20" xfId="0" applyFont="1" applyBorder="1" applyAlignment="1">
      <alignment horizontal="center" wrapText="1"/>
    </xf>
    <xf numFmtId="0" fontId="30" fillId="0" borderId="20" xfId="0" applyFont="1" applyBorder="1" applyAlignment="1">
      <alignment horizontal="left" vertical="top" wrapText="1"/>
    </xf>
    <xf numFmtId="0" fontId="29" fillId="0" borderId="20" xfId="0" applyFont="1" applyBorder="1" applyAlignment="1">
      <alignment horizontal="left" vertical="top" wrapText="1"/>
    </xf>
    <xf numFmtId="0" fontId="31" fillId="0" borderId="20" xfId="0" applyFont="1" applyBorder="1" applyAlignment="1">
      <alignment horizontal="left" vertical="top" wrapText="1"/>
    </xf>
    <xf numFmtId="0" fontId="29" fillId="6" borderId="20" xfId="0" applyFont="1" applyFill="1" applyBorder="1" applyAlignment="1">
      <alignment horizontal="left" vertical="top" wrapText="1"/>
    </xf>
    <xf numFmtId="0" fontId="28" fillId="0" borderId="20" xfId="0" applyFont="1" applyBorder="1" applyAlignment="1">
      <alignment horizontal="left" vertical="top" wrapText="1"/>
    </xf>
    <xf numFmtId="0" fontId="30" fillId="0" borderId="20" xfId="0" applyFont="1" applyBorder="1" applyAlignment="1">
      <alignment horizontal="left" vertical="top"/>
    </xf>
    <xf numFmtId="0" fontId="32" fillId="0" borderId="20" xfId="0" applyFont="1" applyBorder="1" applyAlignment="1">
      <alignment horizontal="left" vertical="top" wrapText="1"/>
    </xf>
    <xf numFmtId="0" fontId="28" fillId="7" borderId="20" xfId="0" applyFont="1" applyFill="1" applyBorder="1" applyAlignment="1">
      <alignment horizontal="left" vertical="top" wrapText="1"/>
    </xf>
    <xf numFmtId="0" fontId="32" fillId="7" borderId="20" xfId="0" applyFont="1" applyFill="1" applyBorder="1" applyAlignment="1">
      <alignment horizontal="left" vertical="top" wrapText="1"/>
    </xf>
    <xf numFmtId="0" fontId="30" fillId="0" borderId="22" xfId="0" applyFont="1" applyBorder="1" applyAlignment="1">
      <alignment horizontal="left" vertical="top" wrapText="1"/>
    </xf>
    <xf numFmtId="0" fontId="9" fillId="0" borderId="19" xfId="1" applyBorder="1" applyAlignment="1">
      <alignment horizontal="left" wrapText="1"/>
    </xf>
    <xf numFmtId="0" fontId="29" fillId="0" borderId="23" xfId="0" applyFont="1" applyBorder="1" applyAlignment="1">
      <alignment horizontal="left" vertical="top" wrapText="1"/>
    </xf>
    <xf numFmtId="0" fontId="28" fillId="0" borderId="22" xfId="0" applyFont="1" applyBorder="1" applyAlignment="1">
      <alignment horizontal="left" vertical="top" wrapText="1"/>
    </xf>
    <xf numFmtId="0" fontId="30" fillId="0" borderId="23" xfId="0" applyFont="1" applyBorder="1" applyAlignment="1">
      <alignment horizontal="left" vertical="top"/>
    </xf>
    <xf numFmtId="0" fontId="9" fillId="0" borderId="19" xfId="1" applyBorder="1" applyAlignment="1">
      <alignment horizontal="left" vertical="top" wrapText="1"/>
    </xf>
    <xf numFmtId="0" fontId="28" fillId="0" borderId="20" xfId="0" applyFont="1" applyBorder="1" applyAlignment="1">
      <alignment horizontal="left" vertical="center" wrapText="1"/>
    </xf>
    <xf numFmtId="0" fontId="9" fillId="0" borderId="20" xfId="1" applyBorder="1" applyAlignment="1">
      <alignment horizontal="left" vertical="center" wrapText="1"/>
    </xf>
    <xf numFmtId="0" fontId="33" fillId="0" borderId="20" xfId="0" applyFont="1" applyBorder="1" applyAlignment="1">
      <alignment horizontal="left" vertical="center" wrapText="1"/>
    </xf>
    <xf numFmtId="0" fontId="33" fillId="0" borderId="23" xfId="0" applyFont="1" applyBorder="1" applyAlignment="1">
      <alignment horizontal="left" vertical="center" wrapText="1"/>
    </xf>
    <xf numFmtId="0" fontId="9" fillId="0" borderId="23" xfId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 wrapText="1"/>
    </xf>
    <xf numFmtId="0" fontId="33" fillId="0" borderId="25" xfId="0" applyFont="1" applyBorder="1" applyAlignment="1">
      <alignment horizontal="left" vertical="center" wrapText="1"/>
    </xf>
    <xf numFmtId="0" fontId="9" fillId="0" borderId="25" xfId="1" applyBorder="1" applyAlignment="1">
      <alignment horizontal="left" vertical="center" wrapText="1"/>
    </xf>
    <xf numFmtId="0" fontId="34" fillId="0" borderId="20" xfId="0" applyFont="1" applyBorder="1" applyAlignment="1">
      <alignment horizontal="left" vertical="top" wrapText="1"/>
    </xf>
    <xf numFmtId="0" fontId="34" fillId="6" borderId="20" xfId="0" applyFont="1" applyFill="1" applyBorder="1" applyAlignment="1">
      <alignment horizontal="center" vertical="center" wrapText="1"/>
    </xf>
    <xf numFmtId="0" fontId="1" fillId="0" borderId="0" xfId="0" applyFont="1"/>
    <xf numFmtId="0" fontId="29" fillId="6" borderId="20" xfId="0" applyFont="1" applyFill="1" applyBorder="1" applyAlignment="1">
      <alignment horizontal="left" wrapText="1"/>
    </xf>
    <xf numFmtId="0" fontId="34" fillId="0" borderId="20" xfId="0" applyFont="1" applyBorder="1" applyAlignment="1">
      <alignment horizontal="center" vertical="top" wrapText="1"/>
    </xf>
    <xf numFmtId="0" fontId="9" fillId="0" borderId="0" xfId="1" applyAlignment="1"/>
    <xf numFmtId="0" fontId="34" fillId="6" borderId="20" xfId="0" applyFont="1" applyFill="1" applyBorder="1" applyAlignment="1">
      <alignment wrapText="1"/>
    </xf>
    <xf numFmtId="0" fontId="34" fillId="6" borderId="20" xfId="0" applyFont="1" applyFill="1" applyBorder="1" applyAlignment="1">
      <alignment horizontal="center" vertical="top" wrapText="1"/>
    </xf>
    <xf numFmtId="0" fontId="34" fillId="6" borderId="20" xfId="0" applyFont="1" applyFill="1" applyBorder="1" applyAlignment="1">
      <alignment horizontal="left" vertical="top" wrapText="1"/>
    </xf>
    <xf numFmtId="0" fontId="9" fillId="6" borderId="20" xfId="1" applyFill="1" applyBorder="1" applyAlignment="1">
      <alignment horizontal="left" vertical="top" wrapText="1"/>
    </xf>
    <xf numFmtId="0" fontId="28" fillId="6" borderId="20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6">
    <cellStyle name="Followed Hyperlink" xfId="2" builtinId="9" hidden="1"/>
    <cellStyle name="Hyperlink" xfId="1" builtinId="8"/>
    <cellStyle name="Hyperlink 2" xfId="4" xr:uid="{00000000-0005-0000-0000-000002000000}"/>
    <cellStyle name="Normal" xfId="0" builtinId="0"/>
    <cellStyle name="Normal 2" xfId="3" xr:uid="{00000000-0005-0000-0000-000004000000}"/>
    <cellStyle name="Normal 3" xfId="5" xr:uid="{00000000-0005-0000-0000-000005000000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onica.Stratmeier@k12.sd.u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14"/>
  <sheetViews>
    <sheetView workbookViewId="0">
      <selection sqref="A1:D1"/>
    </sheetView>
  </sheetViews>
  <sheetFormatPr baseColWidth="10" defaultColWidth="18.33203125" defaultRowHeight="22.5" customHeight="1" x14ac:dyDescent="0.2"/>
  <cols>
    <col min="1" max="1" width="18.83203125" bestFit="1" customWidth="1"/>
    <col min="2" max="2" width="30.1640625" customWidth="1"/>
    <col min="3" max="3" width="38.1640625" customWidth="1"/>
    <col min="4" max="4" width="9" style="21" bestFit="1" customWidth="1"/>
    <col min="5" max="5" width="5.6640625" customWidth="1"/>
  </cols>
  <sheetData>
    <row r="1" spans="1:5" ht="24" x14ac:dyDescent="0.3">
      <c r="A1" s="97" t="s">
        <v>18</v>
      </c>
      <c r="B1" s="97"/>
      <c r="C1" s="97"/>
      <c r="D1" s="97"/>
      <c r="E1" s="3"/>
    </row>
    <row r="2" spans="1:5" ht="24" x14ac:dyDescent="0.3">
      <c r="A2" s="3"/>
      <c r="B2" s="3"/>
      <c r="C2" s="3"/>
      <c r="D2" s="3"/>
      <c r="E2" s="3"/>
    </row>
    <row r="3" spans="1:5" ht="24" x14ac:dyDescent="0.3">
      <c r="A3" s="4" t="s">
        <v>4</v>
      </c>
      <c r="B3" s="4" t="s">
        <v>5</v>
      </c>
      <c r="C3" s="4" t="s">
        <v>19</v>
      </c>
      <c r="D3" s="19"/>
      <c r="E3" s="5"/>
    </row>
    <row r="4" spans="1:5" ht="24" x14ac:dyDescent="0.3">
      <c r="A4" s="1" t="s">
        <v>6</v>
      </c>
      <c r="B4" s="1" t="s">
        <v>7</v>
      </c>
      <c r="C4" s="1" t="s">
        <v>20</v>
      </c>
      <c r="D4" s="3"/>
      <c r="E4" s="2"/>
    </row>
    <row r="5" spans="1:5" ht="24" x14ac:dyDescent="0.3">
      <c r="A5" s="2"/>
      <c r="B5" s="2"/>
      <c r="C5" s="2"/>
      <c r="D5" s="3"/>
      <c r="E5" s="2"/>
    </row>
    <row r="6" spans="1:5" ht="24" x14ac:dyDescent="0.3">
      <c r="A6" s="9" t="s">
        <v>0</v>
      </c>
      <c r="B6" s="9" t="s">
        <v>1</v>
      </c>
      <c r="C6" s="9" t="s">
        <v>2</v>
      </c>
      <c r="D6" s="18" t="s">
        <v>3</v>
      </c>
      <c r="E6" s="2"/>
    </row>
    <row r="7" spans="1:5" ht="22.5" customHeight="1" x14ac:dyDescent="0.3">
      <c r="A7" t="s">
        <v>8</v>
      </c>
      <c r="B7" t="s">
        <v>9</v>
      </c>
      <c r="C7" t="s">
        <v>13</v>
      </c>
      <c r="D7" s="22">
        <v>4</v>
      </c>
      <c r="E7" s="2"/>
    </row>
    <row r="8" spans="1:5" ht="22.5" customHeight="1" x14ac:dyDescent="0.2">
      <c r="A8" t="s">
        <v>11</v>
      </c>
      <c r="B8" t="s">
        <v>12</v>
      </c>
      <c r="C8" t="s">
        <v>14</v>
      </c>
      <c r="D8" s="22">
        <v>4</v>
      </c>
    </row>
    <row r="9" spans="1:5" ht="22.5" customHeight="1" x14ac:dyDescent="0.2">
      <c r="A9" t="s">
        <v>15</v>
      </c>
      <c r="B9" t="s">
        <v>16</v>
      </c>
      <c r="C9" t="s">
        <v>17</v>
      </c>
      <c r="D9" s="22">
        <v>4</v>
      </c>
    </row>
    <row r="10" spans="1:5" ht="22.5" customHeight="1" x14ac:dyDescent="0.2">
      <c r="D10" s="20"/>
    </row>
    <row r="11" spans="1:5" ht="22.5" customHeight="1" x14ac:dyDescent="0.2">
      <c r="D11" s="20"/>
    </row>
    <row r="12" spans="1:5" ht="22.5" customHeight="1" x14ac:dyDescent="0.2">
      <c r="D12" s="20"/>
    </row>
    <row r="13" spans="1:5" ht="22.5" customHeight="1" x14ac:dyDescent="0.2">
      <c r="D13" s="20"/>
    </row>
    <row r="14" spans="1:5" ht="22.5" customHeight="1" x14ac:dyDescent="0.2">
      <c r="D14" s="20"/>
    </row>
  </sheetData>
  <mergeCells count="1">
    <mergeCell ref="A1:D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/>
  </sheetViews>
  <sheetFormatPr baseColWidth="10" defaultColWidth="7.6640625" defaultRowHeight="15" x14ac:dyDescent="0.2"/>
  <cols>
    <col min="1" max="1" width="3.6640625" style="34" customWidth="1"/>
    <col min="2" max="2" width="5.5" style="33" bestFit="1" customWidth="1"/>
    <col min="3" max="3" width="38.6640625" style="33" bestFit="1" customWidth="1"/>
    <col min="4" max="4" width="3.6640625" style="33" customWidth="1"/>
    <col min="5" max="5" width="7.33203125" style="33" customWidth="1"/>
    <col min="6" max="6" width="28.83203125" style="33" bestFit="1" customWidth="1"/>
    <col min="7" max="7" width="3.6640625" style="34" customWidth="1"/>
    <col min="8" max="8" width="5.5" style="33" bestFit="1" customWidth="1"/>
    <col min="9" max="9" width="15.6640625" style="35" bestFit="1" customWidth="1"/>
    <col min="10" max="10" width="3.6640625" style="34" customWidth="1"/>
    <col min="11" max="11" width="38.1640625" style="34" bestFit="1" customWidth="1"/>
    <col min="12" max="12" width="5.6640625" style="34" customWidth="1"/>
    <col min="13" max="13" width="8.33203125" style="34" customWidth="1"/>
    <col min="14" max="14" width="36.6640625" style="34" bestFit="1" customWidth="1"/>
    <col min="15" max="16384" width="7.6640625" style="34"/>
  </cols>
  <sheetData>
    <row r="1" spans="1:14" x14ac:dyDescent="0.2">
      <c r="A1" s="32" t="s">
        <v>25</v>
      </c>
    </row>
    <row r="2" spans="1:14" ht="16" thickBot="1" x14ac:dyDescent="0.25">
      <c r="B2" s="36"/>
      <c r="C2" s="36"/>
      <c r="M2" s="37"/>
      <c r="N2" s="37"/>
    </row>
    <row r="3" spans="1:14" ht="16" thickTop="1" x14ac:dyDescent="0.2">
      <c r="A3" s="31"/>
      <c r="B3" s="25" t="s">
        <v>3</v>
      </c>
      <c r="C3" s="26" t="s">
        <v>26</v>
      </c>
      <c r="D3" s="38"/>
      <c r="E3" s="25" t="s">
        <v>3</v>
      </c>
      <c r="F3" s="26" t="s">
        <v>27</v>
      </c>
      <c r="H3" s="25" t="s">
        <v>3</v>
      </c>
      <c r="I3" s="26" t="s">
        <v>21</v>
      </c>
      <c r="K3" s="27" t="s">
        <v>29</v>
      </c>
      <c r="L3" s="31"/>
      <c r="M3" s="25" t="s">
        <v>3</v>
      </c>
      <c r="N3" s="26" t="s">
        <v>21</v>
      </c>
    </row>
    <row r="4" spans="1:14" x14ac:dyDescent="0.2">
      <c r="A4" s="31"/>
      <c r="B4" s="39">
        <v>2</v>
      </c>
      <c r="C4" s="40" t="s">
        <v>35</v>
      </c>
      <c r="D4" s="38"/>
      <c r="E4" s="39">
        <v>2</v>
      </c>
      <c r="F4" s="40" t="s">
        <v>36</v>
      </c>
      <c r="H4" s="39">
        <v>3</v>
      </c>
      <c r="I4" s="31" t="s">
        <v>22</v>
      </c>
      <c r="K4" s="41" t="s">
        <v>29</v>
      </c>
      <c r="L4" s="31"/>
      <c r="M4" s="39">
        <v>3</v>
      </c>
      <c r="N4" s="40" t="s">
        <v>47</v>
      </c>
    </row>
    <row r="5" spans="1:14" ht="16" thickBot="1" x14ac:dyDescent="0.25">
      <c r="A5" s="31"/>
      <c r="B5" s="39">
        <v>3</v>
      </c>
      <c r="C5" s="40" t="s">
        <v>38</v>
      </c>
      <c r="D5" s="38"/>
      <c r="E5" s="39">
        <v>3</v>
      </c>
      <c r="F5" s="40" t="s">
        <v>37</v>
      </c>
      <c r="H5" s="39">
        <v>4</v>
      </c>
      <c r="I5" s="31" t="s">
        <v>23</v>
      </c>
      <c r="K5" s="42" t="s">
        <v>32</v>
      </c>
      <c r="L5" s="31"/>
      <c r="M5" s="39">
        <v>4</v>
      </c>
      <c r="N5" s="40" t="s">
        <v>48</v>
      </c>
    </row>
    <row r="6" spans="1:14" ht="17" thickTop="1" thickBot="1" x14ac:dyDescent="0.25">
      <c r="A6" s="31"/>
      <c r="B6" s="39">
        <v>4</v>
      </c>
      <c r="C6" s="40" t="s">
        <v>40</v>
      </c>
      <c r="D6" s="38"/>
      <c r="E6" s="39">
        <v>4</v>
      </c>
      <c r="F6" s="40" t="s">
        <v>39</v>
      </c>
      <c r="H6" s="43">
        <v>5</v>
      </c>
      <c r="I6" s="44" t="s">
        <v>24</v>
      </c>
      <c r="L6" s="31"/>
      <c r="M6" s="43">
        <v>5</v>
      </c>
      <c r="N6" s="45" t="s">
        <v>49</v>
      </c>
    </row>
    <row r="7" spans="1:14" ht="16" thickTop="1" x14ac:dyDescent="0.2">
      <c r="A7" s="31"/>
      <c r="B7" s="39">
        <v>5</v>
      </c>
      <c r="C7" s="40" t="s">
        <v>42</v>
      </c>
      <c r="D7" s="38"/>
      <c r="E7" s="39">
        <v>5</v>
      </c>
      <c r="F7" s="40" t="s">
        <v>41</v>
      </c>
      <c r="H7" s="34"/>
      <c r="I7" s="34"/>
    </row>
    <row r="8" spans="1:14" x14ac:dyDescent="0.2">
      <c r="A8" s="31"/>
      <c r="B8" s="39">
        <v>6</v>
      </c>
      <c r="C8" s="40" t="s">
        <v>46</v>
      </c>
      <c r="D8" s="38"/>
      <c r="E8" s="39">
        <v>6</v>
      </c>
      <c r="F8" s="40" t="s">
        <v>45</v>
      </c>
      <c r="H8" s="34"/>
      <c r="I8" s="34"/>
    </row>
    <row r="9" spans="1:14" x14ac:dyDescent="0.2">
      <c r="A9" s="31"/>
      <c r="B9" s="39">
        <v>7</v>
      </c>
      <c r="C9" s="40" t="s">
        <v>46</v>
      </c>
      <c r="D9" s="38"/>
      <c r="E9" s="39">
        <v>7</v>
      </c>
      <c r="F9" s="40" t="s">
        <v>45</v>
      </c>
      <c r="H9" s="34"/>
      <c r="I9" s="34"/>
    </row>
    <row r="10" spans="1:14" x14ac:dyDescent="0.2">
      <c r="A10" s="31"/>
      <c r="B10" s="39">
        <v>8</v>
      </c>
      <c r="C10" s="40" t="s">
        <v>46</v>
      </c>
      <c r="D10" s="38"/>
      <c r="E10" s="39">
        <v>8</v>
      </c>
      <c r="F10" s="40" t="s">
        <v>45</v>
      </c>
      <c r="H10" s="34"/>
      <c r="I10" s="34"/>
    </row>
    <row r="11" spans="1:14" x14ac:dyDescent="0.2">
      <c r="A11" s="31"/>
      <c r="B11" s="39" t="s">
        <v>28</v>
      </c>
      <c r="C11" s="40" t="s">
        <v>46</v>
      </c>
      <c r="D11" s="38"/>
      <c r="E11" s="39" t="s">
        <v>28</v>
      </c>
      <c r="F11" s="40" t="s">
        <v>45</v>
      </c>
    </row>
    <row r="12" spans="1:14" x14ac:dyDescent="0.2">
      <c r="A12" s="31"/>
      <c r="B12" s="39">
        <v>9</v>
      </c>
      <c r="C12" s="40" t="s">
        <v>44</v>
      </c>
      <c r="D12" s="38"/>
      <c r="E12" s="39">
        <v>9</v>
      </c>
      <c r="F12" s="40" t="s">
        <v>43</v>
      </c>
    </row>
    <row r="13" spans="1:14" x14ac:dyDescent="0.2">
      <c r="A13" s="31"/>
      <c r="B13" s="39">
        <v>10</v>
      </c>
      <c r="C13" s="40" t="s">
        <v>44</v>
      </c>
      <c r="D13" s="38"/>
      <c r="E13" s="39">
        <v>10</v>
      </c>
      <c r="F13" s="40" t="s">
        <v>43</v>
      </c>
    </row>
    <row r="14" spans="1:14" x14ac:dyDescent="0.2">
      <c r="A14" s="31"/>
      <c r="B14" s="39">
        <v>11</v>
      </c>
      <c r="C14" s="40" t="s">
        <v>44</v>
      </c>
      <c r="D14" s="38"/>
      <c r="E14" s="39">
        <v>11</v>
      </c>
      <c r="F14" s="40" t="s">
        <v>43</v>
      </c>
    </row>
    <row r="15" spans="1:14" x14ac:dyDescent="0.2">
      <c r="A15" s="31"/>
      <c r="B15" s="39">
        <v>12</v>
      </c>
      <c r="C15" s="40" t="s">
        <v>44</v>
      </c>
      <c r="D15" s="38"/>
      <c r="E15" s="39">
        <v>12</v>
      </c>
      <c r="F15" s="40" t="s">
        <v>43</v>
      </c>
    </row>
    <row r="16" spans="1:14" ht="16" thickBot="1" x14ac:dyDescent="0.25">
      <c r="A16" s="31"/>
      <c r="B16" s="43" t="s">
        <v>33</v>
      </c>
      <c r="C16" s="45" t="s">
        <v>44</v>
      </c>
      <c r="D16" s="38"/>
      <c r="E16" s="43" t="s">
        <v>33</v>
      </c>
      <c r="F16" s="45" t="s">
        <v>43</v>
      </c>
    </row>
    <row r="17" ht="16" thickTop="1" x14ac:dyDescent="0.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733"/>
  <sheetViews>
    <sheetView tabSelected="1" topLeftCell="A3" zoomScale="125" zoomScaleNormal="125" workbookViewId="0">
      <selection activeCell="C7" sqref="C7"/>
    </sheetView>
  </sheetViews>
  <sheetFormatPr baseColWidth="10" defaultColWidth="18.33203125" defaultRowHeight="22.5" customHeight="1" x14ac:dyDescent="0.2"/>
  <cols>
    <col min="1" max="1" width="20.1640625" style="59" bestFit="1" customWidth="1"/>
    <col min="2" max="2" width="34.1640625" style="59" bestFit="1" customWidth="1"/>
    <col min="3" max="3" width="57.83203125" style="59" customWidth="1"/>
    <col min="4" max="4" width="9" style="21" bestFit="1" customWidth="1"/>
    <col min="5" max="5" width="5.6640625" customWidth="1"/>
    <col min="6" max="10" width="21.6640625" customWidth="1"/>
  </cols>
  <sheetData>
    <row r="1" spans="1:11" ht="24" x14ac:dyDescent="0.3">
      <c r="A1" s="110" t="s">
        <v>18</v>
      </c>
      <c r="B1" s="111"/>
      <c r="C1" s="111"/>
      <c r="D1" s="112"/>
      <c r="E1" s="3"/>
      <c r="F1" s="104" t="s">
        <v>99</v>
      </c>
      <c r="G1" s="105"/>
      <c r="H1" s="105"/>
      <c r="I1" s="105"/>
      <c r="J1" s="106"/>
      <c r="K1" s="46" t="s">
        <v>76</v>
      </c>
    </row>
    <row r="2" spans="1:11" ht="24" x14ac:dyDescent="0.3">
      <c r="A2" s="52"/>
      <c r="B2" s="53"/>
      <c r="C2" s="53"/>
      <c r="D2" s="28"/>
      <c r="E2" s="3"/>
      <c r="F2" s="107" t="s">
        <v>10</v>
      </c>
      <c r="G2" s="108"/>
      <c r="H2" s="108"/>
      <c r="I2" s="108"/>
      <c r="J2" s="109"/>
      <c r="K2" s="46" t="s">
        <v>95</v>
      </c>
    </row>
    <row r="3" spans="1:11" ht="24" x14ac:dyDescent="0.3">
      <c r="A3" s="54" t="s">
        <v>4</v>
      </c>
      <c r="B3" s="55" t="s">
        <v>5</v>
      </c>
      <c r="C3" s="55" t="s">
        <v>98</v>
      </c>
      <c r="D3" s="29"/>
      <c r="E3" s="5"/>
      <c r="F3" s="6" t="s">
        <v>34</v>
      </c>
      <c r="G3" s="7"/>
      <c r="H3" s="7"/>
      <c r="I3" s="7"/>
      <c r="J3" s="8"/>
      <c r="K3" s="46" t="s">
        <v>97</v>
      </c>
    </row>
    <row r="4" spans="1:11" ht="24" x14ac:dyDescent="0.3">
      <c r="A4" s="56"/>
      <c r="B4" s="57" t="s">
        <v>102</v>
      </c>
      <c r="C4" s="51"/>
      <c r="D4" s="28"/>
      <c r="E4" s="2"/>
      <c r="F4" s="6"/>
      <c r="G4" s="13"/>
      <c r="H4" s="13"/>
      <c r="I4" s="13"/>
      <c r="J4" s="14"/>
    </row>
    <row r="5" spans="1:11" ht="24" x14ac:dyDescent="0.3">
      <c r="A5" s="52"/>
      <c r="B5" s="53"/>
      <c r="C5" s="53"/>
      <c r="D5" s="28"/>
      <c r="E5" s="2"/>
      <c r="F5" s="15" t="s">
        <v>30</v>
      </c>
      <c r="G5" s="16"/>
      <c r="H5" s="16"/>
      <c r="I5" s="16"/>
      <c r="J5" s="17"/>
    </row>
    <row r="6" spans="1:11" ht="24" x14ac:dyDescent="0.3">
      <c r="A6" s="58" t="s">
        <v>0</v>
      </c>
      <c r="B6" s="18" t="s">
        <v>1</v>
      </c>
      <c r="C6" s="18" t="s">
        <v>2</v>
      </c>
      <c r="D6" s="30" t="s">
        <v>3</v>
      </c>
      <c r="E6" s="2"/>
      <c r="F6" s="10" t="s">
        <v>75</v>
      </c>
      <c r="G6" s="11"/>
      <c r="H6" s="11"/>
      <c r="I6" s="11"/>
      <c r="J6" s="12"/>
    </row>
    <row r="7" spans="1:11" ht="22.5" customHeight="1" x14ac:dyDescent="0.3">
      <c r="A7" s="88" t="s">
        <v>104</v>
      </c>
      <c r="B7" s="89" t="s">
        <v>105</v>
      </c>
      <c r="C7" s="91" t="s">
        <v>103</v>
      </c>
      <c r="D7" s="90">
        <v>8</v>
      </c>
      <c r="E7" s="2"/>
      <c r="F7" s="98" t="s">
        <v>31</v>
      </c>
      <c r="G7" s="99"/>
      <c r="H7" s="99"/>
      <c r="I7" s="99"/>
      <c r="J7" s="100"/>
    </row>
    <row r="8" spans="1:11" ht="22.5" customHeight="1" thickBot="1" x14ac:dyDescent="0.3">
      <c r="A8" s="88"/>
      <c r="B8" s="92"/>
      <c r="C8" s="91"/>
      <c r="D8" s="93"/>
      <c r="F8" s="101" t="s">
        <v>100</v>
      </c>
      <c r="G8" s="102"/>
      <c r="H8" s="102"/>
      <c r="I8" s="102"/>
      <c r="J8" s="103"/>
    </row>
    <row r="9" spans="1:11" ht="22.5" customHeight="1" x14ac:dyDescent="0.2">
      <c r="A9" s="88"/>
      <c r="B9" s="94"/>
      <c r="C9" s="91"/>
      <c r="D9"/>
    </row>
    <row r="10" spans="1:11" ht="22.5" customHeight="1" x14ac:dyDescent="0.2">
      <c r="A10" s="88"/>
      <c r="B10" s="94"/>
      <c r="C10" s="95"/>
      <c r="D10" s="93"/>
    </row>
    <row r="11" spans="1:11" ht="22.5" customHeight="1" x14ac:dyDescent="0.2">
      <c r="A11" s="88"/>
      <c r="B11" s="94"/>
      <c r="C11" s="95"/>
      <c r="D11" s="93"/>
    </row>
    <row r="12" spans="1:11" ht="22.5" customHeight="1" x14ac:dyDescent="0.2">
      <c r="A12" s="96"/>
      <c r="B12" s="96"/>
      <c r="C12" s="95"/>
      <c r="D12" s="94"/>
    </row>
    <row r="13" spans="1:11" ht="22.5" customHeight="1" x14ac:dyDescent="0.2">
      <c r="A13" s="88"/>
      <c r="B13" s="94"/>
      <c r="C13" s="91"/>
      <c r="D13" s="87"/>
    </row>
    <row r="14" spans="1:11" ht="22.5" customHeight="1" x14ac:dyDescent="0.2">
      <c r="A14" s="88"/>
      <c r="B14" s="94"/>
      <c r="C14" s="91"/>
      <c r="D14" s="87"/>
    </row>
    <row r="15" spans="1:11" ht="22.5" customHeight="1" x14ac:dyDescent="0.2">
      <c r="A15" s="88"/>
      <c r="B15" s="94"/>
      <c r="C15" s="95"/>
      <c r="D15" s="87"/>
    </row>
    <row r="16" spans="1:11" ht="22.5" customHeight="1" x14ac:dyDescent="0.2">
      <c r="A16" s="88"/>
      <c r="B16" s="94"/>
      <c r="C16" s="95"/>
      <c r="D16" s="87"/>
    </row>
    <row r="17" spans="1:6" ht="22.5" customHeight="1" x14ac:dyDescent="0.2">
      <c r="A17" s="88"/>
      <c r="B17" s="94"/>
      <c r="C17" s="95"/>
      <c r="D17" s="86"/>
      <c r="F17" s="51"/>
    </row>
    <row r="18" spans="1:6" ht="22.5" customHeight="1" x14ac:dyDescent="0.2">
      <c r="A18" s="88"/>
      <c r="B18" s="94"/>
      <c r="C18" s="95"/>
      <c r="D18" s="86"/>
    </row>
    <row r="19" spans="1:6" ht="22.5" customHeight="1" x14ac:dyDescent="0.2">
      <c r="A19" s="88"/>
      <c r="B19" s="94"/>
      <c r="C19" s="95"/>
      <c r="D19" s="86"/>
    </row>
    <row r="20" spans="1:6" ht="22.5" customHeight="1" x14ac:dyDescent="0.2">
      <c r="A20" s="88"/>
      <c r="B20" s="94"/>
      <c r="C20" s="95"/>
      <c r="D20" s="86"/>
    </row>
    <row r="21" spans="1:6" ht="22.5" customHeight="1" x14ac:dyDescent="0.2">
      <c r="A21" s="96"/>
      <c r="B21" s="96"/>
      <c r="C21" s="95"/>
      <c r="D21" s="86"/>
    </row>
    <row r="22" spans="1:6" ht="22.5" customHeight="1" x14ac:dyDescent="0.2">
      <c r="A22" s="96"/>
      <c r="B22" s="96"/>
      <c r="C22" s="95"/>
      <c r="D22" s="68"/>
    </row>
    <row r="23" spans="1:6" ht="22.5" customHeight="1" x14ac:dyDescent="0.2">
      <c r="A23" s="96"/>
      <c r="B23" s="96"/>
      <c r="C23" s="95"/>
      <c r="D23" s="68"/>
    </row>
    <row r="24" spans="1:6" ht="22.5" customHeight="1" x14ac:dyDescent="0.2">
      <c r="A24" s="78"/>
      <c r="B24" s="78"/>
      <c r="C24" s="79"/>
      <c r="D24" s="66"/>
    </row>
    <row r="25" spans="1:6" ht="22.5" customHeight="1" x14ac:dyDescent="0.2">
      <c r="A25" s="78"/>
      <c r="B25" s="78"/>
      <c r="C25" s="79"/>
      <c r="D25" s="66"/>
    </row>
    <row r="26" spans="1:6" ht="22.5" customHeight="1" x14ac:dyDescent="0.2">
      <c r="A26" s="78"/>
      <c r="B26" s="78"/>
      <c r="C26" s="79"/>
      <c r="D26" s="66"/>
    </row>
    <row r="27" spans="1:6" ht="22.5" customHeight="1" x14ac:dyDescent="0.2">
      <c r="A27" s="80"/>
      <c r="B27" s="81"/>
      <c r="C27" s="82"/>
      <c r="D27" s="66"/>
    </row>
    <row r="28" spans="1:6" ht="22.5" customHeight="1" x14ac:dyDescent="0.2">
      <c r="A28" s="83"/>
      <c r="B28" s="84"/>
      <c r="C28" s="85"/>
      <c r="D28" s="64"/>
    </row>
    <row r="29" spans="1:6" ht="22.5" customHeight="1" x14ac:dyDescent="0.2">
      <c r="A29" s="83"/>
      <c r="B29" s="84"/>
      <c r="C29" s="85"/>
      <c r="D29" s="64"/>
    </row>
    <row r="30" spans="1:6" ht="22.5" customHeight="1" x14ac:dyDescent="0.2">
      <c r="A30" s="80"/>
      <c r="B30" s="81"/>
      <c r="C30" s="82"/>
      <c r="D30" s="64"/>
    </row>
    <row r="31" spans="1:6" ht="22.5" customHeight="1" x14ac:dyDescent="0.2">
      <c r="A31" s="83"/>
      <c r="B31" s="84"/>
      <c r="C31" s="85"/>
      <c r="D31" s="64"/>
    </row>
    <row r="32" spans="1:6" ht="22.5" customHeight="1" x14ac:dyDescent="0.2">
      <c r="A32" s="83"/>
      <c r="B32" s="84"/>
      <c r="C32" s="85"/>
      <c r="D32" s="64"/>
    </row>
    <row r="33" spans="1:4" ht="22.5" customHeight="1" x14ac:dyDescent="0.2">
      <c r="A33" s="68"/>
      <c r="B33" s="68"/>
      <c r="C33" s="65"/>
      <c r="D33" s="64"/>
    </row>
    <row r="34" spans="1:4" ht="22.5" customHeight="1" x14ac:dyDescent="0.2">
      <c r="A34" s="67"/>
      <c r="B34" s="67"/>
      <c r="C34" s="65"/>
      <c r="D34" s="64"/>
    </row>
    <row r="35" spans="1:4" ht="22.5" customHeight="1" x14ac:dyDescent="0.2">
      <c r="A35" s="67"/>
      <c r="B35" s="67"/>
      <c r="C35" s="69"/>
      <c r="D35" s="64"/>
    </row>
    <row r="36" spans="1:4" ht="22.5" customHeight="1" x14ac:dyDescent="0.2">
      <c r="A36" s="67"/>
      <c r="B36" s="67"/>
      <c r="C36" s="69"/>
      <c r="D36" s="64"/>
    </row>
    <row r="37" spans="1:4" ht="22.5" customHeight="1" x14ac:dyDescent="0.2">
      <c r="A37" s="67"/>
      <c r="B37" s="67"/>
      <c r="C37" s="69"/>
      <c r="D37" s="64"/>
    </row>
    <row r="38" spans="1:4" ht="22.5" customHeight="1" x14ac:dyDescent="0.2">
      <c r="A38" s="67"/>
      <c r="B38" s="67"/>
      <c r="C38" s="69"/>
      <c r="D38" s="64"/>
    </row>
    <row r="39" spans="1:4" ht="22.5" customHeight="1" x14ac:dyDescent="0.2">
      <c r="A39" s="67"/>
      <c r="B39" s="67"/>
      <c r="C39" s="69"/>
      <c r="D39" s="64"/>
    </row>
    <row r="40" spans="1:4" ht="22.5" customHeight="1" x14ac:dyDescent="0.2">
      <c r="A40" s="70"/>
      <c r="B40" s="70"/>
      <c r="C40" s="71"/>
      <c r="D40" s="64"/>
    </row>
    <row r="41" spans="1:4" ht="22.5" customHeight="1" x14ac:dyDescent="0.2">
      <c r="A41" s="70"/>
      <c r="B41" s="70"/>
      <c r="C41" s="71"/>
      <c r="D41" s="64"/>
    </row>
    <row r="42" spans="1:4" ht="22.5" customHeight="1" x14ac:dyDescent="0.2">
      <c r="A42" s="70"/>
      <c r="B42" s="70"/>
      <c r="C42" s="71"/>
      <c r="D42" s="64"/>
    </row>
    <row r="43" spans="1:4" ht="22.5" customHeight="1" x14ac:dyDescent="0.2">
      <c r="A43" s="70"/>
      <c r="B43" s="70"/>
      <c r="C43" s="71"/>
      <c r="D43" s="64"/>
    </row>
    <row r="44" spans="1:4" ht="22.5" customHeight="1" x14ac:dyDescent="0.2">
      <c r="A44" s="70"/>
      <c r="B44" s="70"/>
      <c r="C44" s="71"/>
      <c r="D44" s="64"/>
    </row>
    <row r="45" spans="1:4" ht="22.5" customHeight="1" x14ac:dyDescent="0.2">
      <c r="A45" s="70"/>
      <c r="B45" s="70"/>
      <c r="C45" s="71"/>
      <c r="D45" s="64"/>
    </row>
    <row r="46" spans="1:4" ht="22.5" customHeight="1" x14ac:dyDescent="0.2">
      <c r="A46" s="70"/>
      <c r="B46" s="70"/>
      <c r="C46" s="71"/>
      <c r="D46" s="64"/>
    </row>
    <row r="47" spans="1:4" ht="22.5" customHeight="1" x14ac:dyDescent="0.2">
      <c r="A47" s="70"/>
      <c r="B47" s="70"/>
      <c r="C47" s="71"/>
      <c r="D47" s="64"/>
    </row>
    <row r="48" spans="1:4" ht="22.5" customHeight="1" x14ac:dyDescent="0.2">
      <c r="A48" s="70"/>
      <c r="B48" s="70"/>
      <c r="C48" s="71"/>
      <c r="D48" s="64"/>
    </row>
    <row r="49" spans="1:4" ht="22.5" customHeight="1" x14ac:dyDescent="0.2">
      <c r="A49" s="63"/>
      <c r="B49" s="72"/>
      <c r="C49" s="73"/>
      <c r="D49" s="74"/>
    </row>
    <row r="50" spans="1:4" ht="22.5" customHeight="1" x14ac:dyDescent="0.2">
      <c r="A50" s="63"/>
      <c r="B50" s="72"/>
      <c r="C50" s="73"/>
      <c r="D50" s="74"/>
    </row>
    <row r="51" spans="1:4" ht="22.5" customHeight="1" x14ac:dyDescent="0.2">
      <c r="A51" s="63"/>
      <c r="B51" s="72"/>
      <c r="C51" s="73"/>
      <c r="D51" s="74"/>
    </row>
    <row r="52" spans="1:4" ht="22.5" customHeight="1" x14ac:dyDescent="0.2">
      <c r="A52" s="67"/>
      <c r="B52" s="75"/>
      <c r="C52" s="73"/>
      <c r="D52" s="74"/>
    </row>
    <row r="53" spans="1:4" ht="22.5" customHeight="1" x14ac:dyDescent="0.2">
      <c r="A53" s="67"/>
      <c r="B53" s="75"/>
      <c r="C53" s="73"/>
      <c r="D53" s="74"/>
    </row>
    <row r="54" spans="1:4" ht="22.5" customHeight="1" x14ac:dyDescent="0.2">
      <c r="A54" s="67"/>
      <c r="B54" s="75"/>
      <c r="C54" s="73"/>
      <c r="D54" s="74"/>
    </row>
    <row r="55" spans="1:4" ht="22.5" customHeight="1" x14ac:dyDescent="0.2">
      <c r="A55" s="67"/>
      <c r="B55" s="75"/>
      <c r="C55" s="73"/>
      <c r="D55" s="74"/>
    </row>
    <row r="56" spans="1:4" ht="22.5" customHeight="1" x14ac:dyDescent="0.2">
      <c r="A56" s="67"/>
      <c r="B56" s="75"/>
      <c r="C56" s="73"/>
      <c r="D56" s="74"/>
    </row>
    <row r="57" spans="1:4" ht="22.5" customHeight="1" x14ac:dyDescent="0.2">
      <c r="A57" s="67"/>
      <c r="B57" s="75"/>
      <c r="C57" s="73"/>
      <c r="D57" s="74"/>
    </row>
    <row r="58" spans="1:4" ht="22.5" customHeight="1" x14ac:dyDescent="0.2">
      <c r="A58" s="67"/>
      <c r="B58" s="75"/>
      <c r="C58" s="73"/>
      <c r="D58" s="74"/>
    </row>
    <row r="59" spans="1:4" ht="22.5" customHeight="1" x14ac:dyDescent="0.2">
      <c r="A59" s="67"/>
      <c r="B59" s="75"/>
      <c r="C59" s="73"/>
      <c r="D59" s="74"/>
    </row>
    <row r="60" spans="1:4" ht="22.5" customHeight="1" x14ac:dyDescent="0.2">
      <c r="A60" s="63"/>
      <c r="B60" s="72"/>
      <c r="C60" s="73"/>
      <c r="D60" s="74"/>
    </row>
    <row r="61" spans="1:4" ht="22.5" customHeight="1" x14ac:dyDescent="0.2">
      <c r="A61" s="63"/>
      <c r="B61" s="72"/>
      <c r="C61" s="73"/>
      <c r="D61" s="74"/>
    </row>
    <row r="62" spans="1:4" ht="22.5" customHeight="1" x14ac:dyDescent="0.2">
      <c r="A62" s="63"/>
      <c r="B62" s="72"/>
      <c r="C62" s="73"/>
      <c r="D62" s="74"/>
    </row>
    <row r="63" spans="1:4" ht="22.5" customHeight="1" x14ac:dyDescent="0.2">
      <c r="A63" s="63"/>
      <c r="B63" s="72"/>
      <c r="C63" s="73"/>
      <c r="D63" s="74"/>
    </row>
    <row r="64" spans="1:4" ht="22.5" customHeight="1" x14ac:dyDescent="0.2">
      <c r="A64" s="63"/>
      <c r="B64" s="72"/>
      <c r="C64" s="73"/>
      <c r="D64" s="76"/>
    </row>
    <row r="65" spans="1:4" ht="22.5" customHeight="1" x14ac:dyDescent="0.2">
      <c r="A65" s="67"/>
      <c r="B65" s="75"/>
      <c r="C65" s="73"/>
      <c r="D65" s="76"/>
    </row>
    <row r="66" spans="1:4" ht="22.5" customHeight="1" x14ac:dyDescent="0.2">
      <c r="A66" s="67"/>
      <c r="B66" s="75"/>
      <c r="C66" s="73"/>
      <c r="D66" s="76"/>
    </row>
    <row r="67" spans="1:4" ht="22.5" customHeight="1" x14ac:dyDescent="0.2">
      <c r="A67" s="67"/>
      <c r="B67" s="75"/>
      <c r="C67" s="73"/>
      <c r="D67" s="76"/>
    </row>
    <row r="68" spans="1:4" ht="22.5" customHeight="1" x14ac:dyDescent="0.2">
      <c r="A68" s="67"/>
      <c r="B68" s="75"/>
      <c r="C68" s="73"/>
      <c r="D68" s="76"/>
    </row>
    <row r="69" spans="1:4" ht="22.5" customHeight="1" x14ac:dyDescent="0.2">
      <c r="A69" s="67"/>
      <c r="B69" s="75"/>
      <c r="C69" s="77"/>
      <c r="D69" s="76"/>
    </row>
    <row r="70" spans="1:4" ht="22.5" customHeight="1" x14ac:dyDescent="0.2">
      <c r="A70" s="67"/>
      <c r="B70" s="75"/>
      <c r="C70" s="77"/>
      <c r="D70" s="62"/>
    </row>
    <row r="71" spans="1:4" ht="22.5" customHeight="1" x14ac:dyDescent="0.2">
      <c r="A71" s="67"/>
      <c r="B71" s="75"/>
      <c r="C71" s="77"/>
      <c r="D71" s="62"/>
    </row>
    <row r="72" spans="1:4" ht="22.5" customHeight="1" x14ac:dyDescent="0.2">
      <c r="A72" s="67"/>
      <c r="B72" s="75"/>
      <c r="C72" s="77"/>
      <c r="D72" s="62"/>
    </row>
    <row r="73" spans="1:4" ht="22.5" customHeight="1" x14ac:dyDescent="0.2">
      <c r="A73" s="67"/>
      <c r="B73" s="75"/>
      <c r="C73" s="77"/>
      <c r="D73" s="62"/>
    </row>
    <row r="74" spans="1:4" ht="22.5" customHeight="1" x14ac:dyDescent="0.2">
      <c r="A74" s="67"/>
      <c r="B74" s="75"/>
      <c r="C74" s="77"/>
      <c r="D74" s="62"/>
    </row>
    <row r="75" spans="1:4" ht="22.5" customHeight="1" x14ac:dyDescent="0.2">
      <c r="A75" s="67"/>
      <c r="B75" s="75"/>
      <c r="C75" s="77"/>
      <c r="D75" s="62"/>
    </row>
    <row r="76" spans="1:4" ht="22.5" customHeight="1" x14ac:dyDescent="0.2">
      <c r="A76" s="67"/>
      <c r="B76" s="75"/>
      <c r="C76" s="77"/>
      <c r="D76" s="62"/>
    </row>
    <row r="77" spans="1:4" ht="22.5" customHeight="1" x14ac:dyDescent="0.2">
      <c r="A77" s="63"/>
      <c r="B77" s="72"/>
      <c r="C77" s="73"/>
      <c r="D77" s="74"/>
    </row>
    <row r="78" spans="1:4" ht="22.5" customHeight="1" x14ac:dyDescent="0.2">
      <c r="A78" s="63"/>
      <c r="B78" s="72"/>
      <c r="C78" s="73"/>
      <c r="D78" s="74"/>
    </row>
    <row r="79" spans="1:4" ht="22.5" customHeight="1" x14ac:dyDescent="0.2">
      <c r="A79" s="63"/>
      <c r="B79" s="72"/>
      <c r="C79" s="73"/>
      <c r="D79" s="74"/>
    </row>
    <row r="80" spans="1:4" ht="22.5" customHeight="1" x14ac:dyDescent="0.2">
      <c r="A80" s="63"/>
      <c r="B80" s="72"/>
      <c r="C80" s="73"/>
      <c r="D80" s="74"/>
    </row>
    <row r="81" spans="1:4" ht="22.5" customHeight="1" x14ac:dyDescent="0.2">
      <c r="A81" s="63"/>
      <c r="B81" s="72"/>
      <c r="C81" s="73"/>
      <c r="D81" s="76"/>
    </row>
    <row r="82" spans="1:4" ht="22.5" customHeight="1" x14ac:dyDescent="0.2">
      <c r="A82" s="63"/>
      <c r="B82" s="72"/>
      <c r="C82" s="73"/>
      <c r="D82" s="76"/>
    </row>
    <row r="83" spans="1:4" ht="22.5" customHeight="1" x14ac:dyDescent="0.2">
      <c r="A83" s="63"/>
      <c r="B83" s="72"/>
      <c r="C83" s="73"/>
      <c r="D83" s="76"/>
    </row>
    <row r="84" spans="1:4" ht="22.5" customHeight="1" x14ac:dyDescent="0.2">
      <c r="A84" s="63"/>
      <c r="B84" s="72"/>
      <c r="C84" s="73"/>
      <c r="D84" s="76"/>
    </row>
    <row r="85" spans="1:4" ht="22.5" customHeight="1" x14ac:dyDescent="0.2">
      <c r="A85" s="67"/>
      <c r="B85" s="75"/>
      <c r="C85" s="73"/>
      <c r="D85" s="76"/>
    </row>
    <row r="86" spans="1:4" ht="22.5" customHeight="1" x14ac:dyDescent="0.2">
      <c r="A86" s="67"/>
      <c r="B86" s="75"/>
      <c r="C86" s="77"/>
      <c r="D86" s="76"/>
    </row>
    <row r="87" spans="1:4" ht="22.5" customHeight="1" x14ac:dyDescent="0.2">
      <c r="A87" s="67"/>
      <c r="B87" s="75"/>
      <c r="C87" s="77"/>
      <c r="D87" s="62"/>
    </row>
    <row r="88" spans="1:4" ht="22.5" customHeight="1" x14ac:dyDescent="0.2">
      <c r="A88" s="67"/>
      <c r="B88" s="75"/>
      <c r="C88" s="77"/>
      <c r="D88" s="62"/>
    </row>
    <row r="89" spans="1:4" ht="22.5" customHeight="1" x14ac:dyDescent="0.2">
      <c r="A89" s="67"/>
      <c r="B89" s="75"/>
      <c r="C89" s="77"/>
      <c r="D89" s="62"/>
    </row>
    <row r="90" spans="1:4" ht="22.5" customHeight="1" x14ac:dyDescent="0.2">
      <c r="A90" s="67"/>
      <c r="B90" s="75"/>
      <c r="C90" s="77"/>
      <c r="D90" s="62"/>
    </row>
    <row r="91" spans="1:4" ht="22.5" customHeight="1" x14ac:dyDescent="0.2">
      <c r="A91" s="67"/>
      <c r="B91" s="75"/>
      <c r="C91" s="77"/>
      <c r="D91" s="62"/>
    </row>
    <row r="92" spans="1:4" ht="22.5" customHeight="1" x14ac:dyDescent="0.2">
      <c r="A92" s="67"/>
      <c r="B92" s="75"/>
      <c r="C92" s="77"/>
      <c r="D92" s="62"/>
    </row>
    <row r="93" spans="1:4" ht="22.5" customHeight="1" x14ac:dyDescent="0.2">
      <c r="A93" s="67"/>
      <c r="B93" s="75"/>
      <c r="C93" s="77"/>
      <c r="D93" s="62"/>
    </row>
    <row r="94" spans="1:4" ht="22.5" customHeight="1" x14ac:dyDescent="0.2">
      <c r="A94" s="60"/>
      <c r="B94" s="60"/>
      <c r="C94" s="60"/>
      <c r="D94" s="62"/>
    </row>
    <row r="95" spans="1:4" ht="22.5" customHeight="1" x14ac:dyDescent="0.2">
      <c r="A95" s="60"/>
      <c r="B95" s="60"/>
      <c r="C95" s="60"/>
      <c r="D95" s="62"/>
    </row>
    <row r="96" spans="1:4" ht="22.5" customHeight="1" x14ac:dyDescent="0.2">
      <c r="A96" s="60"/>
      <c r="B96" s="60"/>
      <c r="C96" s="60"/>
      <c r="D96" s="62"/>
    </row>
    <row r="97" spans="1:4" ht="22.5" customHeight="1" x14ac:dyDescent="0.2">
      <c r="A97" s="60"/>
      <c r="B97" s="60"/>
      <c r="C97" s="60"/>
      <c r="D97" s="62"/>
    </row>
    <row r="98" spans="1:4" ht="22.5" customHeight="1" x14ac:dyDescent="0.2">
      <c r="A98" s="60"/>
      <c r="B98" s="60"/>
      <c r="C98" s="60"/>
      <c r="D98" s="62"/>
    </row>
    <row r="99" spans="1:4" ht="22.5" customHeight="1" x14ac:dyDescent="0.2">
      <c r="A99" s="60"/>
      <c r="B99" s="60"/>
      <c r="C99" s="60"/>
      <c r="D99" s="62"/>
    </row>
    <row r="100" spans="1:4" ht="22.5" customHeight="1" x14ac:dyDescent="0.2">
      <c r="A100" s="60"/>
      <c r="B100" s="60"/>
      <c r="C100" s="60"/>
      <c r="D100" s="62"/>
    </row>
    <row r="101" spans="1:4" ht="22.5" customHeight="1" x14ac:dyDescent="0.2">
      <c r="A101" s="60"/>
      <c r="B101" s="60"/>
      <c r="C101" s="60"/>
      <c r="D101" s="62"/>
    </row>
    <row r="102" spans="1:4" ht="22.5" customHeight="1" x14ac:dyDescent="0.2">
      <c r="A102" s="60"/>
      <c r="B102" s="60"/>
      <c r="C102" s="60"/>
      <c r="D102" s="62"/>
    </row>
    <row r="103" spans="1:4" ht="22.5" customHeight="1" x14ac:dyDescent="0.2">
      <c r="A103" s="60"/>
      <c r="B103" s="60"/>
      <c r="C103" s="60"/>
      <c r="D103" s="62"/>
    </row>
    <row r="104" spans="1:4" ht="22.5" customHeight="1" x14ac:dyDescent="0.2">
      <c r="A104" s="60"/>
      <c r="B104" s="60"/>
      <c r="C104" s="60"/>
      <c r="D104" s="62"/>
    </row>
    <row r="105" spans="1:4" ht="22.5" customHeight="1" x14ac:dyDescent="0.2">
      <c r="A105" s="60"/>
      <c r="B105" s="60"/>
      <c r="C105" s="60"/>
      <c r="D105" s="62"/>
    </row>
    <row r="106" spans="1:4" ht="22.5" customHeight="1" x14ac:dyDescent="0.2">
      <c r="A106" s="60"/>
      <c r="B106" s="60"/>
      <c r="C106" s="60"/>
      <c r="D106" s="62"/>
    </row>
    <row r="107" spans="1:4" ht="22.5" customHeight="1" x14ac:dyDescent="0.2">
      <c r="A107" s="60"/>
      <c r="B107" s="60"/>
      <c r="C107" s="60"/>
      <c r="D107" s="62"/>
    </row>
    <row r="108" spans="1:4" ht="22.5" customHeight="1" x14ac:dyDescent="0.2">
      <c r="A108" s="60"/>
      <c r="B108" s="60"/>
      <c r="C108" s="60"/>
      <c r="D108" s="62"/>
    </row>
    <row r="109" spans="1:4" ht="22.5" customHeight="1" x14ac:dyDescent="0.2">
      <c r="A109" s="60"/>
      <c r="B109" s="60"/>
      <c r="C109" s="60"/>
      <c r="D109" s="62"/>
    </row>
    <row r="110" spans="1:4" ht="22.5" customHeight="1" x14ac:dyDescent="0.2">
      <c r="A110" s="60"/>
      <c r="B110" s="60"/>
      <c r="C110" s="60"/>
      <c r="D110" s="62"/>
    </row>
    <row r="111" spans="1:4" ht="22.5" customHeight="1" x14ac:dyDescent="0.2">
      <c r="A111" s="60"/>
      <c r="B111" s="60"/>
      <c r="C111" s="60"/>
      <c r="D111" s="62"/>
    </row>
    <row r="112" spans="1:4" ht="22.5" customHeight="1" x14ac:dyDescent="0.2">
      <c r="A112" s="60"/>
      <c r="B112" s="60"/>
      <c r="C112" s="60"/>
      <c r="D112" s="62"/>
    </row>
    <row r="113" spans="1:4" ht="22.5" customHeight="1" x14ac:dyDescent="0.2">
      <c r="A113" s="60"/>
      <c r="B113" s="60"/>
      <c r="C113" s="60"/>
      <c r="D113" s="62"/>
    </row>
    <row r="114" spans="1:4" ht="22.5" customHeight="1" x14ac:dyDescent="0.2">
      <c r="A114" s="60"/>
      <c r="B114" s="60"/>
      <c r="C114" s="60"/>
      <c r="D114" s="62"/>
    </row>
    <row r="115" spans="1:4" ht="22.5" customHeight="1" x14ac:dyDescent="0.2">
      <c r="A115" s="60"/>
      <c r="B115" s="60"/>
      <c r="C115" s="60"/>
      <c r="D115" s="62"/>
    </row>
    <row r="116" spans="1:4" ht="22.5" customHeight="1" x14ac:dyDescent="0.2">
      <c r="A116" s="60"/>
      <c r="B116" s="60"/>
      <c r="C116" s="60"/>
      <c r="D116" s="62"/>
    </row>
    <row r="117" spans="1:4" ht="22.5" customHeight="1" x14ac:dyDescent="0.2">
      <c r="A117" s="60"/>
      <c r="B117" s="60"/>
      <c r="C117" s="60"/>
      <c r="D117" s="62"/>
    </row>
    <row r="118" spans="1:4" ht="22.5" customHeight="1" x14ac:dyDescent="0.2">
      <c r="A118" s="60"/>
      <c r="B118" s="60"/>
      <c r="C118" s="60"/>
      <c r="D118" s="62"/>
    </row>
    <row r="119" spans="1:4" ht="22.5" customHeight="1" x14ac:dyDescent="0.2">
      <c r="A119" s="60"/>
      <c r="B119" s="60"/>
      <c r="C119" s="60"/>
      <c r="D119" s="62"/>
    </row>
    <row r="120" spans="1:4" ht="22.5" customHeight="1" x14ac:dyDescent="0.2">
      <c r="A120" s="60"/>
      <c r="B120" s="60"/>
      <c r="C120" s="60"/>
      <c r="D120" s="62"/>
    </row>
    <row r="121" spans="1:4" ht="22.5" customHeight="1" x14ac:dyDescent="0.2">
      <c r="A121" s="60"/>
      <c r="B121" s="60"/>
      <c r="C121" s="60"/>
      <c r="D121" s="62"/>
    </row>
    <row r="122" spans="1:4" ht="22.5" customHeight="1" x14ac:dyDescent="0.2">
      <c r="A122" s="60"/>
      <c r="B122" s="60"/>
      <c r="C122" s="60"/>
      <c r="D122" s="62"/>
    </row>
    <row r="123" spans="1:4" ht="22.5" customHeight="1" x14ac:dyDescent="0.2">
      <c r="A123" s="60"/>
      <c r="B123" s="60"/>
      <c r="C123" s="60"/>
      <c r="D123" s="62"/>
    </row>
    <row r="124" spans="1:4" ht="22.5" customHeight="1" x14ac:dyDescent="0.2">
      <c r="A124" s="60"/>
      <c r="B124" s="60"/>
      <c r="C124" s="60"/>
      <c r="D124" s="62"/>
    </row>
    <row r="125" spans="1:4" ht="22.5" customHeight="1" x14ac:dyDescent="0.2">
      <c r="A125" s="60"/>
      <c r="B125" s="60"/>
      <c r="C125" s="60"/>
      <c r="D125" s="62"/>
    </row>
    <row r="126" spans="1:4" ht="22.5" customHeight="1" x14ac:dyDescent="0.2">
      <c r="A126" s="60"/>
      <c r="B126" s="60"/>
      <c r="C126" s="60"/>
      <c r="D126" s="62"/>
    </row>
    <row r="127" spans="1:4" ht="22.5" customHeight="1" x14ac:dyDescent="0.2">
      <c r="A127" s="60"/>
      <c r="B127" s="60"/>
      <c r="C127" s="60"/>
      <c r="D127" s="62"/>
    </row>
    <row r="128" spans="1:4" ht="22.5" customHeight="1" x14ac:dyDescent="0.2">
      <c r="A128" s="60"/>
      <c r="B128" s="60"/>
      <c r="C128" s="60"/>
      <c r="D128" s="62"/>
    </row>
    <row r="129" spans="1:4" ht="22.5" customHeight="1" x14ac:dyDescent="0.2">
      <c r="A129" s="60"/>
      <c r="B129" s="60"/>
      <c r="C129" s="60"/>
      <c r="D129" s="62"/>
    </row>
    <row r="130" spans="1:4" ht="22.5" customHeight="1" x14ac:dyDescent="0.2">
      <c r="A130" s="60"/>
      <c r="B130" s="60"/>
      <c r="C130" s="60"/>
      <c r="D130" s="62"/>
    </row>
    <row r="131" spans="1:4" ht="22.5" customHeight="1" x14ac:dyDescent="0.2">
      <c r="A131" s="60"/>
      <c r="B131" s="60"/>
      <c r="C131" s="60"/>
      <c r="D131" s="62"/>
    </row>
    <row r="132" spans="1:4" ht="22.5" customHeight="1" x14ac:dyDescent="0.2">
      <c r="A132" s="60"/>
      <c r="B132" s="60"/>
      <c r="C132" s="60"/>
      <c r="D132" s="62"/>
    </row>
    <row r="133" spans="1:4" ht="22.5" customHeight="1" x14ac:dyDescent="0.2">
      <c r="A133" s="60"/>
      <c r="B133" s="60"/>
      <c r="C133" s="60"/>
      <c r="D133" s="62"/>
    </row>
    <row r="134" spans="1:4" ht="22.5" customHeight="1" x14ac:dyDescent="0.2">
      <c r="A134" s="60"/>
      <c r="B134" s="60"/>
      <c r="C134" s="60"/>
      <c r="D134" s="62"/>
    </row>
    <row r="135" spans="1:4" ht="22.5" customHeight="1" x14ac:dyDescent="0.2">
      <c r="A135" s="60"/>
      <c r="B135" s="60"/>
      <c r="C135" s="60"/>
      <c r="D135" s="62"/>
    </row>
    <row r="136" spans="1:4" ht="22.5" customHeight="1" x14ac:dyDescent="0.2">
      <c r="A136" s="60"/>
      <c r="B136" s="60"/>
      <c r="C136" s="60"/>
      <c r="D136" s="62"/>
    </row>
    <row r="137" spans="1:4" ht="22.5" customHeight="1" x14ac:dyDescent="0.2">
      <c r="A137" s="60"/>
      <c r="B137" s="60"/>
      <c r="C137" s="60"/>
      <c r="D137" s="62"/>
    </row>
    <row r="138" spans="1:4" ht="22.5" customHeight="1" x14ac:dyDescent="0.2">
      <c r="A138" s="60"/>
      <c r="B138" s="60"/>
      <c r="C138" s="60"/>
      <c r="D138" s="62"/>
    </row>
    <row r="139" spans="1:4" ht="22.5" customHeight="1" x14ac:dyDescent="0.2">
      <c r="A139" s="60"/>
      <c r="B139" s="60"/>
      <c r="C139" s="60"/>
      <c r="D139" s="62"/>
    </row>
    <row r="140" spans="1:4" ht="22.5" customHeight="1" x14ac:dyDescent="0.2">
      <c r="A140" s="60"/>
      <c r="B140" s="60"/>
      <c r="C140" s="60"/>
      <c r="D140" s="62"/>
    </row>
    <row r="141" spans="1:4" ht="22.5" customHeight="1" x14ac:dyDescent="0.2">
      <c r="A141" s="60"/>
      <c r="B141" s="60"/>
      <c r="C141" s="60"/>
      <c r="D141" s="62"/>
    </row>
    <row r="142" spans="1:4" ht="22.5" customHeight="1" x14ac:dyDescent="0.2">
      <c r="A142" s="60"/>
      <c r="B142" s="60"/>
      <c r="C142" s="60"/>
      <c r="D142" s="62"/>
    </row>
    <row r="143" spans="1:4" ht="22.5" customHeight="1" x14ac:dyDescent="0.2">
      <c r="A143" s="60"/>
      <c r="B143" s="60"/>
      <c r="C143" s="60"/>
      <c r="D143" s="62"/>
    </row>
    <row r="144" spans="1:4" ht="22.5" customHeight="1" x14ac:dyDescent="0.2">
      <c r="A144" s="60"/>
      <c r="B144" s="60"/>
      <c r="C144" s="60"/>
      <c r="D144" s="62"/>
    </row>
    <row r="145" spans="1:4" ht="22.5" customHeight="1" x14ac:dyDescent="0.2">
      <c r="A145" s="60"/>
      <c r="B145" s="60"/>
      <c r="C145" s="60"/>
      <c r="D145" s="62"/>
    </row>
    <row r="146" spans="1:4" ht="22.5" customHeight="1" x14ac:dyDescent="0.2">
      <c r="A146" s="60"/>
      <c r="B146" s="60"/>
      <c r="C146" s="60"/>
      <c r="D146" s="62"/>
    </row>
    <row r="147" spans="1:4" ht="22.5" customHeight="1" x14ac:dyDescent="0.2">
      <c r="A147" s="60"/>
      <c r="B147" s="60"/>
      <c r="C147" s="60"/>
      <c r="D147" s="62"/>
    </row>
    <row r="148" spans="1:4" ht="22.5" customHeight="1" x14ac:dyDescent="0.2">
      <c r="A148" s="60"/>
      <c r="B148" s="60"/>
      <c r="C148" s="60"/>
      <c r="D148" s="62"/>
    </row>
    <row r="149" spans="1:4" ht="22.5" customHeight="1" x14ac:dyDescent="0.2">
      <c r="A149" s="60"/>
      <c r="B149" s="60"/>
      <c r="C149" s="60"/>
      <c r="D149" s="62"/>
    </row>
    <row r="150" spans="1:4" ht="22.5" customHeight="1" x14ac:dyDescent="0.2">
      <c r="A150" s="60"/>
      <c r="B150" s="60"/>
      <c r="C150" s="60"/>
      <c r="D150" s="62"/>
    </row>
    <row r="151" spans="1:4" ht="22.5" customHeight="1" x14ac:dyDescent="0.2">
      <c r="A151" s="60"/>
      <c r="B151" s="60"/>
      <c r="C151" s="60"/>
      <c r="D151" s="62"/>
    </row>
    <row r="152" spans="1:4" ht="22.5" customHeight="1" x14ac:dyDescent="0.2">
      <c r="A152" s="60"/>
      <c r="B152" s="60"/>
      <c r="C152" s="60"/>
      <c r="D152" s="62"/>
    </row>
    <row r="153" spans="1:4" ht="22.5" customHeight="1" x14ac:dyDescent="0.2">
      <c r="A153" s="60"/>
      <c r="B153" s="60"/>
      <c r="C153" s="60"/>
      <c r="D153" s="62"/>
    </row>
    <row r="154" spans="1:4" ht="22.5" customHeight="1" x14ac:dyDescent="0.2">
      <c r="A154" s="60"/>
      <c r="B154" s="60"/>
      <c r="C154" s="60"/>
      <c r="D154" s="62"/>
    </row>
    <row r="155" spans="1:4" ht="22.5" customHeight="1" x14ac:dyDescent="0.2">
      <c r="A155" s="60"/>
      <c r="B155" s="60"/>
      <c r="C155" s="60"/>
      <c r="D155" s="62"/>
    </row>
    <row r="156" spans="1:4" ht="22.5" customHeight="1" x14ac:dyDescent="0.2">
      <c r="A156" s="60"/>
      <c r="B156" s="60"/>
      <c r="C156" s="60"/>
      <c r="D156" s="62"/>
    </row>
    <row r="157" spans="1:4" ht="22.5" customHeight="1" x14ac:dyDescent="0.2">
      <c r="A157" s="60"/>
      <c r="B157" s="60"/>
      <c r="C157" s="60"/>
      <c r="D157" s="62"/>
    </row>
    <row r="158" spans="1:4" ht="22.5" customHeight="1" x14ac:dyDescent="0.2">
      <c r="A158" s="60"/>
      <c r="B158" s="60"/>
      <c r="C158" s="60"/>
      <c r="D158" s="62"/>
    </row>
    <row r="159" spans="1:4" ht="22.5" customHeight="1" x14ac:dyDescent="0.2">
      <c r="A159" s="60"/>
      <c r="B159" s="60"/>
      <c r="C159" s="60"/>
      <c r="D159" s="62"/>
    </row>
    <row r="160" spans="1:4" ht="22.5" customHeight="1" x14ac:dyDescent="0.2">
      <c r="A160" s="60"/>
      <c r="B160" s="60"/>
      <c r="C160" s="60"/>
      <c r="D160" s="62"/>
    </row>
    <row r="161" spans="1:4" ht="22.5" customHeight="1" x14ac:dyDescent="0.2">
      <c r="A161" s="60"/>
      <c r="B161" s="60"/>
      <c r="C161" s="60"/>
      <c r="D161" s="62"/>
    </row>
    <row r="162" spans="1:4" ht="22.5" customHeight="1" x14ac:dyDescent="0.2">
      <c r="A162" s="60"/>
      <c r="B162" s="60"/>
      <c r="C162" s="60"/>
      <c r="D162" s="62"/>
    </row>
    <row r="163" spans="1:4" ht="22.5" customHeight="1" x14ac:dyDescent="0.2">
      <c r="A163" s="60"/>
      <c r="B163" s="60"/>
      <c r="C163" s="60"/>
      <c r="D163" s="62"/>
    </row>
    <row r="164" spans="1:4" ht="22.5" customHeight="1" x14ac:dyDescent="0.2">
      <c r="A164" s="60"/>
      <c r="B164" s="60"/>
      <c r="C164" s="60"/>
      <c r="D164" s="62"/>
    </row>
    <row r="165" spans="1:4" ht="22.5" customHeight="1" x14ac:dyDescent="0.2">
      <c r="A165" s="60"/>
      <c r="B165" s="60"/>
      <c r="C165" s="60"/>
      <c r="D165" s="62"/>
    </row>
    <row r="166" spans="1:4" ht="22.5" customHeight="1" x14ac:dyDescent="0.2">
      <c r="A166" s="60"/>
      <c r="B166" s="60"/>
      <c r="C166" s="60"/>
      <c r="D166" s="62"/>
    </row>
    <row r="167" spans="1:4" ht="22.5" customHeight="1" x14ac:dyDescent="0.2">
      <c r="A167" s="60"/>
      <c r="B167" s="60"/>
      <c r="C167" s="60"/>
      <c r="D167" s="62"/>
    </row>
    <row r="168" spans="1:4" ht="22.5" customHeight="1" x14ac:dyDescent="0.2">
      <c r="A168" s="60"/>
      <c r="B168" s="60"/>
      <c r="C168" s="60"/>
      <c r="D168" s="62"/>
    </row>
    <row r="169" spans="1:4" ht="22.5" customHeight="1" x14ac:dyDescent="0.2">
      <c r="A169" s="60"/>
      <c r="B169" s="60"/>
      <c r="C169" s="60"/>
      <c r="D169" s="62"/>
    </row>
    <row r="170" spans="1:4" ht="22.5" customHeight="1" x14ac:dyDescent="0.2">
      <c r="A170" s="60"/>
      <c r="B170" s="60"/>
      <c r="C170" s="60"/>
      <c r="D170" s="62"/>
    </row>
    <row r="171" spans="1:4" ht="22.5" customHeight="1" x14ac:dyDescent="0.2">
      <c r="A171" s="60"/>
      <c r="B171" s="60"/>
      <c r="C171" s="60"/>
      <c r="D171" s="62"/>
    </row>
    <row r="172" spans="1:4" ht="22.5" customHeight="1" x14ac:dyDescent="0.2">
      <c r="A172" s="60"/>
      <c r="B172" s="60"/>
      <c r="C172" s="60"/>
      <c r="D172" s="62"/>
    </row>
    <row r="173" spans="1:4" ht="22.5" customHeight="1" x14ac:dyDescent="0.2">
      <c r="A173" s="60"/>
      <c r="B173" s="60"/>
      <c r="C173" s="60"/>
      <c r="D173" s="62"/>
    </row>
    <row r="174" spans="1:4" ht="22.5" customHeight="1" x14ac:dyDescent="0.2">
      <c r="A174" s="60"/>
      <c r="B174" s="60"/>
      <c r="C174" s="60"/>
      <c r="D174" s="62"/>
    </row>
    <row r="175" spans="1:4" ht="22.5" customHeight="1" x14ac:dyDescent="0.2">
      <c r="A175" s="60"/>
      <c r="B175" s="60"/>
      <c r="C175" s="60"/>
      <c r="D175" s="62"/>
    </row>
    <row r="176" spans="1:4" ht="22.5" customHeight="1" x14ac:dyDescent="0.2">
      <c r="A176" s="60"/>
      <c r="B176" s="60"/>
      <c r="C176" s="60"/>
      <c r="D176" s="62"/>
    </row>
    <row r="177" spans="1:4" ht="22.5" customHeight="1" x14ac:dyDescent="0.2">
      <c r="A177" s="60"/>
      <c r="B177" s="60"/>
      <c r="C177" s="61"/>
      <c r="D177" s="62"/>
    </row>
    <row r="178" spans="1:4" ht="22.5" customHeight="1" x14ac:dyDescent="0.2">
      <c r="A178" s="60"/>
      <c r="B178" s="60"/>
      <c r="C178" s="60"/>
      <c r="D178" s="62"/>
    </row>
    <row r="179" spans="1:4" ht="22.5" customHeight="1" x14ac:dyDescent="0.2">
      <c r="A179" s="60"/>
      <c r="B179" s="60"/>
      <c r="C179" s="60"/>
      <c r="D179" s="62"/>
    </row>
    <row r="180" spans="1:4" ht="22.5" customHeight="1" x14ac:dyDescent="0.2">
      <c r="A180" s="60"/>
      <c r="B180" s="60"/>
      <c r="C180" s="60"/>
      <c r="D180" s="62"/>
    </row>
    <row r="181" spans="1:4" ht="22.5" customHeight="1" x14ac:dyDescent="0.2">
      <c r="A181" s="60"/>
      <c r="B181" s="60"/>
      <c r="C181" s="60"/>
      <c r="D181" s="62"/>
    </row>
    <row r="182" spans="1:4" ht="22.5" customHeight="1" x14ac:dyDescent="0.2">
      <c r="A182" s="60"/>
      <c r="B182" s="60"/>
      <c r="C182" s="60"/>
      <c r="D182" s="62"/>
    </row>
    <row r="183" spans="1:4" ht="22.5" customHeight="1" x14ac:dyDescent="0.2">
      <c r="A183" s="60"/>
      <c r="B183" s="60"/>
      <c r="C183" s="60"/>
      <c r="D183" s="62"/>
    </row>
    <row r="184" spans="1:4" ht="22.5" customHeight="1" x14ac:dyDescent="0.2">
      <c r="A184" s="60"/>
      <c r="B184" s="60"/>
      <c r="C184" s="60"/>
      <c r="D184" s="62"/>
    </row>
    <row r="185" spans="1:4" ht="22.5" customHeight="1" x14ac:dyDescent="0.2">
      <c r="A185" s="60"/>
      <c r="B185" s="60"/>
      <c r="C185" s="60"/>
      <c r="D185" s="62"/>
    </row>
    <row r="186" spans="1:4" ht="22.5" customHeight="1" x14ac:dyDescent="0.2">
      <c r="A186" s="60"/>
      <c r="B186" s="60"/>
      <c r="C186" s="60"/>
      <c r="D186" s="62"/>
    </row>
    <row r="187" spans="1:4" ht="22.5" customHeight="1" x14ac:dyDescent="0.2">
      <c r="A187" s="60"/>
      <c r="B187" s="60"/>
      <c r="C187" s="60"/>
      <c r="D187" s="62"/>
    </row>
    <row r="188" spans="1:4" ht="22.5" customHeight="1" x14ac:dyDescent="0.2">
      <c r="A188" s="60"/>
      <c r="B188" s="60"/>
      <c r="C188" s="60"/>
      <c r="D188" s="62"/>
    </row>
    <row r="189" spans="1:4" ht="22.5" customHeight="1" x14ac:dyDescent="0.2">
      <c r="A189" s="60"/>
      <c r="B189" s="60"/>
      <c r="C189" s="60"/>
      <c r="D189" s="62"/>
    </row>
    <row r="190" spans="1:4" ht="22.5" customHeight="1" x14ac:dyDescent="0.2">
      <c r="A190" s="60"/>
      <c r="B190" s="60"/>
      <c r="C190" s="60"/>
      <c r="D190" s="62"/>
    </row>
    <row r="191" spans="1:4" ht="22.5" customHeight="1" x14ac:dyDescent="0.2">
      <c r="A191" s="60"/>
      <c r="B191" s="60"/>
      <c r="C191" s="60"/>
      <c r="D191" s="62"/>
    </row>
    <row r="192" spans="1:4" ht="22.5" customHeight="1" x14ac:dyDescent="0.2">
      <c r="A192" s="60"/>
      <c r="B192" s="60"/>
      <c r="C192" s="60"/>
      <c r="D192" s="62"/>
    </row>
    <row r="193" spans="1:4" ht="22.5" customHeight="1" x14ac:dyDescent="0.2">
      <c r="A193" s="60"/>
      <c r="B193" s="60"/>
      <c r="C193" s="60"/>
      <c r="D193" s="62"/>
    </row>
    <row r="194" spans="1:4" ht="22.5" customHeight="1" x14ac:dyDescent="0.2">
      <c r="A194" s="60"/>
      <c r="B194" s="60"/>
      <c r="C194" s="60"/>
      <c r="D194" s="62"/>
    </row>
    <row r="195" spans="1:4" ht="22.5" customHeight="1" x14ac:dyDescent="0.2">
      <c r="A195" s="60"/>
      <c r="B195" s="60"/>
      <c r="C195" s="60"/>
      <c r="D195" s="62"/>
    </row>
    <row r="196" spans="1:4" ht="22.5" customHeight="1" x14ac:dyDescent="0.2">
      <c r="A196" s="60"/>
      <c r="B196" s="60"/>
      <c r="C196" s="60"/>
      <c r="D196" s="62"/>
    </row>
    <row r="197" spans="1:4" ht="22.5" customHeight="1" x14ac:dyDescent="0.2">
      <c r="A197" s="60"/>
      <c r="B197" s="60"/>
      <c r="C197" s="60"/>
      <c r="D197" s="62"/>
    </row>
    <row r="198" spans="1:4" ht="22.5" customHeight="1" x14ac:dyDescent="0.2">
      <c r="A198" s="60"/>
      <c r="B198" s="60"/>
      <c r="C198" s="60"/>
      <c r="D198" s="62"/>
    </row>
    <row r="199" spans="1:4" ht="22.5" customHeight="1" x14ac:dyDescent="0.2">
      <c r="A199" s="60"/>
      <c r="B199" s="60"/>
      <c r="C199" s="60"/>
      <c r="D199" s="62"/>
    </row>
    <row r="200" spans="1:4" ht="22.5" customHeight="1" x14ac:dyDescent="0.2">
      <c r="A200" s="60"/>
      <c r="B200" s="60"/>
      <c r="C200" s="60"/>
      <c r="D200" s="62"/>
    </row>
    <row r="201" spans="1:4" ht="22.5" customHeight="1" x14ac:dyDescent="0.2">
      <c r="A201" s="60"/>
      <c r="B201" s="60"/>
      <c r="C201" s="60"/>
      <c r="D201" s="62"/>
    </row>
    <row r="202" spans="1:4" ht="22.5" customHeight="1" x14ac:dyDescent="0.2">
      <c r="A202" s="60"/>
      <c r="B202" s="60"/>
      <c r="C202" s="60"/>
      <c r="D202" s="62"/>
    </row>
    <row r="203" spans="1:4" ht="22.5" customHeight="1" x14ac:dyDescent="0.2">
      <c r="A203" s="60"/>
      <c r="B203" s="60"/>
      <c r="C203" s="60"/>
      <c r="D203" s="62"/>
    </row>
    <row r="204" spans="1:4" ht="22.5" customHeight="1" x14ac:dyDescent="0.2">
      <c r="A204" s="60"/>
      <c r="B204" s="60"/>
      <c r="C204" s="60"/>
      <c r="D204" s="62"/>
    </row>
    <row r="205" spans="1:4" ht="22.5" customHeight="1" x14ac:dyDescent="0.2">
      <c r="A205" s="60"/>
      <c r="B205" s="60"/>
      <c r="C205" s="60"/>
      <c r="D205" s="62"/>
    </row>
    <row r="206" spans="1:4" ht="22.5" customHeight="1" x14ac:dyDescent="0.2">
      <c r="A206" s="60"/>
      <c r="B206" s="60"/>
      <c r="C206" s="60"/>
      <c r="D206" s="62"/>
    </row>
    <row r="207" spans="1:4" ht="22.5" customHeight="1" x14ac:dyDescent="0.2">
      <c r="A207" s="60"/>
      <c r="B207" s="60"/>
      <c r="C207" s="60"/>
      <c r="D207" s="62"/>
    </row>
    <row r="208" spans="1:4" ht="22.5" customHeight="1" x14ac:dyDescent="0.2">
      <c r="A208" s="60"/>
      <c r="B208" s="60"/>
      <c r="C208" s="60"/>
      <c r="D208" s="62"/>
    </row>
    <row r="209" spans="1:4" ht="22.5" customHeight="1" x14ac:dyDescent="0.2">
      <c r="A209" s="60"/>
      <c r="B209" s="60"/>
      <c r="C209" s="60"/>
      <c r="D209" s="62"/>
    </row>
    <row r="210" spans="1:4" ht="22.5" customHeight="1" x14ac:dyDescent="0.2">
      <c r="A210" s="60"/>
      <c r="B210" s="60"/>
      <c r="C210" s="60"/>
      <c r="D210" s="62"/>
    </row>
    <row r="211" spans="1:4" ht="22.5" customHeight="1" x14ac:dyDescent="0.2">
      <c r="A211" s="60"/>
      <c r="B211" s="60"/>
      <c r="C211" s="60"/>
      <c r="D211" s="62"/>
    </row>
    <row r="212" spans="1:4" ht="22.5" customHeight="1" x14ac:dyDescent="0.2">
      <c r="A212" s="60"/>
      <c r="B212" s="60"/>
      <c r="C212" s="60"/>
      <c r="D212" s="62"/>
    </row>
    <row r="213" spans="1:4" ht="22.5" customHeight="1" x14ac:dyDescent="0.2">
      <c r="A213" s="60"/>
      <c r="B213" s="60"/>
      <c r="C213" s="60"/>
      <c r="D213" s="62"/>
    </row>
    <row r="214" spans="1:4" ht="22.5" customHeight="1" x14ac:dyDescent="0.2">
      <c r="A214" s="60"/>
      <c r="B214" s="60"/>
      <c r="C214" s="60"/>
      <c r="D214" s="62"/>
    </row>
    <row r="215" spans="1:4" ht="22.5" customHeight="1" x14ac:dyDescent="0.2">
      <c r="A215" s="60"/>
      <c r="B215" s="60"/>
      <c r="C215" s="60"/>
      <c r="D215" s="62"/>
    </row>
    <row r="216" spans="1:4" ht="22.5" customHeight="1" x14ac:dyDescent="0.2">
      <c r="A216" s="60"/>
      <c r="B216" s="60"/>
      <c r="C216" s="60"/>
      <c r="D216" s="62"/>
    </row>
    <row r="217" spans="1:4" ht="22.5" customHeight="1" x14ac:dyDescent="0.2">
      <c r="A217" s="60"/>
      <c r="B217" s="60"/>
      <c r="C217" s="60"/>
      <c r="D217" s="62"/>
    </row>
    <row r="218" spans="1:4" ht="22.5" customHeight="1" x14ac:dyDescent="0.2">
      <c r="A218" s="60"/>
      <c r="B218" s="60"/>
      <c r="C218" s="60"/>
      <c r="D218" s="62"/>
    </row>
    <row r="219" spans="1:4" ht="22.5" customHeight="1" x14ac:dyDescent="0.2">
      <c r="A219" s="60"/>
      <c r="B219" s="60"/>
      <c r="C219" s="60"/>
      <c r="D219" s="62"/>
    </row>
    <row r="220" spans="1:4" ht="22.5" customHeight="1" x14ac:dyDescent="0.2">
      <c r="A220" s="60"/>
      <c r="B220" s="60"/>
      <c r="C220" s="60"/>
      <c r="D220" s="62"/>
    </row>
    <row r="221" spans="1:4" ht="22.5" customHeight="1" x14ac:dyDescent="0.2">
      <c r="A221" s="60"/>
      <c r="B221" s="60"/>
      <c r="C221" s="60"/>
      <c r="D221" s="62"/>
    </row>
    <row r="222" spans="1:4" ht="22.5" customHeight="1" x14ac:dyDescent="0.2">
      <c r="A222" s="60"/>
      <c r="B222" s="60"/>
      <c r="C222" s="60"/>
      <c r="D222" s="62"/>
    </row>
    <row r="223" spans="1:4" ht="22.5" customHeight="1" x14ac:dyDescent="0.2">
      <c r="A223" s="60"/>
      <c r="B223" s="60"/>
      <c r="C223" s="60"/>
      <c r="D223" s="62"/>
    </row>
    <row r="224" spans="1:4" ht="22.5" customHeight="1" x14ac:dyDescent="0.2">
      <c r="A224" s="60"/>
      <c r="B224" s="60"/>
      <c r="C224" s="60"/>
      <c r="D224" s="62"/>
    </row>
    <row r="225" spans="1:4" ht="22.5" customHeight="1" x14ac:dyDescent="0.2">
      <c r="A225" s="60"/>
      <c r="B225" s="60"/>
      <c r="C225" s="60"/>
      <c r="D225" s="62"/>
    </row>
    <row r="226" spans="1:4" ht="22.5" customHeight="1" x14ac:dyDescent="0.2">
      <c r="A226" s="60"/>
      <c r="B226" s="60"/>
      <c r="C226" s="60"/>
      <c r="D226" s="62"/>
    </row>
    <row r="227" spans="1:4" ht="22.5" customHeight="1" x14ac:dyDescent="0.2">
      <c r="A227" s="60"/>
      <c r="B227" s="60"/>
      <c r="C227" s="60"/>
      <c r="D227" s="62"/>
    </row>
    <row r="228" spans="1:4" ht="22.5" customHeight="1" x14ac:dyDescent="0.2">
      <c r="A228" s="60"/>
      <c r="B228" s="60"/>
      <c r="C228" s="60"/>
      <c r="D228" s="62"/>
    </row>
    <row r="229" spans="1:4" ht="22.5" customHeight="1" x14ac:dyDescent="0.2">
      <c r="A229" s="60"/>
      <c r="B229" s="60"/>
      <c r="C229" s="60"/>
      <c r="D229" s="62"/>
    </row>
    <row r="230" spans="1:4" ht="22.5" customHeight="1" x14ac:dyDescent="0.2">
      <c r="A230" s="60"/>
      <c r="B230" s="60"/>
      <c r="C230" s="60"/>
      <c r="D230" s="62"/>
    </row>
    <row r="231" spans="1:4" ht="22.5" customHeight="1" x14ac:dyDescent="0.2">
      <c r="A231" s="60"/>
      <c r="B231" s="60"/>
      <c r="C231" s="60"/>
      <c r="D231" s="62"/>
    </row>
    <row r="232" spans="1:4" ht="22.5" customHeight="1" x14ac:dyDescent="0.2">
      <c r="A232" s="60"/>
      <c r="B232" s="60"/>
      <c r="C232" s="60"/>
      <c r="D232" s="62"/>
    </row>
    <row r="233" spans="1:4" ht="22.5" customHeight="1" x14ac:dyDescent="0.2">
      <c r="A233" s="60"/>
      <c r="B233" s="60"/>
      <c r="C233" s="60"/>
      <c r="D233" s="62"/>
    </row>
    <row r="234" spans="1:4" ht="22.5" customHeight="1" x14ac:dyDescent="0.2">
      <c r="A234" s="60"/>
      <c r="B234" s="60"/>
      <c r="C234" s="60"/>
      <c r="D234" s="62"/>
    </row>
    <row r="235" spans="1:4" ht="22.5" customHeight="1" x14ac:dyDescent="0.2">
      <c r="A235" s="60"/>
      <c r="B235" s="60"/>
      <c r="C235" s="60"/>
      <c r="D235" s="62"/>
    </row>
    <row r="236" spans="1:4" ht="22.5" customHeight="1" x14ac:dyDescent="0.2">
      <c r="A236" s="60"/>
      <c r="B236" s="60"/>
      <c r="C236" s="60"/>
      <c r="D236" s="62"/>
    </row>
    <row r="237" spans="1:4" ht="22.5" customHeight="1" x14ac:dyDescent="0.2">
      <c r="A237" s="60"/>
      <c r="B237" s="60"/>
      <c r="C237" s="60"/>
      <c r="D237" s="62"/>
    </row>
    <row r="238" spans="1:4" ht="22.5" customHeight="1" x14ac:dyDescent="0.2">
      <c r="A238" s="60"/>
      <c r="B238" s="60"/>
      <c r="C238" s="60"/>
      <c r="D238" s="62"/>
    </row>
    <row r="239" spans="1:4" ht="22.5" customHeight="1" x14ac:dyDescent="0.2">
      <c r="A239" s="60"/>
      <c r="B239" s="60"/>
      <c r="C239" s="60"/>
      <c r="D239" s="62"/>
    </row>
    <row r="240" spans="1:4" ht="22.5" customHeight="1" x14ac:dyDescent="0.2">
      <c r="A240" s="60"/>
      <c r="B240" s="60"/>
      <c r="C240" s="60"/>
      <c r="D240" s="62"/>
    </row>
    <row r="241" spans="1:4" ht="22.5" customHeight="1" x14ac:dyDescent="0.2">
      <c r="A241" s="60"/>
      <c r="B241" s="60"/>
      <c r="C241" s="60"/>
      <c r="D241" s="62"/>
    </row>
    <row r="242" spans="1:4" ht="22.5" customHeight="1" x14ac:dyDescent="0.2">
      <c r="A242" s="60"/>
      <c r="B242" s="60"/>
      <c r="C242" s="60"/>
      <c r="D242" s="62"/>
    </row>
    <row r="243" spans="1:4" ht="22.5" customHeight="1" x14ac:dyDescent="0.2">
      <c r="A243" s="60"/>
      <c r="B243" s="60"/>
      <c r="C243" s="60"/>
      <c r="D243" s="62"/>
    </row>
    <row r="244" spans="1:4" ht="22.5" customHeight="1" x14ac:dyDescent="0.2">
      <c r="A244" s="60"/>
      <c r="B244" s="60"/>
      <c r="C244" s="60"/>
      <c r="D244" s="62"/>
    </row>
    <row r="245" spans="1:4" ht="22.5" customHeight="1" x14ac:dyDescent="0.2">
      <c r="A245" s="60"/>
      <c r="B245" s="60"/>
      <c r="C245" s="60"/>
      <c r="D245" s="62"/>
    </row>
    <row r="246" spans="1:4" ht="22.5" customHeight="1" x14ac:dyDescent="0.2">
      <c r="A246" s="60"/>
      <c r="B246" s="60"/>
      <c r="C246" s="60"/>
      <c r="D246" s="62"/>
    </row>
    <row r="247" spans="1:4" ht="22.5" customHeight="1" x14ac:dyDescent="0.2">
      <c r="A247" s="60"/>
      <c r="B247" s="60"/>
      <c r="C247" s="60"/>
      <c r="D247" s="62"/>
    </row>
    <row r="248" spans="1:4" ht="22.5" customHeight="1" x14ac:dyDescent="0.2">
      <c r="A248" s="60"/>
      <c r="B248" s="60"/>
      <c r="C248" s="60"/>
      <c r="D248" s="62"/>
    </row>
    <row r="249" spans="1:4" ht="22.5" customHeight="1" x14ac:dyDescent="0.2">
      <c r="A249" s="60"/>
      <c r="B249" s="60"/>
      <c r="C249" s="60"/>
      <c r="D249" s="62"/>
    </row>
    <row r="250" spans="1:4" ht="22.5" customHeight="1" x14ac:dyDescent="0.2">
      <c r="A250" s="60"/>
      <c r="B250" s="60"/>
      <c r="C250" s="60"/>
      <c r="D250" s="62"/>
    </row>
    <row r="251" spans="1:4" ht="22.5" customHeight="1" x14ac:dyDescent="0.2">
      <c r="A251" s="60"/>
      <c r="B251" s="60"/>
      <c r="C251" s="60"/>
      <c r="D251" s="62"/>
    </row>
    <row r="252" spans="1:4" ht="22.5" customHeight="1" x14ac:dyDescent="0.2">
      <c r="A252" s="60"/>
      <c r="B252" s="60"/>
      <c r="C252" s="60"/>
      <c r="D252" s="62"/>
    </row>
    <row r="253" spans="1:4" ht="22.5" customHeight="1" x14ac:dyDescent="0.2">
      <c r="A253" s="60"/>
      <c r="B253" s="60"/>
      <c r="C253" s="60"/>
      <c r="D253" s="62"/>
    </row>
    <row r="254" spans="1:4" ht="22.5" customHeight="1" x14ac:dyDescent="0.2">
      <c r="A254" s="60"/>
      <c r="B254" s="60"/>
      <c r="C254" s="60"/>
      <c r="D254" s="62"/>
    </row>
    <row r="255" spans="1:4" ht="22.5" customHeight="1" x14ac:dyDescent="0.2">
      <c r="A255" s="23"/>
      <c r="B255" s="23"/>
      <c r="C255" s="23"/>
      <c r="D255" s="62"/>
    </row>
    <row r="256" spans="1:4" ht="22.5" customHeight="1" x14ac:dyDescent="0.2">
      <c r="A256" s="23"/>
      <c r="B256" s="23"/>
      <c r="C256" s="23"/>
      <c r="D256" s="62"/>
    </row>
    <row r="257" spans="1:4" ht="22.5" customHeight="1" x14ac:dyDescent="0.2">
      <c r="A257" s="23"/>
      <c r="B257" s="23"/>
      <c r="C257" s="23"/>
      <c r="D257" s="62"/>
    </row>
    <row r="258" spans="1:4" ht="22.5" customHeight="1" x14ac:dyDescent="0.2">
      <c r="A258" s="23"/>
      <c r="B258" s="23"/>
      <c r="C258" s="23"/>
      <c r="D258" s="62"/>
    </row>
    <row r="259" spans="1:4" ht="22.5" customHeight="1" x14ac:dyDescent="0.2">
      <c r="A259" s="23"/>
      <c r="B259" s="23"/>
      <c r="C259" s="23"/>
      <c r="D259" s="62"/>
    </row>
    <row r="260" spans="1:4" ht="22.5" customHeight="1" x14ac:dyDescent="0.2">
      <c r="A260" s="23"/>
      <c r="B260" s="23"/>
      <c r="C260" s="23"/>
      <c r="D260" s="62"/>
    </row>
    <row r="261" spans="1:4" ht="22.5" customHeight="1" x14ac:dyDescent="0.2">
      <c r="A261" s="23"/>
      <c r="B261" s="23"/>
      <c r="C261" s="23"/>
      <c r="D261" s="62"/>
    </row>
    <row r="262" spans="1:4" ht="22.5" customHeight="1" x14ac:dyDescent="0.2">
      <c r="A262" s="23"/>
      <c r="B262" s="23"/>
      <c r="C262" s="23"/>
      <c r="D262" s="62"/>
    </row>
    <row r="263" spans="1:4" ht="22.5" customHeight="1" x14ac:dyDescent="0.2">
      <c r="A263" s="23"/>
      <c r="B263" s="23"/>
      <c r="C263" s="23"/>
      <c r="D263" s="62"/>
    </row>
    <row r="264" spans="1:4" ht="22.5" customHeight="1" x14ac:dyDescent="0.2">
      <c r="A264" s="23"/>
      <c r="B264" s="23"/>
      <c r="C264" s="23"/>
      <c r="D264" s="62"/>
    </row>
    <row r="265" spans="1:4" ht="22.5" customHeight="1" x14ac:dyDescent="0.2">
      <c r="A265" s="23"/>
      <c r="B265" s="23"/>
      <c r="C265" s="23"/>
      <c r="D265" s="62"/>
    </row>
    <row r="266" spans="1:4" ht="22.5" customHeight="1" x14ac:dyDescent="0.2">
      <c r="A266" s="23"/>
      <c r="B266" s="23"/>
      <c r="C266" s="23"/>
      <c r="D266" s="62"/>
    </row>
    <row r="267" spans="1:4" ht="22.5" customHeight="1" x14ac:dyDescent="0.2">
      <c r="A267" s="23"/>
      <c r="B267" s="23"/>
      <c r="C267" s="23"/>
      <c r="D267" s="62"/>
    </row>
    <row r="268" spans="1:4" ht="22.5" customHeight="1" x14ac:dyDescent="0.2">
      <c r="A268" s="23"/>
      <c r="B268" s="23"/>
      <c r="C268" s="23"/>
      <c r="D268" s="62"/>
    </row>
    <row r="269" spans="1:4" ht="22.5" customHeight="1" x14ac:dyDescent="0.2">
      <c r="A269" s="23"/>
      <c r="B269" s="23"/>
      <c r="C269" s="23"/>
      <c r="D269" s="62"/>
    </row>
    <row r="270" spans="1:4" ht="22.5" customHeight="1" x14ac:dyDescent="0.2">
      <c r="A270" s="23"/>
      <c r="B270" s="23"/>
      <c r="C270" s="23"/>
      <c r="D270" s="62"/>
    </row>
    <row r="271" spans="1:4" ht="22.5" customHeight="1" x14ac:dyDescent="0.2">
      <c r="A271" s="23"/>
      <c r="B271" s="23"/>
      <c r="C271" s="23"/>
      <c r="D271" s="62"/>
    </row>
    <row r="272" spans="1:4" ht="22.5" customHeight="1" x14ac:dyDescent="0.2">
      <c r="A272" s="23"/>
      <c r="B272" s="23"/>
      <c r="C272" s="23"/>
      <c r="D272" s="62"/>
    </row>
    <row r="273" spans="1:4" ht="22.5" customHeight="1" x14ac:dyDescent="0.2">
      <c r="A273" s="23"/>
      <c r="B273" s="23"/>
      <c r="C273" s="23"/>
      <c r="D273" s="62"/>
    </row>
    <row r="274" spans="1:4" ht="22.5" customHeight="1" x14ac:dyDescent="0.2">
      <c r="A274" s="23"/>
      <c r="B274" s="23"/>
      <c r="C274" s="23"/>
      <c r="D274" s="62"/>
    </row>
    <row r="275" spans="1:4" ht="22.5" customHeight="1" x14ac:dyDescent="0.2">
      <c r="A275" s="23"/>
      <c r="B275" s="23"/>
      <c r="C275" s="23"/>
      <c r="D275" s="62"/>
    </row>
    <row r="276" spans="1:4" ht="22.5" customHeight="1" x14ac:dyDescent="0.2">
      <c r="A276" s="23"/>
      <c r="B276" s="23"/>
      <c r="C276" s="23"/>
      <c r="D276" s="62"/>
    </row>
    <row r="277" spans="1:4" ht="22.5" customHeight="1" x14ac:dyDescent="0.2">
      <c r="A277" s="23"/>
      <c r="B277" s="23"/>
      <c r="C277" s="23"/>
      <c r="D277" s="62"/>
    </row>
    <row r="278" spans="1:4" ht="22.5" customHeight="1" x14ac:dyDescent="0.2">
      <c r="A278" s="23"/>
      <c r="B278" s="23"/>
      <c r="C278" s="23"/>
      <c r="D278" s="62"/>
    </row>
    <row r="279" spans="1:4" ht="22.5" customHeight="1" x14ac:dyDescent="0.2">
      <c r="A279" s="23"/>
      <c r="B279" s="23"/>
      <c r="C279" s="23"/>
      <c r="D279" s="62"/>
    </row>
    <row r="280" spans="1:4" ht="22.5" customHeight="1" x14ac:dyDescent="0.2">
      <c r="A280" s="23"/>
      <c r="B280" s="23"/>
      <c r="C280" s="23"/>
      <c r="D280" s="62"/>
    </row>
    <row r="281" spans="1:4" ht="22.5" customHeight="1" x14ac:dyDescent="0.2">
      <c r="A281" s="23"/>
      <c r="B281" s="23"/>
      <c r="C281" s="23"/>
      <c r="D281" s="62"/>
    </row>
    <row r="282" spans="1:4" ht="22.5" customHeight="1" x14ac:dyDescent="0.2">
      <c r="A282" s="23"/>
      <c r="B282" s="23"/>
      <c r="C282" s="23"/>
      <c r="D282" s="62"/>
    </row>
    <row r="283" spans="1:4" ht="22.5" customHeight="1" x14ac:dyDescent="0.2">
      <c r="A283" s="23"/>
      <c r="B283" s="23"/>
      <c r="C283" s="23"/>
      <c r="D283" s="62"/>
    </row>
    <row r="284" spans="1:4" ht="22.5" customHeight="1" x14ac:dyDescent="0.2">
      <c r="A284" s="23"/>
      <c r="B284" s="23"/>
      <c r="C284" s="23"/>
      <c r="D284" s="62"/>
    </row>
    <row r="285" spans="1:4" ht="22.5" customHeight="1" x14ac:dyDescent="0.2">
      <c r="A285" s="23"/>
      <c r="B285" s="23"/>
      <c r="C285" s="23"/>
      <c r="D285" s="62"/>
    </row>
    <row r="286" spans="1:4" ht="22.5" customHeight="1" x14ac:dyDescent="0.2">
      <c r="A286" s="23"/>
      <c r="B286" s="23"/>
      <c r="C286" s="23"/>
      <c r="D286" s="62"/>
    </row>
    <row r="287" spans="1:4" ht="22.5" customHeight="1" x14ac:dyDescent="0.2">
      <c r="A287" s="23"/>
      <c r="B287" s="23"/>
      <c r="C287" s="23"/>
      <c r="D287" s="62"/>
    </row>
    <row r="288" spans="1:4" ht="22.5" customHeight="1" x14ac:dyDescent="0.2">
      <c r="A288" s="23"/>
      <c r="B288" s="23"/>
      <c r="C288" s="23"/>
      <c r="D288" s="62"/>
    </row>
    <row r="289" spans="1:4" ht="22.5" customHeight="1" x14ac:dyDescent="0.2">
      <c r="A289" s="23"/>
      <c r="B289" s="23"/>
      <c r="C289" s="23"/>
      <c r="D289" s="62"/>
    </row>
    <row r="290" spans="1:4" ht="22.5" customHeight="1" x14ac:dyDescent="0.2">
      <c r="A290" s="23"/>
      <c r="B290" s="23"/>
      <c r="C290" s="23"/>
      <c r="D290" s="62"/>
    </row>
    <row r="291" spans="1:4" ht="22.5" customHeight="1" x14ac:dyDescent="0.2">
      <c r="A291" s="23"/>
      <c r="B291" s="23"/>
      <c r="C291" s="23"/>
      <c r="D291" s="62"/>
    </row>
    <row r="292" spans="1:4" ht="22.5" customHeight="1" x14ac:dyDescent="0.2">
      <c r="A292" s="23"/>
      <c r="B292" s="23"/>
      <c r="C292" s="23"/>
      <c r="D292" s="62"/>
    </row>
    <row r="293" spans="1:4" ht="22.5" customHeight="1" x14ac:dyDescent="0.2">
      <c r="A293" s="23"/>
      <c r="B293" s="23"/>
      <c r="C293" s="23"/>
      <c r="D293" s="62"/>
    </row>
    <row r="294" spans="1:4" ht="22.5" customHeight="1" x14ac:dyDescent="0.2">
      <c r="A294" s="23"/>
      <c r="B294" s="23"/>
      <c r="C294" s="23"/>
      <c r="D294" s="62"/>
    </row>
    <row r="295" spans="1:4" ht="22.5" customHeight="1" x14ac:dyDescent="0.2">
      <c r="A295" s="23"/>
      <c r="B295" s="23"/>
      <c r="C295" s="23"/>
      <c r="D295" s="62"/>
    </row>
    <row r="296" spans="1:4" ht="22.5" customHeight="1" x14ac:dyDescent="0.2">
      <c r="A296" s="23"/>
      <c r="B296" s="23"/>
      <c r="C296" s="23"/>
      <c r="D296" s="62"/>
    </row>
    <row r="297" spans="1:4" ht="22.5" customHeight="1" x14ac:dyDescent="0.2">
      <c r="A297" s="23"/>
      <c r="B297" s="23"/>
      <c r="C297" s="23"/>
      <c r="D297" s="62"/>
    </row>
    <row r="298" spans="1:4" ht="22.5" customHeight="1" x14ac:dyDescent="0.2">
      <c r="A298" s="23"/>
      <c r="B298" s="23"/>
      <c r="C298" s="23"/>
      <c r="D298" s="62"/>
    </row>
    <row r="299" spans="1:4" ht="22.5" customHeight="1" x14ac:dyDescent="0.2">
      <c r="A299" s="23"/>
      <c r="B299" s="23"/>
      <c r="C299" s="23"/>
      <c r="D299" s="62"/>
    </row>
    <row r="300" spans="1:4" ht="22.5" customHeight="1" x14ac:dyDescent="0.2">
      <c r="A300" s="23"/>
      <c r="B300" s="23"/>
      <c r="C300" s="23"/>
      <c r="D300" s="62"/>
    </row>
    <row r="301" spans="1:4" ht="22.5" customHeight="1" x14ac:dyDescent="0.2">
      <c r="A301" s="23"/>
      <c r="B301" s="23"/>
      <c r="C301" s="23"/>
      <c r="D301" s="62"/>
    </row>
    <row r="302" spans="1:4" ht="22.5" customHeight="1" x14ac:dyDescent="0.2">
      <c r="A302" s="23"/>
      <c r="B302" s="23"/>
      <c r="C302" s="23"/>
      <c r="D302" s="62"/>
    </row>
    <row r="303" spans="1:4" ht="22.5" customHeight="1" x14ac:dyDescent="0.2">
      <c r="A303" s="23"/>
      <c r="B303" s="23"/>
      <c r="C303" s="23"/>
      <c r="D303" s="62"/>
    </row>
    <row r="304" spans="1:4" ht="22.5" customHeight="1" x14ac:dyDescent="0.2">
      <c r="A304" s="23"/>
      <c r="B304" s="23"/>
      <c r="C304" s="23"/>
      <c r="D304" s="62"/>
    </row>
    <row r="305" spans="1:4" ht="22.5" customHeight="1" x14ac:dyDescent="0.2">
      <c r="A305" s="23"/>
      <c r="B305" s="23"/>
      <c r="C305" s="23"/>
      <c r="D305" s="62"/>
    </row>
    <row r="306" spans="1:4" ht="22.5" customHeight="1" x14ac:dyDescent="0.2">
      <c r="A306" s="23"/>
      <c r="B306" s="23"/>
      <c r="C306" s="23"/>
      <c r="D306" s="62"/>
    </row>
    <row r="307" spans="1:4" ht="22.5" customHeight="1" x14ac:dyDescent="0.2">
      <c r="A307" s="23"/>
      <c r="B307" s="23"/>
      <c r="C307" s="23"/>
      <c r="D307" s="62"/>
    </row>
    <row r="308" spans="1:4" ht="22.5" customHeight="1" x14ac:dyDescent="0.2">
      <c r="A308" s="23"/>
      <c r="B308" s="23"/>
      <c r="C308" s="23"/>
      <c r="D308" s="62"/>
    </row>
    <row r="309" spans="1:4" ht="22.5" customHeight="1" x14ac:dyDescent="0.2">
      <c r="A309" s="23"/>
      <c r="B309" s="23"/>
      <c r="C309" s="23"/>
      <c r="D309" s="62"/>
    </row>
    <row r="310" spans="1:4" ht="22.5" customHeight="1" x14ac:dyDescent="0.2">
      <c r="A310" s="23"/>
      <c r="B310" s="23"/>
      <c r="C310" s="23"/>
      <c r="D310" s="62"/>
    </row>
    <row r="311" spans="1:4" ht="22.5" customHeight="1" x14ac:dyDescent="0.2">
      <c r="A311" s="23"/>
      <c r="B311" s="23"/>
      <c r="C311" s="23"/>
      <c r="D311" s="24"/>
    </row>
    <row r="312" spans="1:4" ht="22.5" customHeight="1" x14ac:dyDescent="0.2">
      <c r="A312" s="23"/>
      <c r="B312" s="23"/>
      <c r="C312" s="23"/>
      <c r="D312" s="24"/>
    </row>
    <row r="313" spans="1:4" ht="22.5" customHeight="1" x14ac:dyDescent="0.2">
      <c r="A313" s="23"/>
      <c r="B313" s="23"/>
      <c r="C313" s="23"/>
      <c r="D313" s="24"/>
    </row>
    <row r="314" spans="1:4" ht="22.5" customHeight="1" x14ac:dyDescent="0.2">
      <c r="A314" s="23"/>
      <c r="B314" s="23"/>
      <c r="C314" s="23"/>
      <c r="D314" s="24"/>
    </row>
    <row r="315" spans="1:4" ht="22.5" customHeight="1" x14ac:dyDescent="0.2">
      <c r="A315" s="23"/>
      <c r="B315" s="23"/>
      <c r="C315" s="23"/>
      <c r="D315" s="24"/>
    </row>
    <row r="316" spans="1:4" ht="22.5" customHeight="1" x14ac:dyDescent="0.2">
      <c r="A316" s="23"/>
      <c r="B316" s="23"/>
      <c r="C316" s="23"/>
      <c r="D316" s="24"/>
    </row>
    <row r="317" spans="1:4" ht="22.5" customHeight="1" x14ac:dyDescent="0.2">
      <c r="A317" s="23"/>
      <c r="B317" s="23"/>
      <c r="C317" s="23"/>
      <c r="D317" s="24"/>
    </row>
    <row r="318" spans="1:4" ht="22.5" customHeight="1" x14ac:dyDescent="0.2">
      <c r="A318" s="23"/>
      <c r="B318" s="23"/>
      <c r="C318" s="23"/>
      <c r="D318" s="24"/>
    </row>
    <row r="319" spans="1:4" ht="22.5" customHeight="1" x14ac:dyDescent="0.2">
      <c r="A319" s="23"/>
      <c r="B319" s="23"/>
      <c r="C319" s="23"/>
      <c r="D319" s="24"/>
    </row>
    <row r="320" spans="1:4" ht="22.5" customHeight="1" x14ac:dyDescent="0.2">
      <c r="A320" s="23"/>
      <c r="B320" s="23"/>
      <c r="C320" s="23"/>
      <c r="D320" s="24"/>
    </row>
    <row r="321" spans="1:4" ht="22.5" customHeight="1" x14ac:dyDescent="0.2">
      <c r="A321" s="23"/>
      <c r="B321" s="23"/>
      <c r="C321" s="23"/>
      <c r="D321" s="24"/>
    </row>
    <row r="322" spans="1:4" ht="22.5" customHeight="1" x14ac:dyDescent="0.2">
      <c r="A322" s="23"/>
      <c r="B322" s="23"/>
      <c r="C322" s="23"/>
      <c r="D322" s="24"/>
    </row>
    <row r="323" spans="1:4" ht="22.5" customHeight="1" x14ac:dyDescent="0.2">
      <c r="A323" s="23"/>
      <c r="B323" s="23"/>
      <c r="C323" s="23"/>
      <c r="D323" s="24"/>
    </row>
    <row r="324" spans="1:4" ht="22.5" customHeight="1" x14ac:dyDescent="0.2">
      <c r="A324" s="23"/>
      <c r="B324" s="23"/>
      <c r="C324" s="23"/>
      <c r="D324" s="24"/>
    </row>
    <row r="325" spans="1:4" ht="22.5" customHeight="1" x14ac:dyDescent="0.2">
      <c r="A325" s="23"/>
      <c r="B325" s="23"/>
      <c r="C325" s="23"/>
      <c r="D325" s="24"/>
    </row>
    <row r="326" spans="1:4" ht="22.5" customHeight="1" x14ac:dyDescent="0.2">
      <c r="A326" s="23"/>
      <c r="B326" s="23"/>
      <c r="C326" s="23"/>
      <c r="D326" s="24"/>
    </row>
    <row r="327" spans="1:4" ht="22.5" customHeight="1" x14ac:dyDescent="0.2">
      <c r="A327" s="23"/>
      <c r="B327" s="23"/>
      <c r="C327" s="23"/>
      <c r="D327" s="24"/>
    </row>
    <row r="328" spans="1:4" ht="22.5" customHeight="1" x14ac:dyDescent="0.2">
      <c r="A328" s="23"/>
      <c r="B328" s="23"/>
      <c r="C328" s="23"/>
      <c r="D328" s="24"/>
    </row>
    <row r="329" spans="1:4" ht="22.5" customHeight="1" x14ac:dyDescent="0.2">
      <c r="A329" s="23"/>
      <c r="B329" s="23"/>
      <c r="C329" s="23"/>
      <c r="D329" s="24"/>
    </row>
    <row r="330" spans="1:4" ht="22.5" customHeight="1" x14ac:dyDescent="0.2">
      <c r="A330" s="23"/>
      <c r="B330" s="23"/>
      <c r="C330" s="23"/>
      <c r="D330" s="24"/>
    </row>
    <row r="331" spans="1:4" ht="22.5" customHeight="1" x14ac:dyDescent="0.2">
      <c r="A331" s="23"/>
      <c r="B331" s="23"/>
      <c r="C331" s="23"/>
      <c r="D331" s="24"/>
    </row>
    <row r="332" spans="1:4" ht="22.5" customHeight="1" x14ac:dyDescent="0.2">
      <c r="A332" s="23"/>
      <c r="B332" s="23"/>
      <c r="C332" s="23"/>
      <c r="D332" s="24"/>
    </row>
    <row r="333" spans="1:4" ht="22.5" customHeight="1" x14ac:dyDescent="0.2">
      <c r="A333" s="23"/>
      <c r="B333" s="23"/>
      <c r="C333" s="23"/>
      <c r="D333" s="24"/>
    </row>
    <row r="334" spans="1:4" ht="22.5" customHeight="1" x14ac:dyDescent="0.2">
      <c r="A334" s="23"/>
      <c r="B334" s="23"/>
      <c r="C334" s="23"/>
      <c r="D334" s="24"/>
    </row>
    <row r="335" spans="1:4" ht="22.5" customHeight="1" x14ac:dyDescent="0.2">
      <c r="A335" s="23"/>
      <c r="B335" s="23"/>
      <c r="C335" s="23"/>
      <c r="D335" s="24"/>
    </row>
    <row r="336" spans="1:4" ht="22.5" customHeight="1" x14ac:dyDescent="0.2">
      <c r="A336" s="23"/>
      <c r="B336" s="23"/>
      <c r="C336" s="23"/>
      <c r="D336" s="24"/>
    </row>
    <row r="337" spans="1:4" ht="22.5" customHeight="1" x14ac:dyDescent="0.2">
      <c r="A337" s="23"/>
      <c r="B337" s="23"/>
      <c r="C337" s="23"/>
      <c r="D337" s="24"/>
    </row>
    <row r="338" spans="1:4" ht="22.5" customHeight="1" x14ac:dyDescent="0.2">
      <c r="A338" s="23"/>
      <c r="B338" s="23"/>
      <c r="C338" s="23"/>
      <c r="D338" s="24"/>
    </row>
    <row r="339" spans="1:4" ht="22.5" customHeight="1" x14ac:dyDescent="0.2">
      <c r="A339" s="23"/>
      <c r="B339" s="23"/>
      <c r="C339" s="23"/>
      <c r="D339" s="24"/>
    </row>
    <row r="340" spans="1:4" ht="22.5" customHeight="1" x14ac:dyDescent="0.2">
      <c r="A340" s="23"/>
      <c r="B340" s="23"/>
      <c r="C340" s="23"/>
      <c r="D340" s="24"/>
    </row>
    <row r="341" spans="1:4" ht="22.5" customHeight="1" x14ac:dyDescent="0.2">
      <c r="A341" s="23"/>
      <c r="B341" s="23"/>
      <c r="C341" s="23"/>
      <c r="D341" s="24"/>
    </row>
    <row r="342" spans="1:4" ht="22.5" customHeight="1" x14ac:dyDescent="0.2">
      <c r="A342" s="23"/>
      <c r="B342" s="23"/>
      <c r="C342" s="23"/>
      <c r="D342" s="24"/>
    </row>
    <row r="343" spans="1:4" ht="22.5" customHeight="1" x14ac:dyDescent="0.2">
      <c r="A343" s="23"/>
      <c r="B343" s="23"/>
      <c r="C343" s="23"/>
      <c r="D343" s="24"/>
    </row>
    <row r="344" spans="1:4" ht="22.5" customHeight="1" x14ac:dyDescent="0.2">
      <c r="A344" s="23"/>
      <c r="B344" s="23"/>
      <c r="C344" s="23"/>
      <c r="D344" s="24"/>
    </row>
    <row r="345" spans="1:4" ht="22.5" customHeight="1" x14ac:dyDescent="0.2">
      <c r="A345" s="23"/>
      <c r="B345" s="23"/>
      <c r="C345" s="23"/>
      <c r="D345" s="24"/>
    </row>
    <row r="346" spans="1:4" ht="22.5" customHeight="1" x14ac:dyDescent="0.2">
      <c r="A346" s="23"/>
      <c r="B346" s="23"/>
      <c r="C346" s="23"/>
      <c r="D346" s="24"/>
    </row>
    <row r="347" spans="1:4" ht="22.5" customHeight="1" x14ac:dyDescent="0.2">
      <c r="A347" s="23"/>
      <c r="B347" s="23"/>
      <c r="C347" s="23"/>
      <c r="D347" s="24"/>
    </row>
    <row r="348" spans="1:4" ht="22.5" customHeight="1" x14ac:dyDescent="0.2">
      <c r="A348" s="23"/>
      <c r="B348" s="23"/>
      <c r="C348" s="23"/>
      <c r="D348" s="24"/>
    </row>
    <row r="349" spans="1:4" ht="22.5" customHeight="1" x14ac:dyDescent="0.2">
      <c r="A349" s="23"/>
      <c r="B349" s="23"/>
      <c r="C349" s="23"/>
      <c r="D349" s="24"/>
    </row>
    <row r="350" spans="1:4" ht="22.5" customHeight="1" x14ac:dyDescent="0.2">
      <c r="A350" s="23"/>
      <c r="B350" s="23"/>
      <c r="C350" s="23"/>
      <c r="D350" s="24"/>
    </row>
    <row r="351" spans="1:4" ht="22.5" customHeight="1" x14ac:dyDescent="0.2">
      <c r="A351" s="23"/>
      <c r="B351" s="23"/>
      <c r="C351" s="23"/>
      <c r="D351" s="24"/>
    </row>
    <row r="352" spans="1:4" ht="22.5" customHeight="1" x14ac:dyDescent="0.2">
      <c r="A352" s="23"/>
      <c r="B352" s="23"/>
      <c r="C352" s="23"/>
      <c r="D352" s="24"/>
    </row>
    <row r="353" spans="1:4" ht="22.5" customHeight="1" x14ac:dyDescent="0.2">
      <c r="A353" s="23"/>
      <c r="B353" s="23"/>
      <c r="C353" s="23"/>
      <c r="D353" s="24"/>
    </row>
    <row r="354" spans="1:4" ht="22.5" customHeight="1" x14ac:dyDescent="0.2">
      <c r="A354" s="23"/>
      <c r="B354" s="23"/>
      <c r="C354" s="23"/>
      <c r="D354" s="24"/>
    </row>
    <row r="355" spans="1:4" ht="22.5" customHeight="1" x14ac:dyDescent="0.2">
      <c r="A355" s="23"/>
      <c r="B355" s="23"/>
      <c r="C355" s="23"/>
      <c r="D355" s="24"/>
    </row>
    <row r="356" spans="1:4" ht="22.5" customHeight="1" x14ac:dyDescent="0.2">
      <c r="A356" s="23"/>
      <c r="B356" s="23"/>
      <c r="C356" s="23"/>
      <c r="D356" s="24"/>
    </row>
    <row r="357" spans="1:4" ht="22.5" customHeight="1" x14ac:dyDescent="0.2">
      <c r="A357" s="23"/>
      <c r="B357" s="23"/>
      <c r="C357" s="23"/>
      <c r="D357" s="24"/>
    </row>
    <row r="358" spans="1:4" ht="22.5" customHeight="1" x14ac:dyDescent="0.2">
      <c r="A358" s="23"/>
      <c r="B358" s="23"/>
      <c r="C358" s="23"/>
      <c r="D358" s="24"/>
    </row>
    <row r="359" spans="1:4" ht="22.5" customHeight="1" x14ac:dyDescent="0.2">
      <c r="A359" s="23"/>
      <c r="B359" s="23"/>
      <c r="C359" s="23"/>
      <c r="D359" s="24"/>
    </row>
    <row r="360" spans="1:4" ht="22.5" customHeight="1" x14ac:dyDescent="0.2">
      <c r="A360" s="23"/>
      <c r="B360" s="23"/>
      <c r="C360" s="23"/>
      <c r="D360" s="24"/>
    </row>
    <row r="361" spans="1:4" ht="22.5" customHeight="1" x14ac:dyDescent="0.2">
      <c r="A361" s="23"/>
      <c r="B361" s="23"/>
      <c r="C361" s="23"/>
      <c r="D361" s="24"/>
    </row>
    <row r="362" spans="1:4" ht="22.5" customHeight="1" x14ac:dyDescent="0.2">
      <c r="A362" s="23"/>
      <c r="B362" s="23"/>
      <c r="C362" s="23"/>
      <c r="D362" s="24"/>
    </row>
    <row r="363" spans="1:4" ht="22.5" customHeight="1" x14ac:dyDescent="0.2">
      <c r="A363" s="23"/>
      <c r="B363" s="23"/>
      <c r="C363" s="23"/>
      <c r="D363" s="24"/>
    </row>
    <row r="364" spans="1:4" ht="22.5" customHeight="1" x14ac:dyDescent="0.2">
      <c r="A364" s="23"/>
      <c r="B364" s="23"/>
      <c r="C364" s="23"/>
      <c r="D364" s="24"/>
    </row>
    <row r="365" spans="1:4" ht="22.5" customHeight="1" x14ac:dyDescent="0.2">
      <c r="A365" s="23"/>
      <c r="B365" s="23"/>
      <c r="C365" s="23"/>
      <c r="D365" s="24"/>
    </row>
    <row r="366" spans="1:4" ht="22.5" customHeight="1" x14ac:dyDescent="0.2">
      <c r="A366" s="23"/>
      <c r="B366" s="23"/>
      <c r="C366" s="23"/>
      <c r="D366" s="24"/>
    </row>
    <row r="367" spans="1:4" ht="22.5" customHeight="1" x14ac:dyDescent="0.2">
      <c r="A367" s="23"/>
      <c r="B367" s="23"/>
      <c r="C367" s="23"/>
      <c r="D367" s="24"/>
    </row>
    <row r="368" spans="1:4" ht="22.5" customHeight="1" x14ac:dyDescent="0.2">
      <c r="A368" s="23"/>
      <c r="B368" s="23"/>
      <c r="C368" s="23"/>
      <c r="D368" s="24"/>
    </row>
    <row r="369" spans="1:4" ht="22.5" customHeight="1" x14ac:dyDescent="0.2">
      <c r="A369" s="23"/>
      <c r="B369" s="23"/>
      <c r="C369" s="23"/>
      <c r="D369" s="24"/>
    </row>
    <row r="370" spans="1:4" ht="22.5" customHeight="1" x14ac:dyDescent="0.2">
      <c r="A370" s="23"/>
      <c r="B370" s="23"/>
      <c r="C370" s="23"/>
      <c r="D370" s="24"/>
    </row>
    <row r="371" spans="1:4" ht="22.5" customHeight="1" x14ac:dyDescent="0.2">
      <c r="A371" s="23"/>
      <c r="B371" s="23"/>
      <c r="C371" s="23"/>
      <c r="D371" s="24"/>
    </row>
    <row r="372" spans="1:4" ht="22.5" customHeight="1" x14ac:dyDescent="0.2">
      <c r="A372" s="23"/>
      <c r="B372" s="23"/>
      <c r="C372" s="23"/>
      <c r="D372" s="24"/>
    </row>
    <row r="373" spans="1:4" ht="22.5" customHeight="1" x14ac:dyDescent="0.2">
      <c r="A373" s="23"/>
      <c r="B373" s="23"/>
      <c r="C373" s="23"/>
      <c r="D373" s="24"/>
    </row>
    <row r="374" spans="1:4" ht="22.5" customHeight="1" x14ac:dyDescent="0.2">
      <c r="A374" s="23"/>
      <c r="B374" s="23"/>
      <c r="C374" s="23"/>
      <c r="D374" s="24"/>
    </row>
    <row r="375" spans="1:4" ht="22.5" customHeight="1" x14ac:dyDescent="0.2">
      <c r="A375" s="23"/>
      <c r="B375" s="23"/>
      <c r="C375" s="23"/>
      <c r="D375" s="24"/>
    </row>
    <row r="376" spans="1:4" ht="22.5" customHeight="1" x14ac:dyDescent="0.2">
      <c r="A376" s="23"/>
      <c r="B376" s="23"/>
      <c r="C376" s="23"/>
      <c r="D376" s="24"/>
    </row>
    <row r="377" spans="1:4" ht="22.5" customHeight="1" x14ac:dyDescent="0.2">
      <c r="A377" s="23"/>
      <c r="B377" s="23"/>
      <c r="C377" s="23"/>
      <c r="D377" s="24"/>
    </row>
    <row r="378" spans="1:4" ht="22.5" customHeight="1" x14ac:dyDescent="0.2">
      <c r="A378" s="23"/>
      <c r="B378" s="23"/>
      <c r="C378" s="23"/>
      <c r="D378" s="24"/>
    </row>
    <row r="379" spans="1:4" ht="22.5" customHeight="1" x14ac:dyDescent="0.2">
      <c r="A379" s="23"/>
      <c r="B379" s="23"/>
      <c r="C379" s="23"/>
      <c r="D379" s="24"/>
    </row>
    <row r="380" spans="1:4" ht="22.5" customHeight="1" x14ac:dyDescent="0.2">
      <c r="A380" s="23"/>
      <c r="B380" s="23"/>
      <c r="C380" s="23"/>
      <c r="D380" s="24"/>
    </row>
    <row r="381" spans="1:4" ht="22.5" customHeight="1" x14ac:dyDescent="0.2">
      <c r="A381" s="23"/>
      <c r="B381" s="23"/>
      <c r="C381" s="23"/>
      <c r="D381" s="24"/>
    </row>
    <row r="382" spans="1:4" ht="22.5" customHeight="1" x14ac:dyDescent="0.2">
      <c r="A382" s="23"/>
      <c r="B382" s="23"/>
      <c r="C382" s="23"/>
      <c r="D382" s="24"/>
    </row>
    <row r="383" spans="1:4" ht="22.5" customHeight="1" x14ac:dyDescent="0.2">
      <c r="A383" s="23"/>
      <c r="B383" s="23"/>
      <c r="C383" s="23"/>
      <c r="D383" s="24"/>
    </row>
    <row r="384" spans="1:4" ht="22.5" customHeight="1" x14ac:dyDescent="0.2">
      <c r="A384" s="23"/>
      <c r="B384" s="23"/>
      <c r="C384" s="23"/>
      <c r="D384" s="24"/>
    </row>
    <row r="385" spans="1:4" ht="22.5" customHeight="1" x14ac:dyDescent="0.2">
      <c r="A385" s="23"/>
      <c r="B385" s="23"/>
      <c r="C385" s="23"/>
      <c r="D385" s="24"/>
    </row>
    <row r="386" spans="1:4" ht="22.5" customHeight="1" x14ac:dyDescent="0.2">
      <c r="A386" s="23"/>
      <c r="B386" s="23"/>
      <c r="C386" s="23"/>
      <c r="D386" s="24"/>
    </row>
    <row r="387" spans="1:4" ht="22.5" customHeight="1" x14ac:dyDescent="0.2">
      <c r="A387" s="23"/>
      <c r="B387" s="23"/>
      <c r="C387" s="23"/>
      <c r="D387" s="24"/>
    </row>
    <row r="388" spans="1:4" ht="22.5" customHeight="1" x14ac:dyDescent="0.2">
      <c r="A388" s="23"/>
      <c r="B388" s="23"/>
      <c r="C388" s="23"/>
      <c r="D388" s="24"/>
    </row>
    <row r="389" spans="1:4" ht="22.5" customHeight="1" x14ac:dyDescent="0.2">
      <c r="A389" s="23"/>
      <c r="B389" s="23"/>
      <c r="C389" s="23"/>
      <c r="D389" s="24"/>
    </row>
    <row r="390" spans="1:4" ht="22.5" customHeight="1" x14ac:dyDescent="0.2">
      <c r="A390" s="23"/>
      <c r="B390" s="23"/>
      <c r="C390" s="23"/>
      <c r="D390" s="24"/>
    </row>
    <row r="391" spans="1:4" ht="22.5" customHeight="1" x14ac:dyDescent="0.2">
      <c r="A391" s="23"/>
      <c r="B391" s="23"/>
      <c r="C391" s="23"/>
      <c r="D391" s="24"/>
    </row>
    <row r="392" spans="1:4" ht="22.5" customHeight="1" x14ac:dyDescent="0.2">
      <c r="A392" s="23"/>
      <c r="B392" s="23"/>
      <c r="C392" s="23"/>
      <c r="D392" s="24"/>
    </row>
    <row r="393" spans="1:4" ht="22.5" customHeight="1" x14ac:dyDescent="0.2">
      <c r="A393" s="23"/>
      <c r="B393" s="23"/>
      <c r="C393" s="23"/>
      <c r="D393" s="24"/>
    </row>
    <row r="394" spans="1:4" ht="22.5" customHeight="1" x14ac:dyDescent="0.2">
      <c r="A394" s="23"/>
      <c r="B394" s="23"/>
      <c r="C394" s="23"/>
      <c r="D394" s="24"/>
    </row>
    <row r="395" spans="1:4" ht="22.5" customHeight="1" x14ac:dyDescent="0.2">
      <c r="A395" s="23"/>
      <c r="B395" s="23"/>
      <c r="C395" s="23"/>
      <c r="D395" s="24"/>
    </row>
    <row r="396" spans="1:4" ht="22.5" customHeight="1" x14ac:dyDescent="0.2">
      <c r="A396" s="23"/>
      <c r="B396" s="23"/>
      <c r="C396" s="23"/>
      <c r="D396" s="24"/>
    </row>
    <row r="397" spans="1:4" ht="22.5" customHeight="1" x14ac:dyDescent="0.2">
      <c r="A397" s="23"/>
      <c r="B397" s="23"/>
      <c r="C397" s="23"/>
      <c r="D397" s="24"/>
    </row>
    <row r="398" spans="1:4" ht="22.5" customHeight="1" x14ac:dyDescent="0.2">
      <c r="A398" s="23"/>
      <c r="B398" s="23"/>
      <c r="C398" s="23"/>
      <c r="D398" s="24"/>
    </row>
    <row r="399" spans="1:4" ht="22.5" customHeight="1" x14ac:dyDescent="0.2">
      <c r="A399" s="23"/>
      <c r="B399" s="23"/>
      <c r="C399" s="23"/>
      <c r="D399" s="24"/>
    </row>
    <row r="400" spans="1:4" ht="22.5" customHeight="1" x14ac:dyDescent="0.2">
      <c r="A400" s="23"/>
      <c r="B400" s="23"/>
      <c r="C400" s="23"/>
      <c r="D400" s="24"/>
    </row>
    <row r="401" spans="1:4" ht="22.5" customHeight="1" x14ac:dyDescent="0.2">
      <c r="A401" s="23"/>
      <c r="B401" s="23"/>
      <c r="C401" s="23"/>
      <c r="D401" s="24"/>
    </row>
    <row r="402" spans="1:4" ht="22.5" customHeight="1" x14ac:dyDescent="0.2">
      <c r="A402" s="23"/>
      <c r="B402" s="23"/>
      <c r="C402" s="23"/>
      <c r="D402" s="24"/>
    </row>
    <row r="403" spans="1:4" ht="22.5" customHeight="1" x14ac:dyDescent="0.2">
      <c r="A403" s="23"/>
      <c r="B403" s="23"/>
      <c r="C403" s="23"/>
      <c r="D403" s="24"/>
    </row>
    <row r="404" spans="1:4" ht="22.5" customHeight="1" x14ac:dyDescent="0.2">
      <c r="A404" s="23"/>
      <c r="B404" s="23"/>
      <c r="C404" s="23"/>
      <c r="D404" s="24"/>
    </row>
    <row r="405" spans="1:4" ht="22.5" customHeight="1" x14ac:dyDescent="0.2">
      <c r="A405" s="23"/>
      <c r="B405" s="23"/>
      <c r="C405" s="23"/>
      <c r="D405" s="24"/>
    </row>
    <row r="406" spans="1:4" ht="22.5" customHeight="1" x14ac:dyDescent="0.2">
      <c r="A406" s="23"/>
      <c r="B406" s="23"/>
      <c r="C406" s="23"/>
      <c r="D406" s="24"/>
    </row>
    <row r="407" spans="1:4" ht="22.5" customHeight="1" x14ac:dyDescent="0.2">
      <c r="A407" s="23"/>
      <c r="B407" s="23"/>
      <c r="C407" s="23"/>
      <c r="D407" s="24"/>
    </row>
    <row r="408" spans="1:4" ht="22.5" customHeight="1" x14ac:dyDescent="0.2">
      <c r="A408" s="23"/>
      <c r="B408" s="23"/>
      <c r="C408" s="23"/>
      <c r="D408" s="24"/>
    </row>
    <row r="409" spans="1:4" ht="22.5" customHeight="1" x14ac:dyDescent="0.2">
      <c r="A409" s="23"/>
      <c r="B409" s="23"/>
      <c r="C409" s="23"/>
      <c r="D409" s="24"/>
    </row>
    <row r="410" spans="1:4" ht="22.5" customHeight="1" x14ac:dyDescent="0.2">
      <c r="A410" s="23"/>
      <c r="B410" s="23"/>
      <c r="C410" s="23"/>
      <c r="D410" s="24"/>
    </row>
    <row r="411" spans="1:4" ht="22.5" customHeight="1" x14ac:dyDescent="0.2">
      <c r="A411" s="23"/>
      <c r="B411" s="23"/>
      <c r="C411" s="23"/>
      <c r="D411" s="24"/>
    </row>
    <row r="412" spans="1:4" ht="22.5" customHeight="1" x14ac:dyDescent="0.2">
      <c r="A412" s="23"/>
      <c r="B412" s="23"/>
      <c r="C412" s="23"/>
      <c r="D412" s="24"/>
    </row>
    <row r="413" spans="1:4" ht="22.5" customHeight="1" x14ac:dyDescent="0.2">
      <c r="A413" s="23"/>
      <c r="B413" s="23"/>
      <c r="C413" s="23"/>
      <c r="D413" s="24"/>
    </row>
    <row r="414" spans="1:4" ht="22.5" customHeight="1" x14ac:dyDescent="0.2">
      <c r="A414" s="23"/>
      <c r="B414" s="23"/>
      <c r="C414" s="23"/>
      <c r="D414" s="24"/>
    </row>
    <row r="415" spans="1:4" ht="22.5" customHeight="1" x14ac:dyDescent="0.2">
      <c r="A415" s="23"/>
      <c r="B415" s="23"/>
      <c r="C415" s="23"/>
      <c r="D415" s="24"/>
    </row>
    <row r="416" spans="1:4" ht="22.5" customHeight="1" x14ac:dyDescent="0.2">
      <c r="A416" s="23"/>
      <c r="B416" s="23"/>
      <c r="C416" s="23"/>
      <c r="D416" s="24"/>
    </row>
    <row r="417" spans="1:4" ht="22.5" customHeight="1" x14ac:dyDescent="0.2">
      <c r="A417" s="23"/>
      <c r="B417" s="23"/>
      <c r="C417" s="23"/>
      <c r="D417" s="24"/>
    </row>
    <row r="418" spans="1:4" ht="22.5" customHeight="1" x14ac:dyDescent="0.2">
      <c r="A418" s="23"/>
      <c r="B418" s="23"/>
      <c r="C418" s="23"/>
      <c r="D418" s="24"/>
    </row>
    <row r="419" spans="1:4" ht="22.5" customHeight="1" x14ac:dyDescent="0.2">
      <c r="A419" s="23"/>
      <c r="B419" s="23"/>
      <c r="C419" s="23"/>
      <c r="D419" s="24"/>
    </row>
    <row r="420" spans="1:4" ht="22.5" customHeight="1" x14ac:dyDescent="0.2">
      <c r="A420" s="23"/>
      <c r="B420" s="23"/>
      <c r="C420" s="23"/>
      <c r="D420" s="24"/>
    </row>
    <row r="421" spans="1:4" ht="22.5" customHeight="1" x14ac:dyDescent="0.2">
      <c r="A421" s="23"/>
      <c r="B421" s="23"/>
      <c r="C421" s="23"/>
      <c r="D421" s="24"/>
    </row>
    <row r="422" spans="1:4" ht="22.5" customHeight="1" x14ac:dyDescent="0.2">
      <c r="A422" s="23"/>
      <c r="B422" s="23"/>
      <c r="C422" s="23"/>
      <c r="D422" s="24"/>
    </row>
    <row r="423" spans="1:4" ht="22.5" customHeight="1" x14ac:dyDescent="0.2">
      <c r="A423" s="23"/>
      <c r="B423" s="23"/>
      <c r="C423" s="23"/>
      <c r="D423" s="24"/>
    </row>
    <row r="424" spans="1:4" ht="22.5" customHeight="1" x14ac:dyDescent="0.2">
      <c r="A424" s="23"/>
      <c r="B424" s="23"/>
      <c r="C424" s="23"/>
      <c r="D424" s="24"/>
    </row>
    <row r="425" spans="1:4" ht="22.5" customHeight="1" x14ac:dyDescent="0.2">
      <c r="A425" s="23"/>
      <c r="B425" s="23"/>
      <c r="C425" s="23"/>
      <c r="D425" s="24"/>
    </row>
    <row r="426" spans="1:4" ht="22.5" customHeight="1" x14ac:dyDescent="0.2">
      <c r="A426" s="23"/>
      <c r="B426" s="23"/>
      <c r="C426" s="23"/>
      <c r="D426" s="24"/>
    </row>
    <row r="427" spans="1:4" ht="22.5" customHeight="1" x14ac:dyDescent="0.2">
      <c r="A427" s="23"/>
      <c r="B427" s="23"/>
      <c r="C427" s="23"/>
      <c r="D427" s="24"/>
    </row>
    <row r="428" spans="1:4" ht="22.5" customHeight="1" x14ac:dyDescent="0.2">
      <c r="A428" s="23"/>
      <c r="B428" s="23"/>
      <c r="C428" s="23"/>
      <c r="D428" s="24"/>
    </row>
    <row r="429" spans="1:4" ht="22.5" customHeight="1" x14ac:dyDescent="0.2">
      <c r="A429" s="23"/>
      <c r="B429" s="23"/>
      <c r="C429" s="23"/>
      <c r="D429" s="24"/>
    </row>
    <row r="430" spans="1:4" ht="22.5" customHeight="1" x14ac:dyDescent="0.2">
      <c r="A430" s="23"/>
      <c r="B430" s="23"/>
      <c r="C430" s="23"/>
      <c r="D430" s="24"/>
    </row>
    <row r="431" spans="1:4" ht="22.5" customHeight="1" x14ac:dyDescent="0.2">
      <c r="A431" s="23"/>
      <c r="B431" s="23"/>
      <c r="C431" s="23"/>
      <c r="D431" s="24"/>
    </row>
    <row r="432" spans="1:4" ht="22.5" customHeight="1" x14ac:dyDescent="0.2">
      <c r="A432" s="23"/>
      <c r="B432" s="23"/>
      <c r="C432" s="23"/>
      <c r="D432" s="24"/>
    </row>
    <row r="433" spans="1:4" ht="22.5" customHeight="1" x14ac:dyDescent="0.2">
      <c r="A433" s="23"/>
      <c r="B433" s="23"/>
      <c r="C433" s="23"/>
      <c r="D433" s="24"/>
    </row>
    <row r="434" spans="1:4" ht="22.5" customHeight="1" x14ac:dyDescent="0.2">
      <c r="A434" s="23"/>
      <c r="B434" s="23"/>
      <c r="C434" s="23"/>
      <c r="D434" s="24"/>
    </row>
    <row r="435" spans="1:4" ht="22.5" customHeight="1" x14ac:dyDescent="0.2">
      <c r="A435" s="23"/>
      <c r="B435" s="23"/>
      <c r="C435" s="23"/>
      <c r="D435" s="24"/>
    </row>
    <row r="436" spans="1:4" ht="22.5" customHeight="1" x14ac:dyDescent="0.2">
      <c r="A436" s="23"/>
      <c r="B436" s="23"/>
      <c r="C436" s="23"/>
      <c r="D436" s="24"/>
    </row>
    <row r="437" spans="1:4" ht="22.5" customHeight="1" x14ac:dyDescent="0.2">
      <c r="A437" s="23"/>
      <c r="B437" s="23"/>
      <c r="C437" s="23"/>
      <c r="D437" s="24"/>
    </row>
    <row r="438" spans="1:4" ht="22.5" customHeight="1" x14ac:dyDescent="0.2">
      <c r="A438" s="23"/>
      <c r="B438" s="23"/>
      <c r="C438" s="23"/>
      <c r="D438" s="24"/>
    </row>
    <row r="439" spans="1:4" ht="22.5" customHeight="1" x14ac:dyDescent="0.2">
      <c r="A439" s="23"/>
      <c r="B439" s="23"/>
      <c r="C439" s="23"/>
      <c r="D439" s="24"/>
    </row>
    <row r="440" spans="1:4" ht="22.5" customHeight="1" x14ac:dyDescent="0.2">
      <c r="A440" s="23"/>
      <c r="B440" s="23"/>
      <c r="C440" s="23"/>
      <c r="D440" s="24"/>
    </row>
    <row r="441" spans="1:4" ht="22.5" customHeight="1" x14ac:dyDescent="0.2">
      <c r="A441" s="23"/>
      <c r="B441" s="23"/>
      <c r="C441" s="23"/>
      <c r="D441" s="24"/>
    </row>
    <row r="442" spans="1:4" ht="22.5" customHeight="1" x14ac:dyDescent="0.2">
      <c r="A442" s="23"/>
      <c r="B442" s="23"/>
      <c r="C442" s="23"/>
      <c r="D442" s="24"/>
    </row>
    <row r="443" spans="1:4" ht="22.5" customHeight="1" x14ac:dyDescent="0.2">
      <c r="A443" s="23"/>
      <c r="B443" s="23"/>
      <c r="C443" s="23"/>
      <c r="D443" s="24"/>
    </row>
    <row r="444" spans="1:4" ht="22.5" customHeight="1" x14ac:dyDescent="0.2">
      <c r="A444" s="23"/>
      <c r="B444" s="23"/>
      <c r="C444" s="23"/>
      <c r="D444" s="24"/>
    </row>
    <row r="445" spans="1:4" ht="22.5" customHeight="1" x14ac:dyDescent="0.2">
      <c r="A445" s="23"/>
      <c r="B445" s="23"/>
      <c r="C445" s="23"/>
      <c r="D445" s="24"/>
    </row>
    <row r="446" spans="1:4" ht="22.5" customHeight="1" x14ac:dyDescent="0.2">
      <c r="A446" s="23"/>
      <c r="B446" s="23"/>
      <c r="C446" s="23"/>
      <c r="D446" s="24"/>
    </row>
    <row r="447" spans="1:4" ht="22.5" customHeight="1" x14ac:dyDescent="0.2">
      <c r="A447" s="23"/>
      <c r="B447" s="23"/>
      <c r="C447" s="23"/>
      <c r="D447" s="24"/>
    </row>
    <row r="448" spans="1:4" ht="22.5" customHeight="1" x14ac:dyDescent="0.2">
      <c r="A448" s="23"/>
      <c r="B448" s="23"/>
      <c r="C448" s="23"/>
      <c r="D448" s="24"/>
    </row>
    <row r="449" spans="1:4" ht="22.5" customHeight="1" x14ac:dyDescent="0.2">
      <c r="A449" s="23"/>
      <c r="B449" s="23"/>
      <c r="C449" s="23"/>
      <c r="D449" s="24"/>
    </row>
    <row r="450" spans="1:4" ht="22.5" customHeight="1" x14ac:dyDescent="0.2">
      <c r="A450" s="23"/>
      <c r="B450" s="23"/>
      <c r="C450" s="23"/>
      <c r="D450" s="24"/>
    </row>
    <row r="451" spans="1:4" ht="22.5" customHeight="1" x14ac:dyDescent="0.2">
      <c r="A451" s="23"/>
      <c r="B451" s="23"/>
      <c r="C451" s="23"/>
      <c r="D451" s="24"/>
    </row>
    <row r="452" spans="1:4" ht="22.5" customHeight="1" x14ac:dyDescent="0.2">
      <c r="A452" s="23"/>
      <c r="B452" s="23"/>
      <c r="C452" s="23"/>
      <c r="D452" s="24"/>
    </row>
    <row r="453" spans="1:4" ht="22.5" customHeight="1" x14ac:dyDescent="0.2">
      <c r="A453" s="23"/>
      <c r="B453" s="23"/>
      <c r="C453" s="23"/>
      <c r="D453" s="24"/>
    </row>
    <row r="454" spans="1:4" ht="22.5" customHeight="1" x14ac:dyDescent="0.2">
      <c r="A454" s="23"/>
      <c r="B454" s="23"/>
      <c r="C454" s="23"/>
      <c r="D454" s="24"/>
    </row>
    <row r="455" spans="1:4" ht="22.5" customHeight="1" x14ac:dyDescent="0.2">
      <c r="A455" s="23"/>
      <c r="B455" s="23"/>
      <c r="C455" s="23"/>
      <c r="D455" s="24"/>
    </row>
    <row r="456" spans="1:4" ht="22.5" customHeight="1" x14ac:dyDescent="0.2">
      <c r="A456" s="23"/>
      <c r="B456" s="23"/>
      <c r="C456" s="23"/>
      <c r="D456" s="24"/>
    </row>
    <row r="457" spans="1:4" ht="22.5" customHeight="1" x14ac:dyDescent="0.2">
      <c r="A457" s="23"/>
      <c r="B457" s="23"/>
      <c r="C457" s="23"/>
      <c r="D457" s="24"/>
    </row>
    <row r="458" spans="1:4" ht="22.5" customHeight="1" x14ac:dyDescent="0.2">
      <c r="A458" s="23"/>
      <c r="B458" s="23"/>
      <c r="C458" s="23"/>
      <c r="D458" s="24"/>
    </row>
    <row r="459" spans="1:4" ht="22.5" customHeight="1" x14ac:dyDescent="0.2">
      <c r="A459" s="23"/>
      <c r="B459" s="23"/>
      <c r="C459" s="23"/>
      <c r="D459" s="24"/>
    </row>
    <row r="460" spans="1:4" ht="22.5" customHeight="1" x14ac:dyDescent="0.2">
      <c r="A460" s="23"/>
      <c r="B460" s="23"/>
      <c r="C460" s="23"/>
      <c r="D460" s="24"/>
    </row>
    <row r="461" spans="1:4" ht="22.5" customHeight="1" x14ac:dyDescent="0.2">
      <c r="A461" s="23"/>
      <c r="B461" s="23"/>
      <c r="C461" s="23"/>
      <c r="D461" s="24"/>
    </row>
    <row r="462" spans="1:4" ht="22.5" customHeight="1" x14ac:dyDescent="0.2">
      <c r="A462" s="23"/>
      <c r="B462" s="23"/>
      <c r="C462" s="23"/>
      <c r="D462" s="24"/>
    </row>
    <row r="463" spans="1:4" ht="22.5" customHeight="1" x14ac:dyDescent="0.2">
      <c r="A463" s="23"/>
      <c r="B463" s="23"/>
      <c r="C463" s="23"/>
      <c r="D463" s="24"/>
    </row>
    <row r="464" spans="1:4" ht="22.5" customHeight="1" x14ac:dyDescent="0.2">
      <c r="A464" s="23"/>
      <c r="B464" s="23"/>
      <c r="C464" s="23"/>
      <c r="D464" s="24"/>
    </row>
    <row r="465" spans="1:4" ht="22.5" customHeight="1" x14ac:dyDescent="0.2">
      <c r="A465" s="23"/>
      <c r="B465" s="23"/>
      <c r="C465" s="23"/>
      <c r="D465" s="24"/>
    </row>
    <row r="466" spans="1:4" ht="22.5" customHeight="1" x14ac:dyDescent="0.2">
      <c r="A466" s="23"/>
      <c r="B466" s="23"/>
      <c r="C466" s="23"/>
      <c r="D466" s="24"/>
    </row>
    <row r="467" spans="1:4" ht="22.5" customHeight="1" x14ac:dyDescent="0.2">
      <c r="A467" s="23"/>
      <c r="B467" s="23"/>
      <c r="C467" s="23"/>
      <c r="D467" s="24"/>
    </row>
    <row r="468" spans="1:4" ht="22.5" customHeight="1" x14ac:dyDescent="0.2">
      <c r="A468" s="23"/>
      <c r="B468" s="23"/>
      <c r="C468" s="23"/>
      <c r="D468" s="24"/>
    </row>
    <row r="469" spans="1:4" ht="22.5" customHeight="1" x14ac:dyDescent="0.2">
      <c r="A469" s="23"/>
      <c r="B469" s="23"/>
      <c r="C469" s="23"/>
      <c r="D469" s="24"/>
    </row>
    <row r="470" spans="1:4" ht="22.5" customHeight="1" x14ac:dyDescent="0.2">
      <c r="A470" s="23"/>
      <c r="B470" s="23"/>
      <c r="C470" s="23"/>
      <c r="D470" s="24"/>
    </row>
    <row r="471" spans="1:4" ht="22.5" customHeight="1" x14ac:dyDescent="0.2">
      <c r="A471" s="23"/>
      <c r="B471" s="23"/>
      <c r="C471" s="23"/>
      <c r="D471" s="24"/>
    </row>
    <row r="472" spans="1:4" ht="22.5" customHeight="1" x14ac:dyDescent="0.2">
      <c r="A472" s="23"/>
      <c r="B472" s="23"/>
      <c r="C472" s="23"/>
      <c r="D472" s="24"/>
    </row>
    <row r="473" spans="1:4" ht="22.5" customHeight="1" x14ac:dyDescent="0.2">
      <c r="A473" s="23"/>
      <c r="B473" s="23"/>
      <c r="C473" s="23"/>
      <c r="D473" s="24"/>
    </row>
    <row r="474" spans="1:4" ht="22.5" customHeight="1" x14ac:dyDescent="0.2">
      <c r="A474" s="23"/>
      <c r="B474" s="23"/>
      <c r="C474" s="23"/>
      <c r="D474" s="24"/>
    </row>
    <row r="475" spans="1:4" ht="22.5" customHeight="1" x14ac:dyDescent="0.2">
      <c r="A475" s="23"/>
      <c r="B475" s="23"/>
      <c r="C475" s="23"/>
      <c r="D475" s="24"/>
    </row>
    <row r="476" spans="1:4" ht="22.5" customHeight="1" x14ac:dyDescent="0.2">
      <c r="A476" s="23"/>
      <c r="B476" s="23"/>
      <c r="C476" s="23"/>
      <c r="D476" s="24"/>
    </row>
    <row r="477" spans="1:4" ht="22.5" customHeight="1" x14ac:dyDescent="0.2">
      <c r="A477" s="23"/>
      <c r="B477" s="23"/>
      <c r="C477" s="23"/>
      <c r="D477" s="24"/>
    </row>
    <row r="478" spans="1:4" ht="22.5" customHeight="1" x14ac:dyDescent="0.2">
      <c r="A478" s="23"/>
      <c r="B478" s="23"/>
      <c r="C478" s="23"/>
      <c r="D478" s="24"/>
    </row>
    <row r="479" spans="1:4" ht="22.5" customHeight="1" x14ac:dyDescent="0.2">
      <c r="A479" s="23"/>
      <c r="B479" s="23"/>
      <c r="C479" s="23"/>
      <c r="D479" s="24"/>
    </row>
    <row r="480" spans="1:4" ht="22.5" customHeight="1" x14ac:dyDescent="0.2">
      <c r="A480" s="23"/>
      <c r="B480" s="23"/>
      <c r="C480" s="23"/>
      <c r="D480" s="24"/>
    </row>
    <row r="481" spans="1:4" ht="22.5" customHeight="1" x14ac:dyDescent="0.2">
      <c r="A481" s="23"/>
      <c r="B481" s="23"/>
      <c r="C481" s="23"/>
      <c r="D481" s="24"/>
    </row>
    <row r="482" spans="1:4" ht="22.5" customHeight="1" x14ac:dyDescent="0.2">
      <c r="A482" s="23"/>
      <c r="B482" s="23"/>
      <c r="C482" s="23"/>
      <c r="D482" s="24"/>
    </row>
    <row r="483" spans="1:4" ht="22.5" customHeight="1" x14ac:dyDescent="0.2">
      <c r="A483" s="23"/>
      <c r="B483" s="23"/>
      <c r="C483" s="23"/>
      <c r="D483" s="24"/>
    </row>
    <row r="484" spans="1:4" ht="22.5" customHeight="1" x14ac:dyDescent="0.2">
      <c r="A484" s="23"/>
      <c r="B484" s="23"/>
      <c r="C484" s="23"/>
      <c r="D484" s="24"/>
    </row>
    <row r="485" spans="1:4" ht="22.5" customHeight="1" x14ac:dyDescent="0.2">
      <c r="A485" s="23"/>
      <c r="B485" s="23"/>
      <c r="C485" s="23"/>
      <c r="D485" s="24"/>
    </row>
    <row r="486" spans="1:4" ht="22.5" customHeight="1" x14ac:dyDescent="0.2">
      <c r="A486" s="23"/>
      <c r="B486" s="23"/>
      <c r="C486" s="23"/>
      <c r="D486" s="24"/>
    </row>
    <row r="487" spans="1:4" ht="22.5" customHeight="1" x14ac:dyDescent="0.2">
      <c r="A487" s="23"/>
      <c r="B487" s="23"/>
      <c r="C487" s="23"/>
      <c r="D487" s="24"/>
    </row>
    <row r="488" spans="1:4" ht="22.5" customHeight="1" x14ac:dyDescent="0.2">
      <c r="A488" s="23"/>
      <c r="B488" s="23"/>
      <c r="C488" s="23"/>
      <c r="D488" s="24"/>
    </row>
    <row r="489" spans="1:4" ht="22.5" customHeight="1" x14ac:dyDescent="0.2">
      <c r="A489" s="23"/>
      <c r="B489" s="23"/>
      <c r="C489" s="23"/>
      <c r="D489" s="24"/>
    </row>
    <row r="490" spans="1:4" ht="22.5" customHeight="1" x14ac:dyDescent="0.2">
      <c r="A490" s="23"/>
      <c r="B490" s="23"/>
      <c r="C490" s="23"/>
      <c r="D490" s="24"/>
    </row>
    <row r="491" spans="1:4" ht="22.5" customHeight="1" x14ac:dyDescent="0.2">
      <c r="A491" s="23"/>
      <c r="B491" s="23"/>
      <c r="C491" s="23"/>
      <c r="D491" s="24"/>
    </row>
    <row r="492" spans="1:4" ht="22.5" customHeight="1" x14ac:dyDescent="0.2">
      <c r="A492" s="23"/>
      <c r="B492" s="23"/>
      <c r="C492" s="23"/>
      <c r="D492" s="24"/>
    </row>
    <row r="493" spans="1:4" ht="22.5" customHeight="1" x14ac:dyDescent="0.2">
      <c r="A493" s="23"/>
      <c r="B493" s="23"/>
      <c r="C493" s="23"/>
      <c r="D493" s="24"/>
    </row>
    <row r="494" spans="1:4" ht="22.5" customHeight="1" x14ac:dyDescent="0.2">
      <c r="A494" s="23"/>
      <c r="B494" s="23"/>
      <c r="C494" s="23"/>
      <c r="D494" s="24"/>
    </row>
    <row r="495" spans="1:4" ht="22.5" customHeight="1" x14ac:dyDescent="0.2">
      <c r="A495" s="23"/>
      <c r="B495" s="23"/>
      <c r="C495" s="23"/>
      <c r="D495" s="24"/>
    </row>
    <row r="496" spans="1:4" ht="22.5" customHeight="1" x14ac:dyDescent="0.2">
      <c r="A496" s="23"/>
      <c r="B496" s="23"/>
      <c r="C496" s="23"/>
      <c r="D496" s="24"/>
    </row>
    <row r="497" spans="1:4" ht="22.5" customHeight="1" x14ac:dyDescent="0.2">
      <c r="A497" s="23"/>
      <c r="B497" s="23"/>
      <c r="C497" s="23"/>
      <c r="D497" s="24"/>
    </row>
    <row r="498" spans="1:4" ht="22.5" customHeight="1" x14ac:dyDescent="0.2">
      <c r="A498" s="23"/>
      <c r="B498" s="23"/>
      <c r="C498" s="23"/>
      <c r="D498" s="24"/>
    </row>
    <row r="499" spans="1:4" ht="22.5" customHeight="1" x14ac:dyDescent="0.2">
      <c r="A499" s="23"/>
      <c r="B499" s="23"/>
      <c r="C499" s="23"/>
      <c r="D499" s="24"/>
    </row>
    <row r="500" spans="1:4" ht="22.5" customHeight="1" x14ac:dyDescent="0.2">
      <c r="A500" s="23"/>
      <c r="B500" s="23"/>
      <c r="C500" s="23"/>
      <c r="D500" s="24"/>
    </row>
    <row r="501" spans="1:4" ht="22.5" customHeight="1" x14ac:dyDescent="0.2">
      <c r="A501" s="23"/>
      <c r="B501" s="23"/>
      <c r="C501" s="23"/>
      <c r="D501" s="24"/>
    </row>
    <row r="502" spans="1:4" ht="22.5" customHeight="1" x14ac:dyDescent="0.2">
      <c r="A502" s="23"/>
      <c r="B502" s="23"/>
      <c r="C502" s="23"/>
      <c r="D502" s="24"/>
    </row>
    <row r="503" spans="1:4" ht="22.5" customHeight="1" x14ac:dyDescent="0.2">
      <c r="A503" s="23"/>
      <c r="B503" s="23"/>
      <c r="C503" s="23"/>
      <c r="D503" s="24"/>
    </row>
    <row r="504" spans="1:4" ht="22.5" customHeight="1" x14ac:dyDescent="0.2">
      <c r="A504" s="23"/>
      <c r="B504" s="23"/>
      <c r="C504" s="23"/>
      <c r="D504" s="24"/>
    </row>
    <row r="505" spans="1:4" ht="22.5" customHeight="1" x14ac:dyDescent="0.2">
      <c r="A505" s="23"/>
      <c r="B505" s="23"/>
      <c r="C505" s="23"/>
      <c r="D505" s="24"/>
    </row>
    <row r="506" spans="1:4" ht="22.5" customHeight="1" x14ac:dyDescent="0.2">
      <c r="A506" s="23"/>
      <c r="B506" s="23"/>
      <c r="C506" s="23"/>
      <c r="D506" s="24"/>
    </row>
    <row r="507" spans="1:4" ht="22.5" customHeight="1" x14ac:dyDescent="0.2">
      <c r="A507" s="23"/>
      <c r="B507" s="23"/>
      <c r="C507" s="23"/>
      <c r="D507" s="24"/>
    </row>
    <row r="508" spans="1:4" ht="22.5" customHeight="1" x14ac:dyDescent="0.2">
      <c r="A508" s="23"/>
      <c r="B508" s="23"/>
      <c r="C508" s="23"/>
      <c r="D508" s="24"/>
    </row>
    <row r="509" spans="1:4" ht="22.5" customHeight="1" x14ac:dyDescent="0.2">
      <c r="A509" s="23"/>
      <c r="B509" s="23"/>
      <c r="C509" s="23"/>
      <c r="D509" s="24"/>
    </row>
    <row r="510" spans="1:4" ht="22.5" customHeight="1" x14ac:dyDescent="0.2">
      <c r="A510" s="23"/>
      <c r="B510" s="23"/>
      <c r="C510" s="23"/>
      <c r="D510" s="24"/>
    </row>
    <row r="511" spans="1:4" ht="22.5" customHeight="1" x14ac:dyDescent="0.2">
      <c r="A511" s="23"/>
      <c r="B511" s="23"/>
      <c r="C511" s="23"/>
      <c r="D511" s="24"/>
    </row>
    <row r="512" spans="1:4" ht="22.5" customHeight="1" x14ac:dyDescent="0.2">
      <c r="A512" s="23"/>
      <c r="B512" s="23"/>
      <c r="C512" s="23"/>
      <c r="D512" s="24"/>
    </row>
    <row r="513" spans="1:4" ht="22.5" customHeight="1" x14ac:dyDescent="0.2">
      <c r="A513" s="23"/>
      <c r="B513" s="23"/>
      <c r="C513" s="23"/>
      <c r="D513" s="24"/>
    </row>
    <row r="514" spans="1:4" ht="22.5" customHeight="1" x14ac:dyDescent="0.2">
      <c r="A514" s="23"/>
      <c r="B514" s="23"/>
      <c r="C514" s="23"/>
      <c r="D514" s="24"/>
    </row>
    <row r="515" spans="1:4" ht="22.5" customHeight="1" x14ac:dyDescent="0.2">
      <c r="A515" s="23"/>
      <c r="B515" s="23"/>
      <c r="C515" s="23"/>
      <c r="D515" s="24"/>
    </row>
    <row r="516" spans="1:4" ht="22.5" customHeight="1" x14ac:dyDescent="0.2">
      <c r="A516" s="23"/>
      <c r="B516" s="23"/>
      <c r="C516" s="23"/>
      <c r="D516" s="24"/>
    </row>
    <row r="517" spans="1:4" ht="22.5" customHeight="1" x14ac:dyDescent="0.2">
      <c r="A517" s="23"/>
      <c r="B517" s="23"/>
      <c r="C517" s="23"/>
      <c r="D517" s="24"/>
    </row>
    <row r="518" spans="1:4" ht="22.5" customHeight="1" x14ac:dyDescent="0.2">
      <c r="A518" s="23"/>
      <c r="B518" s="23"/>
      <c r="C518" s="23"/>
      <c r="D518" s="24"/>
    </row>
    <row r="519" spans="1:4" ht="22.5" customHeight="1" x14ac:dyDescent="0.2">
      <c r="A519" s="23"/>
      <c r="B519" s="23"/>
      <c r="C519" s="23"/>
      <c r="D519" s="24"/>
    </row>
    <row r="520" spans="1:4" ht="22.5" customHeight="1" x14ac:dyDescent="0.2">
      <c r="A520" s="23"/>
      <c r="B520" s="23"/>
      <c r="C520" s="23"/>
      <c r="D520" s="24"/>
    </row>
    <row r="521" spans="1:4" ht="22.5" customHeight="1" x14ac:dyDescent="0.2">
      <c r="A521" s="23"/>
      <c r="B521" s="23"/>
      <c r="C521" s="23"/>
      <c r="D521" s="24"/>
    </row>
    <row r="522" spans="1:4" ht="22.5" customHeight="1" x14ac:dyDescent="0.2">
      <c r="A522" s="23"/>
      <c r="B522" s="23"/>
      <c r="C522" s="23"/>
      <c r="D522" s="24"/>
    </row>
    <row r="523" spans="1:4" ht="22.5" customHeight="1" x14ac:dyDescent="0.2">
      <c r="A523" s="23"/>
      <c r="B523" s="23"/>
      <c r="C523" s="23"/>
      <c r="D523" s="24"/>
    </row>
    <row r="524" spans="1:4" ht="22.5" customHeight="1" x14ac:dyDescent="0.2">
      <c r="A524" s="23"/>
      <c r="B524" s="23"/>
      <c r="C524" s="23"/>
      <c r="D524" s="24"/>
    </row>
    <row r="525" spans="1:4" ht="22.5" customHeight="1" x14ac:dyDescent="0.2">
      <c r="A525" s="23"/>
      <c r="B525" s="23"/>
      <c r="C525" s="23"/>
      <c r="D525" s="24"/>
    </row>
    <row r="526" spans="1:4" ht="22.5" customHeight="1" x14ac:dyDescent="0.2">
      <c r="A526" s="23"/>
      <c r="B526" s="23"/>
      <c r="C526" s="23"/>
      <c r="D526" s="24"/>
    </row>
    <row r="527" spans="1:4" ht="22.5" customHeight="1" x14ac:dyDescent="0.2">
      <c r="A527" s="23"/>
      <c r="B527" s="23"/>
      <c r="C527" s="23"/>
      <c r="D527" s="24"/>
    </row>
    <row r="528" spans="1:4" ht="22.5" customHeight="1" x14ac:dyDescent="0.2">
      <c r="A528" s="23"/>
      <c r="B528" s="23"/>
      <c r="C528" s="23"/>
      <c r="D528" s="24"/>
    </row>
    <row r="529" spans="1:4" ht="22.5" customHeight="1" x14ac:dyDescent="0.2">
      <c r="A529" s="23"/>
      <c r="B529" s="23"/>
      <c r="C529" s="23"/>
      <c r="D529" s="24"/>
    </row>
    <row r="530" spans="1:4" ht="22.5" customHeight="1" x14ac:dyDescent="0.2">
      <c r="A530" s="23"/>
      <c r="B530" s="23"/>
      <c r="C530" s="23"/>
      <c r="D530" s="24"/>
    </row>
    <row r="531" spans="1:4" ht="22.5" customHeight="1" x14ac:dyDescent="0.2">
      <c r="A531" s="23"/>
      <c r="B531" s="23"/>
      <c r="C531" s="23"/>
      <c r="D531" s="24"/>
    </row>
    <row r="532" spans="1:4" ht="22.5" customHeight="1" x14ac:dyDescent="0.2">
      <c r="A532" s="23"/>
      <c r="B532" s="23"/>
      <c r="C532" s="23"/>
      <c r="D532" s="24"/>
    </row>
    <row r="533" spans="1:4" ht="22.5" customHeight="1" x14ac:dyDescent="0.2">
      <c r="A533" s="23"/>
      <c r="B533" s="23"/>
      <c r="C533" s="23"/>
      <c r="D533" s="24"/>
    </row>
    <row r="534" spans="1:4" ht="22.5" customHeight="1" x14ac:dyDescent="0.2">
      <c r="A534" s="23"/>
      <c r="B534" s="23"/>
      <c r="C534" s="23"/>
      <c r="D534" s="24"/>
    </row>
    <row r="535" spans="1:4" ht="22.5" customHeight="1" x14ac:dyDescent="0.2">
      <c r="A535" s="23"/>
      <c r="B535" s="23"/>
      <c r="C535" s="23"/>
      <c r="D535" s="24"/>
    </row>
    <row r="536" spans="1:4" ht="22.5" customHeight="1" x14ac:dyDescent="0.2">
      <c r="A536" s="23"/>
      <c r="B536" s="23"/>
      <c r="C536" s="23"/>
      <c r="D536" s="24"/>
    </row>
    <row r="537" spans="1:4" ht="22.5" customHeight="1" x14ac:dyDescent="0.2">
      <c r="A537" s="23"/>
      <c r="B537" s="23"/>
      <c r="C537" s="23"/>
      <c r="D537" s="24"/>
    </row>
    <row r="538" spans="1:4" ht="22.5" customHeight="1" x14ac:dyDescent="0.2">
      <c r="A538" s="23"/>
      <c r="B538" s="23"/>
      <c r="C538" s="23"/>
      <c r="D538" s="24"/>
    </row>
    <row r="539" spans="1:4" ht="22.5" customHeight="1" x14ac:dyDescent="0.2">
      <c r="A539" s="23"/>
      <c r="B539" s="23"/>
      <c r="C539" s="23"/>
      <c r="D539" s="24"/>
    </row>
    <row r="540" spans="1:4" ht="22.5" customHeight="1" x14ac:dyDescent="0.2">
      <c r="A540" s="23"/>
      <c r="B540" s="23"/>
      <c r="C540" s="23"/>
      <c r="D540" s="24"/>
    </row>
    <row r="541" spans="1:4" ht="22.5" customHeight="1" x14ac:dyDescent="0.2">
      <c r="A541" s="23"/>
      <c r="B541" s="23"/>
      <c r="C541" s="23"/>
      <c r="D541" s="24"/>
    </row>
    <row r="542" spans="1:4" ht="22.5" customHeight="1" x14ac:dyDescent="0.2">
      <c r="A542" s="23"/>
      <c r="B542" s="23"/>
      <c r="C542" s="23"/>
      <c r="D542" s="24"/>
    </row>
    <row r="543" spans="1:4" ht="22.5" customHeight="1" x14ac:dyDescent="0.2">
      <c r="A543" s="23"/>
      <c r="B543" s="23"/>
      <c r="C543" s="23"/>
      <c r="D543" s="24"/>
    </row>
    <row r="544" spans="1:4" ht="22.5" customHeight="1" x14ac:dyDescent="0.2">
      <c r="A544" s="23"/>
      <c r="B544" s="23"/>
      <c r="C544" s="23"/>
      <c r="D544" s="24"/>
    </row>
    <row r="545" spans="1:4" ht="22.5" customHeight="1" x14ac:dyDescent="0.2">
      <c r="A545" s="23"/>
      <c r="B545" s="23"/>
      <c r="C545" s="23"/>
      <c r="D545" s="24"/>
    </row>
    <row r="546" spans="1:4" ht="22.5" customHeight="1" x14ac:dyDescent="0.2">
      <c r="A546" s="23"/>
      <c r="B546" s="23"/>
      <c r="C546" s="23"/>
      <c r="D546" s="24"/>
    </row>
    <row r="547" spans="1:4" ht="22.5" customHeight="1" x14ac:dyDescent="0.2">
      <c r="A547" s="23"/>
      <c r="B547" s="23"/>
      <c r="C547" s="23"/>
      <c r="D547" s="24"/>
    </row>
    <row r="548" spans="1:4" ht="22.5" customHeight="1" x14ac:dyDescent="0.2">
      <c r="A548" s="23"/>
      <c r="B548" s="23"/>
      <c r="C548" s="23"/>
      <c r="D548" s="24"/>
    </row>
    <row r="549" spans="1:4" ht="22.5" customHeight="1" x14ac:dyDescent="0.2">
      <c r="A549" s="23"/>
      <c r="B549" s="23"/>
      <c r="C549" s="23"/>
      <c r="D549" s="24"/>
    </row>
    <row r="550" spans="1:4" ht="22.5" customHeight="1" x14ac:dyDescent="0.2">
      <c r="A550" s="23"/>
      <c r="B550" s="23"/>
      <c r="C550" s="23"/>
      <c r="D550" s="24"/>
    </row>
    <row r="551" spans="1:4" ht="22.5" customHeight="1" x14ac:dyDescent="0.2">
      <c r="A551" s="23"/>
      <c r="B551" s="23"/>
      <c r="C551" s="23"/>
      <c r="D551" s="24"/>
    </row>
    <row r="552" spans="1:4" ht="22.5" customHeight="1" x14ac:dyDescent="0.2">
      <c r="A552" s="23"/>
      <c r="B552" s="23"/>
      <c r="C552" s="23"/>
      <c r="D552" s="24"/>
    </row>
    <row r="553" spans="1:4" ht="22.5" customHeight="1" x14ac:dyDescent="0.2">
      <c r="A553" s="23"/>
      <c r="B553" s="23"/>
      <c r="C553" s="23"/>
      <c r="D553" s="24"/>
    </row>
    <row r="554" spans="1:4" ht="22.5" customHeight="1" x14ac:dyDescent="0.2">
      <c r="A554" s="23"/>
      <c r="B554" s="23"/>
      <c r="C554" s="23"/>
      <c r="D554" s="24"/>
    </row>
    <row r="555" spans="1:4" ht="22.5" customHeight="1" x14ac:dyDescent="0.2">
      <c r="A555" s="23"/>
      <c r="B555" s="23"/>
      <c r="C555" s="23"/>
      <c r="D555" s="24"/>
    </row>
    <row r="556" spans="1:4" ht="22.5" customHeight="1" x14ac:dyDescent="0.2">
      <c r="A556" s="23"/>
      <c r="B556" s="23"/>
      <c r="C556" s="23"/>
      <c r="D556" s="24"/>
    </row>
    <row r="557" spans="1:4" ht="22.5" customHeight="1" x14ac:dyDescent="0.2">
      <c r="A557" s="23"/>
      <c r="B557" s="23"/>
      <c r="C557" s="23"/>
      <c r="D557" s="24"/>
    </row>
    <row r="558" spans="1:4" ht="22.5" customHeight="1" x14ac:dyDescent="0.2">
      <c r="A558" s="23"/>
      <c r="B558" s="23"/>
      <c r="C558" s="23"/>
      <c r="D558" s="24"/>
    </row>
    <row r="559" spans="1:4" ht="22.5" customHeight="1" x14ac:dyDescent="0.2">
      <c r="A559" s="23"/>
      <c r="B559" s="23"/>
      <c r="C559" s="23"/>
      <c r="D559" s="24"/>
    </row>
    <row r="560" spans="1:4" ht="22.5" customHeight="1" x14ac:dyDescent="0.2">
      <c r="A560" s="23"/>
      <c r="B560" s="23"/>
      <c r="C560" s="23"/>
      <c r="D560" s="24"/>
    </row>
    <row r="561" spans="1:4" ht="22.5" customHeight="1" x14ac:dyDescent="0.2">
      <c r="A561" s="23"/>
      <c r="B561" s="23"/>
      <c r="C561" s="23"/>
      <c r="D561" s="24"/>
    </row>
    <row r="562" spans="1:4" ht="22.5" customHeight="1" x14ac:dyDescent="0.2">
      <c r="A562" s="23"/>
      <c r="B562" s="23"/>
      <c r="C562" s="23"/>
      <c r="D562" s="24"/>
    </row>
    <row r="563" spans="1:4" ht="22.5" customHeight="1" x14ac:dyDescent="0.2">
      <c r="A563" s="23"/>
      <c r="B563" s="23"/>
      <c r="C563" s="23"/>
      <c r="D563" s="24"/>
    </row>
    <row r="564" spans="1:4" ht="22.5" customHeight="1" x14ac:dyDescent="0.2">
      <c r="A564" s="23"/>
      <c r="B564" s="23"/>
      <c r="C564" s="23"/>
      <c r="D564" s="24"/>
    </row>
    <row r="565" spans="1:4" ht="22.5" customHeight="1" x14ac:dyDescent="0.2">
      <c r="A565" s="23"/>
      <c r="B565" s="23"/>
      <c r="C565" s="23"/>
      <c r="D565" s="24"/>
    </row>
    <row r="566" spans="1:4" ht="22.5" customHeight="1" x14ac:dyDescent="0.2">
      <c r="A566" s="23"/>
      <c r="B566" s="23"/>
      <c r="C566" s="23"/>
      <c r="D566" s="24"/>
    </row>
    <row r="567" spans="1:4" ht="22.5" customHeight="1" x14ac:dyDescent="0.2">
      <c r="A567" s="23"/>
      <c r="B567" s="23"/>
      <c r="C567" s="23"/>
      <c r="D567" s="24"/>
    </row>
    <row r="568" spans="1:4" ht="22.5" customHeight="1" x14ac:dyDescent="0.2">
      <c r="A568" s="23"/>
      <c r="B568" s="23"/>
      <c r="C568" s="23"/>
      <c r="D568" s="24"/>
    </row>
    <row r="569" spans="1:4" ht="22.5" customHeight="1" x14ac:dyDescent="0.2">
      <c r="A569" s="23"/>
      <c r="B569" s="23"/>
      <c r="C569" s="23"/>
      <c r="D569" s="24"/>
    </row>
    <row r="570" spans="1:4" ht="22.5" customHeight="1" x14ac:dyDescent="0.2">
      <c r="A570" s="23"/>
      <c r="B570" s="23"/>
      <c r="C570" s="23"/>
      <c r="D570" s="24"/>
    </row>
    <row r="571" spans="1:4" ht="22.5" customHeight="1" x14ac:dyDescent="0.2">
      <c r="A571" s="23"/>
      <c r="B571" s="23"/>
      <c r="C571" s="23"/>
      <c r="D571" s="24"/>
    </row>
    <row r="572" spans="1:4" ht="22.5" customHeight="1" x14ac:dyDescent="0.2">
      <c r="A572" s="23"/>
      <c r="B572" s="23"/>
      <c r="C572" s="23"/>
      <c r="D572" s="24"/>
    </row>
    <row r="573" spans="1:4" ht="22.5" customHeight="1" x14ac:dyDescent="0.2">
      <c r="A573" s="23"/>
      <c r="B573" s="23"/>
      <c r="C573" s="23"/>
      <c r="D573" s="24"/>
    </row>
    <row r="574" spans="1:4" ht="22.5" customHeight="1" x14ac:dyDescent="0.2">
      <c r="A574" s="23"/>
      <c r="B574" s="23"/>
      <c r="C574" s="23"/>
      <c r="D574" s="24"/>
    </row>
    <row r="575" spans="1:4" ht="22.5" customHeight="1" x14ac:dyDescent="0.2">
      <c r="A575" s="23"/>
      <c r="B575" s="23"/>
      <c r="C575" s="23"/>
      <c r="D575" s="24"/>
    </row>
    <row r="576" spans="1:4" ht="22.5" customHeight="1" x14ac:dyDescent="0.2">
      <c r="A576" s="23"/>
      <c r="B576" s="23"/>
      <c r="C576" s="23"/>
      <c r="D576" s="24"/>
    </row>
    <row r="577" spans="1:4" ht="22.5" customHeight="1" x14ac:dyDescent="0.2">
      <c r="A577" s="23"/>
      <c r="B577" s="23"/>
      <c r="C577" s="23"/>
      <c r="D577" s="24"/>
    </row>
    <row r="578" spans="1:4" ht="22.5" customHeight="1" x14ac:dyDescent="0.2">
      <c r="A578" s="23"/>
      <c r="B578" s="23"/>
      <c r="C578" s="23"/>
      <c r="D578" s="24"/>
    </row>
    <row r="579" spans="1:4" ht="22.5" customHeight="1" x14ac:dyDescent="0.2">
      <c r="A579" s="23"/>
      <c r="B579" s="23"/>
      <c r="C579" s="23"/>
      <c r="D579" s="24"/>
    </row>
    <row r="580" spans="1:4" ht="22.5" customHeight="1" x14ac:dyDescent="0.2">
      <c r="A580" s="23"/>
      <c r="B580" s="23"/>
      <c r="C580" s="23"/>
      <c r="D580" s="24"/>
    </row>
    <row r="581" spans="1:4" ht="22.5" customHeight="1" x14ac:dyDescent="0.2">
      <c r="A581" s="23"/>
      <c r="B581" s="23"/>
      <c r="C581" s="23"/>
      <c r="D581" s="24"/>
    </row>
    <row r="582" spans="1:4" ht="22.5" customHeight="1" x14ac:dyDescent="0.2">
      <c r="A582" s="23"/>
      <c r="B582" s="23"/>
      <c r="C582" s="23"/>
      <c r="D582" s="24"/>
    </row>
    <row r="583" spans="1:4" ht="22.5" customHeight="1" x14ac:dyDescent="0.2">
      <c r="A583" s="23"/>
      <c r="B583" s="23"/>
      <c r="C583" s="23"/>
      <c r="D583" s="24"/>
    </row>
    <row r="584" spans="1:4" ht="22.5" customHeight="1" x14ac:dyDescent="0.2">
      <c r="A584" s="23"/>
      <c r="B584" s="23"/>
      <c r="C584" s="23"/>
      <c r="D584" s="24"/>
    </row>
    <row r="585" spans="1:4" ht="22.5" customHeight="1" x14ac:dyDescent="0.2">
      <c r="A585" s="23"/>
      <c r="B585" s="23"/>
      <c r="C585" s="23"/>
      <c r="D585" s="24"/>
    </row>
    <row r="586" spans="1:4" ht="22.5" customHeight="1" x14ac:dyDescent="0.2">
      <c r="A586" s="23"/>
      <c r="B586" s="23"/>
      <c r="C586" s="23"/>
      <c r="D586" s="24"/>
    </row>
    <row r="587" spans="1:4" ht="22.5" customHeight="1" x14ac:dyDescent="0.2">
      <c r="A587" s="23"/>
      <c r="B587" s="23"/>
      <c r="C587" s="23"/>
      <c r="D587" s="24"/>
    </row>
    <row r="588" spans="1:4" ht="22.5" customHeight="1" x14ac:dyDescent="0.2">
      <c r="A588" s="23"/>
      <c r="B588" s="23"/>
      <c r="C588" s="23"/>
      <c r="D588" s="24"/>
    </row>
    <row r="589" spans="1:4" ht="22.5" customHeight="1" x14ac:dyDescent="0.2">
      <c r="A589" s="23"/>
      <c r="B589" s="23"/>
      <c r="C589" s="23"/>
      <c r="D589" s="24"/>
    </row>
    <row r="590" spans="1:4" ht="22.5" customHeight="1" x14ac:dyDescent="0.2">
      <c r="A590" s="23"/>
      <c r="B590" s="23"/>
      <c r="C590" s="23"/>
      <c r="D590" s="24"/>
    </row>
    <row r="591" spans="1:4" ht="22.5" customHeight="1" x14ac:dyDescent="0.2">
      <c r="A591" s="23"/>
      <c r="B591" s="23"/>
      <c r="C591" s="23"/>
      <c r="D591" s="24"/>
    </row>
    <row r="592" spans="1:4" ht="22.5" customHeight="1" x14ac:dyDescent="0.2">
      <c r="A592" s="23"/>
      <c r="B592" s="23"/>
      <c r="C592" s="23"/>
      <c r="D592" s="24"/>
    </row>
    <row r="593" spans="1:4" ht="22.5" customHeight="1" x14ac:dyDescent="0.2">
      <c r="A593" s="23"/>
      <c r="B593" s="23"/>
      <c r="C593" s="23"/>
      <c r="D593" s="24"/>
    </row>
    <row r="594" spans="1:4" ht="22.5" customHeight="1" x14ac:dyDescent="0.2">
      <c r="A594" s="23"/>
      <c r="B594" s="23"/>
      <c r="C594" s="23"/>
      <c r="D594" s="24"/>
    </row>
    <row r="595" spans="1:4" ht="22.5" customHeight="1" x14ac:dyDescent="0.2">
      <c r="A595" s="23"/>
      <c r="B595" s="23"/>
      <c r="C595" s="23"/>
      <c r="D595" s="24"/>
    </row>
    <row r="596" spans="1:4" ht="22.5" customHeight="1" x14ac:dyDescent="0.2">
      <c r="A596" s="23"/>
      <c r="B596" s="23"/>
      <c r="C596" s="23"/>
      <c r="D596" s="24"/>
    </row>
    <row r="597" spans="1:4" ht="22.5" customHeight="1" x14ac:dyDescent="0.2">
      <c r="A597" s="23"/>
      <c r="B597" s="23"/>
      <c r="C597" s="23"/>
      <c r="D597" s="24"/>
    </row>
    <row r="598" spans="1:4" ht="22.5" customHeight="1" x14ac:dyDescent="0.2">
      <c r="A598" s="23"/>
      <c r="B598" s="23"/>
      <c r="C598" s="23"/>
      <c r="D598" s="24"/>
    </row>
    <row r="599" spans="1:4" ht="22.5" customHeight="1" x14ac:dyDescent="0.2">
      <c r="A599" s="23"/>
      <c r="B599" s="23"/>
      <c r="C599" s="23"/>
      <c r="D599" s="24"/>
    </row>
    <row r="600" spans="1:4" ht="22.5" customHeight="1" x14ac:dyDescent="0.2">
      <c r="A600" s="23"/>
      <c r="B600" s="23"/>
      <c r="C600" s="23"/>
      <c r="D600" s="24"/>
    </row>
    <row r="601" spans="1:4" ht="22.5" customHeight="1" x14ac:dyDescent="0.2">
      <c r="A601" s="23"/>
      <c r="B601" s="23"/>
      <c r="C601" s="23"/>
      <c r="D601" s="24"/>
    </row>
    <row r="602" spans="1:4" ht="22.5" customHeight="1" x14ac:dyDescent="0.2">
      <c r="A602" s="23"/>
      <c r="B602" s="23"/>
      <c r="C602" s="23"/>
      <c r="D602" s="24"/>
    </row>
    <row r="603" spans="1:4" ht="22.5" customHeight="1" x14ac:dyDescent="0.2">
      <c r="A603" s="23"/>
      <c r="B603" s="23"/>
      <c r="C603" s="23"/>
      <c r="D603" s="24"/>
    </row>
    <row r="604" spans="1:4" ht="22.5" customHeight="1" x14ac:dyDescent="0.2">
      <c r="A604" s="23"/>
      <c r="B604" s="23"/>
      <c r="C604" s="23"/>
      <c r="D604" s="24"/>
    </row>
    <row r="605" spans="1:4" ht="22.5" customHeight="1" x14ac:dyDescent="0.2">
      <c r="A605" s="23"/>
      <c r="B605" s="23"/>
      <c r="C605" s="23"/>
      <c r="D605" s="24"/>
    </row>
    <row r="606" spans="1:4" ht="22.5" customHeight="1" x14ac:dyDescent="0.2">
      <c r="A606" s="23"/>
      <c r="B606" s="23"/>
      <c r="C606" s="23"/>
      <c r="D606" s="24"/>
    </row>
    <row r="607" spans="1:4" ht="22.5" customHeight="1" x14ac:dyDescent="0.2">
      <c r="A607" s="23"/>
      <c r="B607" s="23"/>
      <c r="C607" s="23"/>
      <c r="D607" s="24"/>
    </row>
    <row r="608" spans="1:4" ht="22.5" customHeight="1" x14ac:dyDescent="0.2">
      <c r="A608" s="23"/>
      <c r="B608" s="23"/>
      <c r="C608" s="23"/>
      <c r="D608" s="24"/>
    </row>
    <row r="609" spans="1:4" ht="22.5" customHeight="1" x14ac:dyDescent="0.2">
      <c r="A609" s="23"/>
      <c r="B609" s="23"/>
      <c r="C609" s="23"/>
      <c r="D609" s="24"/>
    </row>
    <row r="610" spans="1:4" ht="22.5" customHeight="1" x14ac:dyDescent="0.2">
      <c r="A610" s="23"/>
      <c r="B610" s="23"/>
      <c r="C610" s="23"/>
      <c r="D610" s="24"/>
    </row>
    <row r="611" spans="1:4" ht="22.5" customHeight="1" x14ac:dyDescent="0.2">
      <c r="A611" s="23"/>
      <c r="B611" s="23"/>
      <c r="C611" s="23"/>
      <c r="D611" s="24"/>
    </row>
    <row r="612" spans="1:4" ht="22.5" customHeight="1" x14ac:dyDescent="0.2">
      <c r="A612" s="23"/>
      <c r="B612" s="23"/>
      <c r="C612" s="23"/>
      <c r="D612" s="24"/>
    </row>
    <row r="613" spans="1:4" ht="22.5" customHeight="1" x14ac:dyDescent="0.2">
      <c r="A613" s="23"/>
      <c r="B613" s="23"/>
      <c r="C613" s="23"/>
      <c r="D613" s="24"/>
    </row>
    <row r="614" spans="1:4" ht="22.5" customHeight="1" x14ac:dyDescent="0.2">
      <c r="A614" s="23"/>
      <c r="B614" s="23"/>
      <c r="C614" s="23"/>
      <c r="D614" s="24"/>
    </row>
    <row r="615" spans="1:4" ht="22.5" customHeight="1" x14ac:dyDescent="0.2">
      <c r="A615" s="23"/>
      <c r="B615" s="23"/>
      <c r="C615" s="23"/>
      <c r="D615" s="24"/>
    </row>
    <row r="616" spans="1:4" ht="22.5" customHeight="1" x14ac:dyDescent="0.2">
      <c r="A616" s="23"/>
      <c r="B616" s="23"/>
      <c r="C616" s="23"/>
      <c r="D616" s="24"/>
    </row>
    <row r="617" spans="1:4" ht="22.5" customHeight="1" x14ac:dyDescent="0.2">
      <c r="A617" s="23"/>
      <c r="B617" s="23"/>
      <c r="C617" s="23"/>
      <c r="D617" s="24"/>
    </row>
    <row r="618" spans="1:4" ht="22.5" customHeight="1" x14ac:dyDescent="0.2">
      <c r="A618" s="23"/>
      <c r="B618" s="23"/>
      <c r="C618" s="23"/>
      <c r="D618" s="24"/>
    </row>
    <row r="619" spans="1:4" ht="22.5" customHeight="1" x14ac:dyDescent="0.2">
      <c r="A619" s="23"/>
      <c r="B619" s="23"/>
      <c r="C619" s="23"/>
      <c r="D619" s="24"/>
    </row>
    <row r="620" spans="1:4" ht="22.5" customHeight="1" x14ac:dyDescent="0.2">
      <c r="A620" s="23"/>
      <c r="B620" s="23"/>
      <c r="C620" s="23"/>
      <c r="D620" s="24"/>
    </row>
    <row r="621" spans="1:4" ht="22.5" customHeight="1" x14ac:dyDescent="0.2">
      <c r="A621" s="23"/>
      <c r="B621" s="23"/>
      <c r="C621" s="23"/>
      <c r="D621" s="24"/>
    </row>
    <row r="622" spans="1:4" ht="22.5" customHeight="1" x14ac:dyDescent="0.2">
      <c r="A622" s="23"/>
      <c r="B622" s="23"/>
      <c r="C622" s="23"/>
      <c r="D622" s="24"/>
    </row>
    <row r="623" spans="1:4" ht="22.5" customHeight="1" x14ac:dyDescent="0.2">
      <c r="A623" s="23"/>
      <c r="B623" s="23"/>
      <c r="C623" s="23"/>
      <c r="D623" s="24"/>
    </row>
    <row r="624" spans="1:4" ht="22.5" customHeight="1" x14ac:dyDescent="0.2">
      <c r="A624" s="23"/>
      <c r="B624" s="23"/>
      <c r="C624" s="23"/>
      <c r="D624" s="24"/>
    </row>
    <row r="625" spans="1:4" ht="22.5" customHeight="1" x14ac:dyDescent="0.2">
      <c r="A625" s="23"/>
      <c r="B625" s="23"/>
      <c r="C625" s="23"/>
      <c r="D625" s="24"/>
    </row>
    <row r="626" spans="1:4" ht="22.5" customHeight="1" x14ac:dyDescent="0.2">
      <c r="A626" s="23"/>
      <c r="B626" s="23"/>
      <c r="C626" s="23"/>
      <c r="D626" s="24"/>
    </row>
    <row r="627" spans="1:4" ht="22.5" customHeight="1" x14ac:dyDescent="0.2">
      <c r="A627" s="23"/>
      <c r="B627" s="23"/>
      <c r="C627" s="23"/>
      <c r="D627" s="24"/>
    </row>
    <row r="628" spans="1:4" ht="22.5" customHeight="1" x14ac:dyDescent="0.2">
      <c r="A628" s="23"/>
      <c r="B628" s="23"/>
      <c r="C628" s="23"/>
      <c r="D628" s="24"/>
    </row>
    <row r="629" spans="1:4" ht="22.5" customHeight="1" x14ac:dyDescent="0.2">
      <c r="A629" s="23"/>
      <c r="B629" s="23"/>
      <c r="C629" s="23"/>
      <c r="D629" s="24"/>
    </row>
    <row r="630" spans="1:4" ht="22.5" customHeight="1" x14ac:dyDescent="0.2">
      <c r="A630" s="23"/>
      <c r="B630" s="23"/>
      <c r="C630" s="23"/>
      <c r="D630" s="24"/>
    </row>
    <row r="631" spans="1:4" ht="22.5" customHeight="1" x14ac:dyDescent="0.2">
      <c r="A631" s="23"/>
      <c r="B631" s="23"/>
      <c r="C631" s="23"/>
      <c r="D631" s="24"/>
    </row>
    <row r="632" spans="1:4" ht="22.5" customHeight="1" x14ac:dyDescent="0.2">
      <c r="A632" s="23"/>
      <c r="B632" s="23"/>
      <c r="C632" s="23"/>
      <c r="D632" s="24"/>
    </row>
    <row r="633" spans="1:4" ht="22.5" customHeight="1" x14ac:dyDescent="0.2">
      <c r="A633" s="23"/>
      <c r="B633" s="23"/>
      <c r="C633" s="23"/>
      <c r="D633" s="24"/>
    </row>
    <row r="634" spans="1:4" ht="22.5" customHeight="1" x14ac:dyDescent="0.2">
      <c r="A634" s="23"/>
      <c r="B634" s="23"/>
      <c r="C634" s="23"/>
      <c r="D634" s="24"/>
    </row>
    <row r="635" spans="1:4" ht="22.5" customHeight="1" x14ac:dyDescent="0.2">
      <c r="A635" s="23"/>
      <c r="B635" s="23"/>
      <c r="C635" s="23"/>
      <c r="D635" s="24"/>
    </row>
    <row r="636" spans="1:4" ht="22.5" customHeight="1" x14ac:dyDescent="0.2">
      <c r="A636" s="23"/>
      <c r="B636" s="23"/>
      <c r="C636" s="23"/>
      <c r="D636" s="24"/>
    </row>
    <row r="637" spans="1:4" ht="22.5" customHeight="1" x14ac:dyDescent="0.2">
      <c r="A637" s="23"/>
      <c r="B637" s="23"/>
      <c r="C637" s="23"/>
      <c r="D637" s="24"/>
    </row>
    <row r="638" spans="1:4" ht="22.5" customHeight="1" x14ac:dyDescent="0.2">
      <c r="A638" s="23"/>
      <c r="B638" s="23"/>
      <c r="C638" s="23"/>
      <c r="D638" s="24"/>
    </row>
    <row r="639" spans="1:4" ht="22.5" customHeight="1" x14ac:dyDescent="0.2">
      <c r="A639" s="23"/>
      <c r="B639" s="23"/>
      <c r="C639" s="23"/>
      <c r="D639" s="24"/>
    </row>
    <row r="640" spans="1:4" ht="22.5" customHeight="1" x14ac:dyDescent="0.2">
      <c r="A640" s="23"/>
      <c r="B640" s="23"/>
      <c r="C640" s="23"/>
      <c r="D640" s="24"/>
    </row>
    <row r="641" spans="1:4" ht="22.5" customHeight="1" x14ac:dyDescent="0.2">
      <c r="A641" s="23"/>
      <c r="B641" s="23"/>
      <c r="C641" s="23"/>
      <c r="D641" s="24"/>
    </row>
    <row r="642" spans="1:4" ht="22.5" customHeight="1" x14ac:dyDescent="0.2">
      <c r="A642" s="23"/>
      <c r="B642" s="23"/>
      <c r="C642" s="23"/>
      <c r="D642" s="24"/>
    </row>
    <row r="643" spans="1:4" ht="22.5" customHeight="1" x14ac:dyDescent="0.2">
      <c r="A643" s="23"/>
      <c r="B643" s="23"/>
      <c r="C643" s="23"/>
      <c r="D643" s="24"/>
    </row>
    <row r="644" spans="1:4" ht="22.5" customHeight="1" x14ac:dyDescent="0.2">
      <c r="A644" s="23"/>
      <c r="B644" s="23"/>
      <c r="C644" s="23"/>
      <c r="D644" s="24"/>
    </row>
    <row r="645" spans="1:4" ht="22.5" customHeight="1" x14ac:dyDescent="0.2">
      <c r="A645" s="23"/>
      <c r="B645" s="23"/>
      <c r="C645" s="23"/>
      <c r="D645" s="24"/>
    </row>
    <row r="646" spans="1:4" ht="22.5" customHeight="1" x14ac:dyDescent="0.2">
      <c r="A646" s="23"/>
      <c r="B646" s="23"/>
      <c r="C646" s="23"/>
      <c r="D646" s="24"/>
    </row>
    <row r="647" spans="1:4" ht="22.5" customHeight="1" x14ac:dyDescent="0.2">
      <c r="A647" s="23"/>
      <c r="B647" s="23"/>
      <c r="C647" s="23"/>
      <c r="D647" s="24"/>
    </row>
    <row r="648" spans="1:4" ht="22.5" customHeight="1" x14ac:dyDescent="0.2">
      <c r="A648" s="23"/>
      <c r="B648" s="23"/>
      <c r="C648" s="23"/>
      <c r="D648" s="24"/>
    </row>
    <row r="649" spans="1:4" ht="22.5" customHeight="1" x14ac:dyDescent="0.2">
      <c r="A649" s="23"/>
      <c r="B649" s="23"/>
      <c r="C649" s="23"/>
      <c r="D649" s="24"/>
    </row>
    <row r="650" spans="1:4" ht="22.5" customHeight="1" x14ac:dyDescent="0.2">
      <c r="A650" s="23"/>
      <c r="B650" s="23"/>
      <c r="C650" s="23"/>
      <c r="D650" s="24"/>
    </row>
    <row r="651" spans="1:4" ht="22.5" customHeight="1" x14ac:dyDescent="0.2">
      <c r="A651" s="23"/>
      <c r="B651" s="23"/>
      <c r="C651" s="23"/>
      <c r="D651" s="24"/>
    </row>
    <row r="652" spans="1:4" ht="22.5" customHeight="1" x14ac:dyDescent="0.2">
      <c r="A652" s="23"/>
      <c r="B652" s="23"/>
      <c r="C652" s="23"/>
      <c r="D652" s="24"/>
    </row>
    <row r="653" spans="1:4" ht="22.5" customHeight="1" x14ac:dyDescent="0.2">
      <c r="A653" s="23"/>
      <c r="B653" s="23"/>
      <c r="C653" s="23"/>
      <c r="D653" s="24"/>
    </row>
    <row r="654" spans="1:4" ht="22.5" customHeight="1" x14ac:dyDescent="0.2">
      <c r="A654" s="23"/>
      <c r="B654" s="23"/>
      <c r="C654" s="23"/>
      <c r="D654" s="24"/>
    </row>
    <row r="655" spans="1:4" ht="22.5" customHeight="1" x14ac:dyDescent="0.2">
      <c r="A655" s="23"/>
      <c r="B655" s="23"/>
      <c r="C655" s="23"/>
      <c r="D655" s="24"/>
    </row>
    <row r="656" spans="1:4" ht="22.5" customHeight="1" x14ac:dyDescent="0.2">
      <c r="A656" s="23"/>
      <c r="B656" s="23"/>
      <c r="C656" s="23"/>
      <c r="D656" s="24"/>
    </row>
    <row r="657" spans="1:4" ht="22.5" customHeight="1" x14ac:dyDescent="0.2">
      <c r="A657" s="23"/>
      <c r="B657" s="23"/>
      <c r="C657" s="23"/>
      <c r="D657" s="24"/>
    </row>
    <row r="658" spans="1:4" ht="22.5" customHeight="1" x14ac:dyDescent="0.2">
      <c r="A658" s="23"/>
      <c r="B658" s="23"/>
      <c r="C658" s="23"/>
      <c r="D658" s="24"/>
    </row>
    <row r="659" spans="1:4" ht="22.5" customHeight="1" x14ac:dyDescent="0.2">
      <c r="A659" s="23"/>
      <c r="B659" s="23"/>
      <c r="C659" s="23"/>
      <c r="D659" s="24"/>
    </row>
    <row r="660" spans="1:4" ht="22.5" customHeight="1" x14ac:dyDescent="0.2">
      <c r="A660" s="23"/>
      <c r="B660" s="23"/>
      <c r="C660" s="23"/>
      <c r="D660" s="24"/>
    </row>
    <row r="661" spans="1:4" ht="22.5" customHeight="1" x14ac:dyDescent="0.2">
      <c r="A661" s="23"/>
      <c r="B661" s="23"/>
      <c r="C661" s="23"/>
      <c r="D661" s="24"/>
    </row>
    <row r="662" spans="1:4" ht="22.5" customHeight="1" x14ac:dyDescent="0.2">
      <c r="A662" s="23"/>
      <c r="B662" s="23"/>
      <c r="C662" s="23"/>
      <c r="D662" s="24"/>
    </row>
    <row r="663" spans="1:4" ht="22.5" customHeight="1" x14ac:dyDescent="0.2">
      <c r="A663" s="23"/>
      <c r="B663" s="23"/>
      <c r="C663" s="23"/>
      <c r="D663" s="24"/>
    </row>
    <row r="664" spans="1:4" ht="22.5" customHeight="1" x14ac:dyDescent="0.2">
      <c r="A664" s="23"/>
      <c r="B664" s="23"/>
      <c r="C664" s="23"/>
      <c r="D664" s="24"/>
    </row>
    <row r="665" spans="1:4" ht="22.5" customHeight="1" x14ac:dyDescent="0.2">
      <c r="A665" s="23"/>
      <c r="B665" s="23"/>
      <c r="C665" s="23"/>
      <c r="D665" s="24"/>
    </row>
    <row r="666" spans="1:4" ht="22.5" customHeight="1" x14ac:dyDescent="0.2">
      <c r="A666" s="23"/>
      <c r="B666" s="23"/>
      <c r="C666" s="23"/>
      <c r="D666" s="24"/>
    </row>
    <row r="667" spans="1:4" ht="22.5" customHeight="1" x14ac:dyDescent="0.2">
      <c r="A667" s="23"/>
      <c r="B667" s="23"/>
      <c r="C667" s="23"/>
      <c r="D667" s="24"/>
    </row>
    <row r="668" spans="1:4" ht="22.5" customHeight="1" x14ac:dyDescent="0.2">
      <c r="A668" s="23"/>
      <c r="B668" s="23"/>
      <c r="C668" s="23"/>
      <c r="D668" s="24"/>
    </row>
    <row r="669" spans="1:4" ht="22.5" customHeight="1" x14ac:dyDescent="0.2">
      <c r="A669" s="23"/>
      <c r="B669" s="23"/>
      <c r="C669" s="23"/>
      <c r="D669" s="24"/>
    </row>
    <row r="670" spans="1:4" ht="22.5" customHeight="1" x14ac:dyDescent="0.2">
      <c r="A670" s="23"/>
      <c r="B670" s="23"/>
      <c r="C670" s="23"/>
      <c r="D670" s="24"/>
    </row>
    <row r="671" spans="1:4" ht="22.5" customHeight="1" x14ac:dyDescent="0.2">
      <c r="A671" s="23"/>
      <c r="B671" s="23"/>
      <c r="C671" s="23"/>
      <c r="D671" s="24"/>
    </row>
    <row r="672" spans="1:4" ht="22.5" customHeight="1" x14ac:dyDescent="0.2">
      <c r="A672" s="23"/>
      <c r="B672" s="23"/>
      <c r="C672" s="23"/>
      <c r="D672" s="24"/>
    </row>
    <row r="673" spans="1:4" ht="22.5" customHeight="1" x14ac:dyDescent="0.2">
      <c r="A673" s="23"/>
      <c r="B673" s="23"/>
      <c r="C673" s="23"/>
      <c r="D673" s="24"/>
    </row>
    <row r="674" spans="1:4" ht="22.5" customHeight="1" x14ac:dyDescent="0.2">
      <c r="A674" s="23"/>
      <c r="B674" s="23"/>
      <c r="C674" s="23"/>
      <c r="D674" s="24"/>
    </row>
    <row r="675" spans="1:4" ht="22.5" customHeight="1" x14ac:dyDescent="0.2">
      <c r="A675" s="23"/>
      <c r="B675" s="23"/>
      <c r="C675" s="23"/>
      <c r="D675" s="24"/>
    </row>
    <row r="676" spans="1:4" ht="22.5" customHeight="1" x14ac:dyDescent="0.2">
      <c r="A676" s="23"/>
      <c r="B676" s="23"/>
      <c r="C676" s="23"/>
      <c r="D676" s="24"/>
    </row>
    <row r="677" spans="1:4" ht="22.5" customHeight="1" x14ac:dyDescent="0.2">
      <c r="A677" s="23"/>
      <c r="B677" s="23"/>
      <c r="C677" s="23"/>
      <c r="D677" s="24"/>
    </row>
    <row r="678" spans="1:4" ht="22.5" customHeight="1" x14ac:dyDescent="0.2">
      <c r="A678" s="23"/>
      <c r="B678" s="23"/>
      <c r="C678" s="23"/>
      <c r="D678" s="24"/>
    </row>
    <row r="679" spans="1:4" ht="22.5" customHeight="1" x14ac:dyDescent="0.2">
      <c r="A679" s="23"/>
      <c r="B679" s="23"/>
      <c r="C679" s="23"/>
      <c r="D679" s="24"/>
    </row>
    <row r="680" spans="1:4" ht="22.5" customHeight="1" x14ac:dyDescent="0.2">
      <c r="A680" s="23"/>
      <c r="B680" s="23"/>
      <c r="C680" s="23"/>
      <c r="D680" s="24"/>
    </row>
    <row r="681" spans="1:4" ht="22.5" customHeight="1" x14ac:dyDescent="0.2">
      <c r="A681" s="23"/>
      <c r="B681" s="23"/>
      <c r="C681" s="23"/>
      <c r="D681" s="24"/>
    </row>
    <row r="682" spans="1:4" ht="22.5" customHeight="1" x14ac:dyDescent="0.2">
      <c r="A682" s="23"/>
      <c r="B682" s="23"/>
      <c r="C682" s="23"/>
      <c r="D682" s="24"/>
    </row>
    <row r="683" spans="1:4" ht="22.5" customHeight="1" x14ac:dyDescent="0.2">
      <c r="A683" s="23"/>
      <c r="B683" s="23"/>
      <c r="C683" s="23"/>
      <c r="D683" s="24"/>
    </row>
    <row r="684" spans="1:4" ht="22.5" customHeight="1" x14ac:dyDescent="0.2">
      <c r="A684" s="23"/>
      <c r="B684" s="23"/>
      <c r="C684" s="23"/>
      <c r="D684" s="24"/>
    </row>
    <row r="685" spans="1:4" ht="22.5" customHeight="1" x14ac:dyDescent="0.2">
      <c r="A685" s="23"/>
      <c r="B685" s="23"/>
      <c r="C685" s="23"/>
      <c r="D685" s="24"/>
    </row>
    <row r="686" spans="1:4" ht="22.5" customHeight="1" x14ac:dyDescent="0.2">
      <c r="A686" s="23"/>
      <c r="B686" s="23"/>
      <c r="C686" s="23"/>
      <c r="D686" s="24"/>
    </row>
    <row r="687" spans="1:4" ht="22.5" customHeight="1" x14ac:dyDescent="0.2">
      <c r="A687" s="23"/>
      <c r="B687" s="23"/>
      <c r="C687" s="23"/>
      <c r="D687" s="24"/>
    </row>
    <row r="688" spans="1:4" ht="22.5" customHeight="1" x14ac:dyDescent="0.2">
      <c r="A688" s="23"/>
      <c r="B688" s="23"/>
      <c r="C688" s="23"/>
      <c r="D688" s="24"/>
    </row>
    <row r="689" spans="1:4" ht="22.5" customHeight="1" x14ac:dyDescent="0.2">
      <c r="A689" s="23"/>
      <c r="B689" s="23"/>
      <c r="C689" s="23"/>
      <c r="D689" s="24"/>
    </row>
    <row r="690" spans="1:4" ht="22.5" customHeight="1" x14ac:dyDescent="0.2">
      <c r="A690" s="23"/>
      <c r="B690" s="23"/>
      <c r="C690" s="23"/>
      <c r="D690" s="24"/>
    </row>
    <row r="691" spans="1:4" ht="22.5" customHeight="1" x14ac:dyDescent="0.2">
      <c r="A691" s="23"/>
      <c r="B691" s="23"/>
      <c r="C691" s="23"/>
      <c r="D691" s="24"/>
    </row>
    <row r="692" spans="1:4" ht="22.5" customHeight="1" x14ac:dyDescent="0.2">
      <c r="A692" s="23"/>
      <c r="B692" s="23"/>
      <c r="C692" s="23"/>
      <c r="D692" s="24"/>
    </row>
    <row r="693" spans="1:4" ht="22.5" customHeight="1" x14ac:dyDescent="0.2">
      <c r="A693" s="23"/>
      <c r="B693" s="23"/>
      <c r="C693" s="23"/>
      <c r="D693" s="24"/>
    </row>
    <row r="694" spans="1:4" ht="22.5" customHeight="1" x14ac:dyDescent="0.2">
      <c r="A694" s="23"/>
      <c r="B694" s="23"/>
      <c r="C694" s="23"/>
      <c r="D694" s="24"/>
    </row>
    <row r="695" spans="1:4" ht="22.5" customHeight="1" x14ac:dyDescent="0.2">
      <c r="A695" s="23"/>
      <c r="B695" s="23"/>
      <c r="C695" s="23"/>
      <c r="D695" s="24"/>
    </row>
    <row r="696" spans="1:4" ht="22.5" customHeight="1" x14ac:dyDescent="0.2">
      <c r="A696" s="23"/>
      <c r="B696" s="23"/>
      <c r="C696" s="23"/>
      <c r="D696" s="24"/>
    </row>
    <row r="697" spans="1:4" ht="22.5" customHeight="1" x14ac:dyDescent="0.2">
      <c r="A697" s="23"/>
      <c r="B697" s="23"/>
      <c r="C697" s="23"/>
      <c r="D697" s="24"/>
    </row>
    <row r="698" spans="1:4" ht="22.5" customHeight="1" x14ac:dyDescent="0.2">
      <c r="A698" s="23"/>
      <c r="B698" s="23"/>
      <c r="C698" s="23"/>
      <c r="D698" s="24"/>
    </row>
    <row r="699" spans="1:4" ht="22.5" customHeight="1" x14ac:dyDescent="0.2">
      <c r="A699" s="23"/>
      <c r="B699" s="23"/>
      <c r="C699" s="23"/>
      <c r="D699" s="24"/>
    </row>
    <row r="700" spans="1:4" ht="22.5" customHeight="1" x14ac:dyDescent="0.2">
      <c r="A700" s="23"/>
      <c r="B700" s="23"/>
      <c r="C700" s="23"/>
      <c r="D700" s="24"/>
    </row>
    <row r="701" spans="1:4" ht="22.5" customHeight="1" x14ac:dyDescent="0.2">
      <c r="A701" s="23"/>
      <c r="B701" s="23"/>
      <c r="C701" s="23"/>
      <c r="D701" s="24"/>
    </row>
    <row r="702" spans="1:4" ht="22.5" customHeight="1" x14ac:dyDescent="0.2">
      <c r="A702" s="23"/>
      <c r="B702" s="23"/>
      <c r="C702" s="23"/>
      <c r="D702" s="24"/>
    </row>
    <row r="703" spans="1:4" ht="22.5" customHeight="1" x14ac:dyDescent="0.2">
      <c r="A703" s="23"/>
      <c r="B703" s="23"/>
      <c r="C703" s="23"/>
      <c r="D703" s="24"/>
    </row>
    <row r="704" spans="1:4" ht="22.5" customHeight="1" x14ac:dyDescent="0.2">
      <c r="A704" s="23"/>
      <c r="B704" s="23"/>
      <c r="C704" s="23"/>
      <c r="D704" s="24"/>
    </row>
    <row r="705" spans="1:4" ht="22.5" customHeight="1" x14ac:dyDescent="0.2">
      <c r="A705" s="23"/>
      <c r="B705" s="23"/>
      <c r="C705" s="23"/>
      <c r="D705" s="24"/>
    </row>
    <row r="706" spans="1:4" ht="22.5" customHeight="1" x14ac:dyDescent="0.2">
      <c r="A706" s="23"/>
      <c r="B706" s="23"/>
      <c r="C706" s="23"/>
      <c r="D706" s="24"/>
    </row>
    <row r="707" spans="1:4" ht="22.5" customHeight="1" x14ac:dyDescent="0.2">
      <c r="A707" s="23"/>
      <c r="B707" s="23"/>
      <c r="C707" s="23"/>
      <c r="D707" s="24"/>
    </row>
    <row r="708" spans="1:4" ht="22.5" customHeight="1" x14ac:dyDescent="0.2">
      <c r="A708" s="23"/>
      <c r="B708" s="23"/>
      <c r="C708" s="23"/>
      <c r="D708" s="24"/>
    </row>
    <row r="709" spans="1:4" ht="22.5" customHeight="1" x14ac:dyDescent="0.2">
      <c r="A709" s="23"/>
      <c r="B709" s="23"/>
      <c r="C709" s="23"/>
      <c r="D709" s="24"/>
    </row>
    <row r="710" spans="1:4" ht="22.5" customHeight="1" x14ac:dyDescent="0.2">
      <c r="A710" s="23"/>
      <c r="B710" s="23"/>
      <c r="C710" s="23"/>
      <c r="D710" s="24"/>
    </row>
    <row r="711" spans="1:4" ht="22.5" customHeight="1" x14ac:dyDescent="0.2">
      <c r="A711" s="23"/>
      <c r="B711" s="23"/>
      <c r="C711" s="23"/>
      <c r="D711" s="24"/>
    </row>
    <row r="712" spans="1:4" ht="22.5" customHeight="1" x14ac:dyDescent="0.2">
      <c r="A712" s="23"/>
      <c r="B712" s="23"/>
      <c r="C712" s="23"/>
      <c r="D712" s="24"/>
    </row>
    <row r="713" spans="1:4" ht="22.5" customHeight="1" x14ac:dyDescent="0.2">
      <c r="A713" s="23"/>
      <c r="B713" s="23"/>
      <c r="C713" s="23"/>
      <c r="D713" s="24"/>
    </row>
    <row r="714" spans="1:4" ht="22.5" customHeight="1" x14ac:dyDescent="0.2">
      <c r="A714" s="23"/>
      <c r="B714" s="23"/>
      <c r="C714" s="23"/>
      <c r="D714" s="24"/>
    </row>
    <row r="715" spans="1:4" ht="22.5" customHeight="1" x14ac:dyDescent="0.2">
      <c r="A715" s="23"/>
      <c r="B715" s="23"/>
      <c r="C715" s="23"/>
      <c r="D715" s="24"/>
    </row>
    <row r="716" spans="1:4" ht="22.5" customHeight="1" x14ac:dyDescent="0.2">
      <c r="A716" s="23"/>
      <c r="B716" s="23"/>
      <c r="C716" s="23"/>
      <c r="D716" s="24"/>
    </row>
    <row r="717" spans="1:4" ht="22.5" customHeight="1" x14ac:dyDescent="0.2">
      <c r="A717" s="23"/>
      <c r="B717" s="23"/>
      <c r="C717" s="23"/>
      <c r="D717" s="24"/>
    </row>
    <row r="718" spans="1:4" ht="22.5" customHeight="1" x14ac:dyDescent="0.2">
      <c r="A718" s="23"/>
      <c r="B718" s="23"/>
      <c r="C718" s="23"/>
      <c r="D718" s="24"/>
    </row>
    <row r="719" spans="1:4" ht="22.5" customHeight="1" x14ac:dyDescent="0.2">
      <c r="A719" s="23"/>
      <c r="B719" s="23"/>
      <c r="C719" s="23"/>
      <c r="D719" s="24"/>
    </row>
    <row r="720" spans="1:4" ht="22.5" customHeight="1" x14ac:dyDescent="0.2">
      <c r="A720" s="23"/>
      <c r="B720" s="23"/>
      <c r="C720" s="23"/>
      <c r="D720" s="24"/>
    </row>
    <row r="721" spans="1:4" ht="22.5" customHeight="1" x14ac:dyDescent="0.2">
      <c r="A721" s="23"/>
      <c r="B721" s="23"/>
      <c r="C721" s="23"/>
      <c r="D721" s="24"/>
    </row>
    <row r="722" spans="1:4" ht="22.5" customHeight="1" x14ac:dyDescent="0.2">
      <c r="A722" s="23"/>
      <c r="B722" s="23"/>
      <c r="C722" s="23"/>
      <c r="D722" s="24"/>
    </row>
    <row r="723" spans="1:4" ht="22.5" customHeight="1" x14ac:dyDescent="0.2">
      <c r="A723" s="23"/>
      <c r="B723" s="23"/>
      <c r="C723" s="23"/>
      <c r="D723" s="24"/>
    </row>
    <row r="724" spans="1:4" ht="22.5" customHeight="1" x14ac:dyDescent="0.2">
      <c r="A724" s="23"/>
      <c r="B724" s="23"/>
      <c r="C724" s="23"/>
      <c r="D724" s="24"/>
    </row>
    <row r="725" spans="1:4" ht="22.5" customHeight="1" x14ac:dyDescent="0.2">
      <c r="A725" s="23"/>
      <c r="B725" s="23"/>
      <c r="C725" s="23"/>
      <c r="D725" s="24"/>
    </row>
    <row r="726" spans="1:4" ht="22.5" customHeight="1" x14ac:dyDescent="0.2">
      <c r="A726" s="23"/>
      <c r="B726" s="23"/>
      <c r="C726" s="23"/>
      <c r="D726" s="24"/>
    </row>
    <row r="727" spans="1:4" ht="22.5" customHeight="1" x14ac:dyDescent="0.2">
      <c r="A727" s="23"/>
      <c r="B727" s="23"/>
      <c r="C727" s="23"/>
      <c r="D727" s="24"/>
    </row>
    <row r="728" spans="1:4" ht="22.5" customHeight="1" x14ac:dyDescent="0.2">
      <c r="A728" s="23"/>
      <c r="B728" s="23"/>
      <c r="C728" s="23"/>
      <c r="D728" s="24"/>
    </row>
    <row r="729" spans="1:4" ht="22.5" customHeight="1" x14ac:dyDescent="0.2">
      <c r="A729" s="23"/>
      <c r="B729" s="23"/>
      <c r="C729" s="23"/>
      <c r="D729" s="24"/>
    </row>
    <row r="730" spans="1:4" ht="22.5" customHeight="1" x14ac:dyDescent="0.2">
      <c r="A730" s="23"/>
      <c r="B730" s="23"/>
      <c r="C730" s="23"/>
      <c r="D730" s="24"/>
    </row>
    <row r="731" spans="1:4" ht="22.5" customHeight="1" x14ac:dyDescent="0.2">
      <c r="A731" s="23"/>
      <c r="B731" s="23"/>
      <c r="C731" s="23"/>
      <c r="D731" s="24"/>
    </row>
    <row r="732" spans="1:4" ht="22.5" customHeight="1" x14ac:dyDescent="0.2">
      <c r="A732" s="23"/>
      <c r="B732" s="23"/>
      <c r="C732" s="23"/>
      <c r="D732" s="24"/>
    </row>
    <row r="733" spans="1:4" ht="22.5" customHeight="1" x14ac:dyDescent="0.2">
      <c r="A733" s="23"/>
      <c r="B733" s="23"/>
      <c r="C733" s="23"/>
      <c r="D733" s="24"/>
    </row>
  </sheetData>
  <mergeCells count="5">
    <mergeCell ref="F7:J7"/>
    <mergeCell ref="F8:J8"/>
    <mergeCell ref="F1:J1"/>
    <mergeCell ref="F2:J2"/>
    <mergeCell ref="A1:D1"/>
  </mergeCells>
  <dataValidations count="1">
    <dataValidation type="list" allowBlank="1" showInputMessage="1" showErrorMessage="1" sqref="D8 D10:D310" xr:uid="{0E6B8076-F85D-E842-82EF-527D901F1158}">
      <formula1>"1,2,3,4,5,6,7,8,9,MPD,HPD,PPD,EPD,ADM"</formula1>
    </dataValidation>
  </dataValidations>
  <hyperlinks>
    <hyperlink ref="C7" r:id="rId1" xr:uid="{24938FCC-DE72-1E4F-AAAF-FFC94F8607F9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A523-00C0-4404-8F3A-6670368ABE51}">
  <dimension ref="A1:K200"/>
  <sheetViews>
    <sheetView workbookViewId="0">
      <selection activeCell="A2" sqref="A2:K2"/>
    </sheetView>
  </sheetViews>
  <sheetFormatPr baseColWidth="10" defaultColWidth="9" defaultRowHeight="16" x14ac:dyDescent="0.2"/>
  <cols>
    <col min="1" max="1" width="24.1640625" style="48" customWidth="1"/>
    <col min="2" max="2" width="13.1640625" style="48" bestFit="1" customWidth="1"/>
    <col min="3" max="3" width="60.5" style="48" customWidth="1"/>
    <col min="4" max="4" width="10.83203125" style="48" bestFit="1" customWidth="1"/>
    <col min="5" max="5" width="10" style="48" bestFit="1" customWidth="1"/>
    <col min="6" max="6" width="19.33203125" style="48" customWidth="1"/>
    <col min="7" max="7" width="9.33203125" style="48" bestFit="1" customWidth="1"/>
    <col min="8" max="8" width="13.6640625" style="48" bestFit="1" customWidth="1"/>
    <col min="9" max="9" width="11.1640625" style="48" bestFit="1" customWidth="1"/>
    <col min="10" max="10" width="15.6640625" style="48" bestFit="1" customWidth="1"/>
    <col min="11" max="11" width="6" style="48" bestFit="1" customWidth="1"/>
    <col min="12" max="16384" width="9" style="48"/>
  </cols>
  <sheetData>
    <row r="1" spans="1:11" s="47" customFormat="1" x14ac:dyDescent="0.2">
      <c r="A1" s="47" t="s">
        <v>50</v>
      </c>
      <c r="B1" s="47" t="s">
        <v>51</v>
      </c>
      <c r="C1" s="47" t="s">
        <v>52</v>
      </c>
      <c r="D1" s="47" t="s">
        <v>53</v>
      </c>
      <c r="E1" s="47" t="s">
        <v>54</v>
      </c>
      <c r="F1" s="47" t="s">
        <v>55</v>
      </c>
      <c r="G1" s="47" t="s">
        <v>56</v>
      </c>
      <c r="H1" s="47" t="s">
        <v>57</v>
      </c>
      <c r="I1" s="47" t="s">
        <v>58</v>
      </c>
      <c r="J1" s="47" t="s">
        <v>59</v>
      </c>
      <c r="K1" s="47" t="s">
        <v>60</v>
      </c>
    </row>
    <row r="2" spans="1:11" x14ac:dyDescent="0.2">
      <c r="A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","#",3))+1,1)&amp;"-"&amp;LEFT(Teachers!B7, 3)&amp;"-"&amp;LEFT(Teachers!A7, 3)&amp;"-"&amp;"2026"</f>
        <v>UID-NWF-Str-Mon-2026</v>
      </c>
      <c r="C2" s="48" t="str">
        <f>Teachers!C7</f>
        <v>Monica.Stratmeier@k12.sd.us</v>
      </c>
      <c r="D2" s="48" t="str">
        <f>IF(C2&gt;0,"topscore123")</f>
        <v>topscore123</v>
      </c>
      <c r="E2" s="48" t="str">
        <f>Teachers!A7</f>
        <v>Monica</v>
      </c>
      <c r="F2" s="48" t="str">
        <f>Teachers!B7</f>
        <v>Stratmeier</v>
      </c>
      <c r="G2" s="48" t="str">
        <f>Teachers!A7 &amp;" " &amp;Teachers!B7</f>
        <v>Monica Stratmeier</v>
      </c>
      <c r="J2" s="48" t="str">
        <f>Teachers!C7</f>
        <v>Monica.Stratmeier@k12.sd.us</v>
      </c>
      <c r="K2" s="48" t="str">
        <f>IF(C2&gt;0,"active")</f>
        <v>active</v>
      </c>
    </row>
    <row r="3" spans="1:11" x14ac:dyDescent="0.2">
      <c r="A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","#",3))+1,1)&amp;"-"&amp;LEFT(Teachers!B8, 3)&amp;"-"&amp;LEFT(Teachers!A8, 3)&amp;"-"&amp;"2026"</f>
        <v>UID-NWF---2026</v>
      </c>
      <c r="C3" s="48">
        <f>Teachers!C8</f>
        <v>0</v>
      </c>
      <c r="D3" s="48" t="b">
        <f t="shared" ref="D3:D65" si="0">IF(C3&gt;0,"topscore123")</f>
        <v>0</v>
      </c>
      <c r="E3" s="48">
        <f>Teachers!A8</f>
        <v>0</v>
      </c>
      <c r="F3" s="48">
        <f>Teachers!B8</f>
        <v>0</v>
      </c>
      <c r="G3" s="48" t="str">
        <f>Teachers!A8 &amp;" " &amp;Teachers!B8</f>
        <v xml:space="preserve"> </v>
      </c>
      <c r="J3" s="48">
        <f>Teachers!C8</f>
        <v>0</v>
      </c>
      <c r="K3" s="48" t="b">
        <f t="shared" ref="K3:K15" si="1">IF(C3&gt;0,"active")</f>
        <v>0</v>
      </c>
    </row>
    <row r="4" spans="1:11" x14ac:dyDescent="0.2">
      <c r="A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","#",3))+1,1)&amp;"-"&amp;LEFT(Teachers!B9, 3)&amp;"-"&amp;LEFT(Teachers!A9, 3)&amp;"-"&amp;"2026"</f>
        <v>UID-NWF---2026</v>
      </c>
      <c r="C4" s="48">
        <f>Teachers!C9</f>
        <v>0</v>
      </c>
      <c r="D4" s="48" t="b">
        <f t="shared" si="0"/>
        <v>0</v>
      </c>
      <c r="E4" s="48">
        <f>Teachers!A9</f>
        <v>0</v>
      </c>
      <c r="F4" s="48">
        <f>Teachers!B9</f>
        <v>0</v>
      </c>
      <c r="G4" s="48" t="str">
        <f>Teachers!A9 &amp;" " &amp;Teachers!B9</f>
        <v xml:space="preserve"> </v>
      </c>
      <c r="J4" s="48">
        <f>Teachers!C9</f>
        <v>0</v>
      </c>
      <c r="K4" s="48" t="b">
        <f t="shared" si="1"/>
        <v>0</v>
      </c>
    </row>
    <row r="5" spans="1:11" x14ac:dyDescent="0.2">
      <c r="A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","#",3))+1,1)&amp;"-"&amp;LEFT(Teachers!B10, 3)&amp;"-"&amp;LEFT(Teachers!A10, 3)&amp;"-"&amp;"2026"</f>
        <v>UID-NWF---2026</v>
      </c>
      <c r="C5" s="48">
        <f>Teachers!C10</f>
        <v>0</v>
      </c>
      <c r="D5" s="48" t="b">
        <f t="shared" si="0"/>
        <v>0</v>
      </c>
      <c r="E5" s="48">
        <f>Teachers!A10</f>
        <v>0</v>
      </c>
      <c r="F5" s="48">
        <f>Teachers!B10</f>
        <v>0</v>
      </c>
      <c r="G5" s="48" t="str">
        <f>Teachers!A10 &amp;" " &amp;Teachers!B10</f>
        <v xml:space="preserve"> </v>
      </c>
      <c r="J5" s="48">
        <f>Teachers!C10</f>
        <v>0</v>
      </c>
      <c r="K5" s="48" t="b">
        <f t="shared" si="1"/>
        <v>0</v>
      </c>
    </row>
    <row r="6" spans="1:11" x14ac:dyDescent="0.2">
      <c r="A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","#",3))+1,1)&amp;"-"&amp;LEFT(Teachers!B11, 3)&amp;"-"&amp;LEFT(Teachers!A11, 3)&amp;"-"&amp;"2026"</f>
        <v>UID-NWF---2026</v>
      </c>
      <c r="C6" s="48">
        <f>Teachers!C11</f>
        <v>0</v>
      </c>
      <c r="D6" s="48" t="b">
        <f t="shared" si="0"/>
        <v>0</v>
      </c>
      <c r="E6" s="48">
        <f>Teachers!A11</f>
        <v>0</v>
      </c>
      <c r="F6" s="48">
        <f>Teachers!B11</f>
        <v>0</v>
      </c>
      <c r="G6" s="48" t="str">
        <f>Teachers!A11 &amp;" " &amp;Teachers!B11</f>
        <v xml:space="preserve"> </v>
      </c>
      <c r="J6" s="48">
        <f>Teachers!C11</f>
        <v>0</v>
      </c>
      <c r="K6" s="48" t="b">
        <f t="shared" si="1"/>
        <v>0</v>
      </c>
    </row>
    <row r="7" spans="1:11" x14ac:dyDescent="0.2">
      <c r="A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","#",3))+1,1)&amp;"-"&amp;LEFT(Teachers!B12, 3)&amp;"-"&amp;LEFT(Teachers!A12, 3)&amp;"-"&amp;"2026"</f>
        <v>UID-NWF---2026</v>
      </c>
      <c r="C7" s="48">
        <f>Teachers!C12</f>
        <v>0</v>
      </c>
      <c r="D7" s="48" t="b">
        <f t="shared" si="0"/>
        <v>0</v>
      </c>
      <c r="E7" s="48">
        <f>Teachers!A12</f>
        <v>0</v>
      </c>
      <c r="F7" s="48">
        <f>Teachers!B12</f>
        <v>0</v>
      </c>
      <c r="G7" s="48" t="str">
        <f>Teachers!A12 &amp;" " &amp;Teachers!B12</f>
        <v xml:space="preserve"> </v>
      </c>
      <c r="J7" s="48">
        <f>Teachers!C12</f>
        <v>0</v>
      </c>
      <c r="K7" s="48" t="b">
        <f t="shared" si="1"/>
        <v>0</v>
      </c>
    </row>
    <row r="8" spans="1:11" x14ac:dyDescent="0.2">
      <c r="A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","#",3))+1,1)&amp;"-"&amp;LEFT(Teachers!B13, 3)&amp;"-"&amp;LEFT(Teachers!A13, 3)&amp;"-"&amp;"2026"</f>
        <v>UID-NWF---2026</v>
      </c>
      <c r="C8" s="48">
        <f>Teachers!C13</f>
        <v>0</v>
      </c>
      <c r="D8" s="48" t="b">
        <f t="shared" si="0"/>
        <v>0</v>
      </c>
      <c r="E8" s="48">
        <f>Teachers!A13</f>
        <v>0</v>
      </c>
      <c r="F8" s="48">
        <f>Teachers!B13</f>
        <v>0</v>
      </c>
      <c r="G8" s="48" t="str">
        <f>Teachers!A13 &amp;" " &amp;Teachers!B13</f>
        <v xml:space="preserve"> </v>
      </c>
      <c r="J8" s="48">
        <f>Teachers!C13</f>
        <v>0</v>
      </c>
      <c r="K8" s="48" t="b">
        <f t="shared" si="1"/>
        <v>0</v>
      </c>
    </row>
    <row r="9" spans="1:11" x14ac:dyDescent="0.2">
      <c r="A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","#",3))+1,1)&amp;"-"&amp;LEFT(Teachers!B14, 3)&amp;"-"&amp;LEFT(Teachers!A14, 3)&amp;"-"&amp;"2026"</f>
        <v>UID-NWF---2026</v>
      </c>
      <c r="C9" s="48">
        <f>Teachers!C14</f>
        <v>0</v>
      </c>
      <c r="D9" s="48" t="b">
        <f t="shared" si="0"/>
        <v>0</v>
      </c>
      <c r="E9" s="48">
        <f>Teachers!A14</f>
        <v>0</v>
      </c>
      <c r="F9" s="48">
        <f>Teachers!B14</f>
        <v>0</v>
      </c>
      <c r="G9" s="48" t="str">
        <f>Teachers!A14 &amp;" " &amp;Teachers!B14</f>
        <v xml:space="preserve"> </v>
      </c>
      <c r="J9" s="48">
        <f>Teachers!C14</f>
        <v>0</v>
      </c>
      <c r="K9" s="48" t="b">
        <f t="shared" si="1"/>
        <v>0</v>
      </c>
    </row>
    <row r="10" spans="1:11" x14ac:dyDescent="0.2">
      <c r="A1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","#",3))+1,1)&amp;"-"&amp;LEFT(Teachers!B15, 3)&amp;"-"&amp;LEFT(Teachers!A15, 3)&amp;"-"&amp;"2026"</f>
        <v>UID-NWF---2026</v>
      </c>
      <c r="C10" s="48">
        <f>Teachers!C15</f>
        <v>0</v>
      </c>
      <c r="D10" s="48" t="b">
        <f t="shared" si="0"/>
        <v>0</v>
      </c>
      <c r="E10" s="48">
        <f>Teachers!A15</f>
        <v>0</v>
      </c>
      <c r="F10" s="48">
        <f>Teachers!B15</f>
        <v>0</v>
      </c>
      <c r="G10" s="48" t="str">
        <f>Teachers!A15 &amp;" " &amp;Teachers!B15</f>
        <v xml:space="preserve"> </v>
      </c>
      <c r="J10" s="48">
        <f>Teachers!C15</f>
        <v>0</v>
      </c>
      <c r="K10" s="48" t="b">
        <f t="shared" si="1"/>
        <v>0</v>
      </c>
    </row>
    <row r="11" spans="1:11" x14ac:dyDescent="0.2">
      <c r="A1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","#",3))+1,1)&amp;"-"&amp;LEFT(Teachers!B16, 3)&amp;"-"&amp;LEFT(Teachers!A16, 3)&amp;"-"&amp;"2026"</f>
        <v>UID-NWF---2026</v>
      </c>
      <c r="C11" s="48">
        <f>Teachers!C16</f>
        <v>0</v>
      </c>
      <c r="D11" s="48" t="b">
        <f t="shared" si="0"/>
        <v>0</v>
      </c>
      <c r="E11" s="48">
        <f>Teachers!A16</f>
        <v>0</v>
      </c>
      <c r="F11" s="48">
        <f>Teachers!B16</f>
        <v>0</v>
      </c>
      <c r="G11" s="48" t="str">
        <f>Teachers!A16 &amp;" " &amp;Teachers!B16</f>
        <v xml:space="preserve"> </v>
      </c>
      <c r="J11" s="48">
        <f>Teachers!C16</f>
        <v>0</v>
      </c>
      <c r="K11" s="48" t="b">
        <f t="shared" si="1"/>
        <v>0</v>
      </c>
    </row>
    <row r="12" spans="1:11" x14ac:dyDescent="0.2">
      <c r="A1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","#",3))+1,1)&amp;"-"&amp;LEFT(Teachers!B17, 3)&amp;"-"&amp;LEFT(Teachers!A17, 3)&amp;"-"&amp;"2026"</f>
        <v>UID-NWF---2026</v>
      </c>
      <c r="C12" s="48">
        <f>Teachers!C17</f>
        <v>0</v>
      </c>
      <c r="D12" s="48" t="b">
        <f t="shared" si="0"/>
        <v>0</v>
      </c>
      <c r="E12" s="48">
        <f>Teachers!A17</f>
        <v>0</v>
      </c>
      <c r="F12" s="48">
        <f>Teachers!B17</f>
        <v>0</v>
      </c>
      <c r="G12" s="48" t="str">
        <f>Teachers!A17 &amp;" " &amp;Teachers!B17</f>
        <v xml:space="preserve"> </v>
      </c>
      <c r="J12" s="48">
        <f>Teachers!C17</f>
        <v>0</v>
      </c>
      <c r="K12" s="48" t="b">
        <f t="shared" si="1"/>
        <v>0</v>
      </c>
    </row>
    <row r="13" spans="1:11" x14ac:dyDescent="0.2">
      <c r="A1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","#",3))+1,1)&amp;"-"&amp;LEFT(Teachers!B18, 3)&amp;"-"&amp;LEFT(Teachers!A18, 3)&amp;"-"&amp;"2026"</f>
        <v>UID-NWF---2026</v>
      </c>
      <c r="C13" s="48">
        <f>Teachers!C18</f>
        <v>0</v>
      </c>
      <c r="D13" s="48" t="b">
        <f t="shared" si="0"/>
        <v>0</v>
      </c>
      <c r="E13" s="48">
        <f>Teachers!A18</f>
        <v>0</v>
      </c>
      <c r="F13" s="48">
        <f>Teachers!B18</f>
        <v>0</v>
      </c>
      <c r="G13" s="48" t="str">
        <f>Teachers!A18 &amp;" " &amp;Teachers!B18</f>
        <v xml:space="preserve"> </v>
      </c>
      <c r="J13" s="48">
        <f>Teachers!C18</f>
        <v>0</v>
      </c>
      <c r="K13" s="48" t="b">
        <f t="shared" si="1"/>
        <v>0</v>
      </c>
    </row>
    <row r="14" spans="1:11" x14ac:dyDescent="0.2">
      <c r="A1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","#",3))+1,1)&amp;"-"&amp;LEFT(Teachers!B19, 3)&amp;"-"&amp;LEFT(Teachers!A19, 3)&amp;"-"&amp;"2026"</f>
        <v>UID-NWF---2026</v>
      </c>
      <c r="C14" s="48">
        <f>Teachers!C19</f>
        <v>0</v>
      </c>
      <c r="D14" s="48" t="b">
        <f t="shared" si="0"/>
        <v>0</v>
      </c>
      <c r="E14" s="48">
        <f>Teachers!A19</f>
        <v>0</v>
      </c>
      <c r="F14" s="48">
        <f>Teachers!B19</f>
        <v>0</v>
      </c>
      <c r="G14" s="48" t="str">
        <f>Teachers!A19 &amp;" " &amp;Teachers!B19</f>
        <v xml:space="preserve"> </v>
      </c>
      <c r="J14" s="48">
        <f>Teachers!C19</f>
        <v>0</v>
      </c>
      <c r="K14" s="48" t="b">
        <f t="shared" si="1"/>
        <v>0</v>
      </c>
    </row>
    <row r="15" spans="1:11" x14ac:dyDescent="0.2">
      <c r="A1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","#",3))+1,1)&amp;"-"&amp;LEFT(Teachers!B20, 3)&amp;"-"&amp;LEFT(Teachers!A20, 3)&amp;"-"&amp;"2026"</f>
        <v>UID-NWF---2026</v>
      </c>
      <c r="C15" s="48">
        <f>Teachers!C20</f>
        <v>0</v>
      </c>
      <c r="D15" s="48" t="b">
        <f t="shared" si="0"/>
        <v>0</v>
      </c>
      <c r="E15" s="48">
        <f>Teachers!A20</f>
        <v>0</v>
      </c>
      <c r="F15" s="48">
        <f>Teachers!B20</f>
        <v>0</v>
      </c>
      <c r="G15" s="48" t="str">
        <f>Teachers!A20 &amp;" " &amp;Teachers!B20</f>
        <v xml:space="preserve"> </v>
      </c>
      <c r="J15" s="48">
        <f>Teachers!C20</f>
        <v>0</v>
      </c>
      <c r="K15" s="48" t="b">
        <f t="shared" si="1"/>
        <v>0</v>
      </c>
    </row>
    <row r="16" spans="1:11" x14ac:dyDescent="0.2">
      <c r="A1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","#",3))+1,1)&amp;"-"&amp;LEFT(Teachers!B21, 3)&amp;"-"&amp;LEFT(Teachers!A21, 3)&amp;"-"&amp;"2026"</f>
        <v>UID-NWF---2026</v>
      </c>
      <c r="C16" s="48">
        <f>Teachers!C21</f>
        <v>0</v>
      </c>
      <c r="D16" s="48" t="b">
        <f t="shared" si="0"/>
        <v>0</v>
      </c>
      <c r="E16" s="48">
        <f>Teachers!A21</f>
        <v>0</v>
      </c>
      <c r="F16" s="48">
        <f>Teachers!B21</f>
        <v>0</v>
      </c>
      <c r="G16" s="48" t="str">
        <f>Teachers!A21 &amp;" " &amp;Teachers!B21</f>
        <v xml:space="preserve"> </v>
      </c>
      <c r="J16" s="48">
        <f>Teachers!C21</f>
        <v>0</v>
      </c>
      <c r="K16" s="48" t="b">
        <f>IF(C16&gt;0,"active")</f>
        <v>0</v>
      </c>
    </row>
    <row r="17" spans="1:11" x14ac:dyDescent="0.2">
      <c r="A1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","#",3))+1,1)&amp;"-"&amp;LEFT(Teachers!B22, 3)&amp;"-"&amp;LEFT(Teachers!A22, 3)&amp;"-"&amp;"2026"</f>
        <v>UID-NWF---2026</v>
      </c>
      <c r="C17" s="48">
        <f>Teachers!C22</f>
        <v>0</v>
      </c>
      <c r="D17" s="48" t="b">
        <f t="shared" si="0"/>
        <v>0</v>
      </c>
      <c r="E17" s="48">
        <f>Teachers!A22</f>
        <v>0</v>
      </c>
      <c r="F17" s="48">
        <f>Teachers!B22</f>
        <v>0</v>
      </c>
      <c r="G17" s="48" t="str">
        <f>Teachers!A22 &amp;" " &amp;Teachers!B22</f>
        <v xml:space="preserve"> </v>
      </c>
      <c r="J17" s="48">
        <f>Teachers!C22</f>
        <v>0</v>
      </c>
      <c r="K17" s="48" t="b">
        <f t="shared" ref="K17:K20" si="2">IF(C17&gt;0,"active")</f>
        <v>0</v>
      </c>
    </row>
    <row r="18" spans="1:11" x14ac:dyDescent="0.2">
      <c r="A1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","#",3))+1,1)&amp;"-"&amp;LEFT(Teachers!B23, 3)&amp;"-"&amp;LEFT(Teachers!A23, 3)&amp;"-"&amp;"2026"</f>
        <v>UID-NWF---2026</v>
      </c>
      <c r="C18" s="48">
        <f>Teachers!C23</f>
        <v>0</v>
      </c>
      <c r="D18" s="48" t="b">
        <f t="shared" si="0"/>
        <v>0</v>
      </c>
      <c r="E18" s="48">
        <f>Teachers!A23</f>
        <v>0</v>
      </c>
      <c r="F18" s="48">
        <f>Teachers!B23</f>
        <v>0</v>
      </c>
      <c r="G18" s="48" t="str">
        <f>Teachers!A23 &amp;" " &amp;Teachers!B23</f>
        <v xml:space="preserve"> </v>
      </c>
      <c r="J18" s="48">
        <f>Teachers!C23</f>
        <v>0</v>
      </c>
      <c r="K18" s="48" t="b">
        <f t="shared" si="2"/>
        <v>0</v>
      </c>
    </row>
    <row r="19" spans="1:11" x14ac:dyDescent="0.2">
      <c r="A1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","#",3))+1,1)&amp;"-"&amp;LEFT(Teachers!B24, 3)&amp;"-"&amp;LEFT(Teachers!A24, 3)&amp;"-"&amp;"2026"</f>
        <v>UID-NWF---2026</v>
      </c>
      <c r="C19" s="48">
        <f>Teachers!C24</f>
        <v>0</v>
      </c>
      <c r="D19" s="48" t="b">
        <f t="shared" si="0"/>
        <v>0</v>
      </c>
      <c r="E19" s="48">
        <f>Teachers!A24</f>
        <v>0</v>
      </c>
      <c r="F19" s="48">
        <f>Teachers!B24</f>
        <v>0</v>
      </c>
      <c r="G19" s="48" t="str">
        <f>Teachers!A24 &amp;" " &amp;Teachers!B24</f>
        <v xml:space="preserve"> </v>
      </c>
      <c r="J19" s="48">
        <f>Teachers!C24</f>
        <v>0</v>
      </c>
      <c r="K19" s="48" t="b">
        <f t="shared" si="2"/>
        <v>0</v>
      </c>
    </row>
    <row r="20" spans="1:11" x14ac:dyDescent="0.2">
      <c r="A2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","#",3))+1,1)&amp;"-"&amp;LEFT(Teachers!B25, 3)&amp;"-"&amp;LEFT(Teachers!A25, 3)&amp;"-"&amp;"2026"</f>
        <v>UID-NWF---2026</v>
      </c>
      <c r="C20" s="48">
        <f>Teachers!C25</f>
        <v>0</v>
      </c>
      <c r="D20" s="48" t="b">
        <f t="shared" si="0"/>
        <v>0</v>
      </c>
      <c r="E20" s="48">
        <f>Teachers!A25</f>
        <v>0</v>
      </c>
      <c r="F20" s="48">
        <f>Teachers!B25</f>
        <v>0</v>
      </c>
      <c r="G20" s="48" t="str">
        <f>Teachers!A25 &amp;" " &amp;Teachers!B25</f>
        <v xml:space="preserve"> </v>
      </c>
      <c r="J20" s="48">
        <f>Teachers!C25</f>
        <v>0</v>
      </c>
      <c r="K20" s="48" t="b">
        <f t="shared" si="2"/>
        <v>0</v>
      </c>
    </row>
    <row r="21" spans="1:11" x14ac:dyDescent="0.2">
      <c r="A2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","#",3))+1,1)&amp;"-"&amp;LEFT(Teachers!B26, 3)&amp;"-"&amp;LEFT(Teachers!A26, 3)&amp;"-"&amp;"2026"</f>
        <v>UID-NWF---2026</v>
      </c>
      <c r="C21" s="48">
        <f>Teachers!C26</f>
        <v>0</v>
      </c>
      <c r="D21" s="48" t="b">
        <f t="shared" si="0"/>
        <v>0</v>
      </c>
      <c r="E21" s="48">
        <f>Teachers!A26</f>
        <v>0</v>
      </c>
      <c r="F21" s="48">
        <f>Teachers!B26</f>
        <v>0</v>
      </c>
      <c r="G21" s="48" t="str">
        <f>Teachers!A26 &amp;" " &amp;Teachers!B26</f>
        <v xml:space="preserve"> </v>
      </c>
      <c r="J21" s="48">
        <f>Teachers!C26</f>
        <v>0</v>
      </c>
      <c r="K21" s="48" t="b">
        <f t="shared" ref="K21:K40" si="3">IF(C21&gt;0,"active")</f>
        <v>0</v>
      </c>
    </row>
    <row r="22" spans="1:11" x14ac:dyDescent="0.2">
      <c r="A2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","#",3))+1,1)&amp;"-"&amp;LEFT(Teachers!B27, 3)&amp;"-"&amp;LEFT(Teachers!A27, 3)&amp;"-"&amp;"2026"</f>
        <v>UID-NWF---2026</v>
      </c>
      <c r="C22" s="48">
        <f>Teachers!C27</f>
        <v>0</v>
      </c>
      <c r="D22" s="48" t="b">
        <f t="shared" si="0"/>
        <v>0</v>
      </c>
      <c r="E22" s="48">
        <f>Teachers!A27</f>
        <v>0</v>
      </c>
      <c r="F22" s="48">
        <f>Teachers!B27</f>
        <v>0</v>
      </c>
      <c r="G22" s="48" t="str">
        <f>Teachers!A27 &amp;" " &amp;Teachers!B27</f>
        <v xml:space="preserve"> </v>
      </c>
      <c r="J22" s="48">
        <f>Teachers!C27</f>
        <v>0</v>
      </c>
      <c r="K22" s="48" t="b">
        <f t="shared" si="3"/>
        <v>0</v>
      </c>
    </row>
    <row r="23" spans="1:11" x14ac:dyDescent="0.2">
      <c r="A2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","#",3))+1,1)&amp;"-"&amp;LEFT(Teachers!B28, 3)&amp;"-"&amp;LEFT(Teachers!A28, 3)&amp;"-"&amp;"2026"</f>
        <v>UID-NWF---2026</v>
      </c>
      <c r="C23" s="48">
        <f>Teachers!C28</f>
        <v>0</v>
      </c>
      <c r="D23" s="48" t="b">
        <f t="shared" si="0"/>
        <v>0</v>
      </c>
      <c r="E23" s="48">
        <f>Teachers!A28</f>
        <v>0</v>
      </c>
      <c r="F23" s="48">
        <f>Teachers!B28</f>
        <v>0</v>
      </c>
      <c r="G23" s="48" t="str">
        <f>Teachers!A28 &amp;" " &amp;Teachers!B28</f>
        <v xml:space="preserve"> </v>
      </c>
      <c r="J23" s="48">
        <f>Teachers!C28</f>
        <v>0</v>
      </c>
      <c r="K23" s="48" t="b">
        <f t="shared" si="3"/>
        <v>0</v>
      </c>
    </row>
    <row r="24" spans="1:11" x14ac:dyDescent="0.2">
      <c r="A2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","#",3))+1,1)&amp;"-"&amp;LEFT(Teachers!B29, 3)&amp;"-"&amp;LEFT(Teachers!A29, 3)&amp;"-"&amp;"2026"</f>
        <v>UID-NWF---2026</v>
      </c>
      <c r="C24" s="48">
        <f>Teachers!C29</f>
        <v>0</v>
      </c>
      <c r="D24" s="48" t="b">
        <f t="shared" si="0"/>
        <v>0</v>
      </c>
      <c r="E24" s="48">
        <f>Teachers!A29</f>
        <v>0</v>
      </c>
      <c r="F24" s="48">
        <f>Teachers!B29</f>
        <v>0</v>
      </c>
      <c r="G24" s="48" t="str">
        <f>Teachers!A29 &amp;" " &amp;Teachers!B29</f>
        <v xml:space="preserve"> </v>
      </c>
      <c r="J24" s="48">
        <f>Teachers!C29</f>
        <v>0</v>
      </c>
      <c r="K24" s="48" t="b">
        <f t="shared" si="3"/>
        <v>0</v>
      </c>
    </row>
    <row r="25" spans="1:11" x14ac:dyDescent="0.2">
      <c r="A2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","#",3))+1,1)&amp;"-"&amp;LEFT(Teachers!B30, 3)&amp;"-"&amp;LEFT(Teachers!A30, 3)&amp;"-"&amp;"2026"</f>
        <v>UID-NWF---2026</v>
      </c>
      <c r="C25" s="48">
        <f>Teachers!C30</f>
        <v>0</v>
      </c>
      <c r="D25" s="48" t="b">
        <f t="shared" si="0"/>
        <v>0</v>
      </c>
      <c r="E25" s="48">
        <f>Teachers!A30</f>
        <v>0</v>
      </c>
      <c r="F25" s="48">
        <f>Teachers!B30</f>
        <v>0</v>
      </c>
      <c r="G25" s="48" t="str">
        <f>Teachers!A30 &amp;" " &amp;Teachers!B30</f>
        <v xml:space="preserve"> </v>
      </c>
      <c r="J25" s="48">
        <f>Teachers!C30</f>
        <v>0</v>
      </c>
      <c r="K25" s="48" t="b">
        <f t="shared" si="3"/>
        <v>0</v>
      </c>
    </row>
    <row r="26" spans="1:11" x14ac:dyDescent="0.2">
      <c r="A2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","#",3))+1,1)&amp;"-"&amp;LEFT(Teachers!B31, 3)&amp;"-"&amp;LEFT(Teachers!A31, 3)&amp;"-"&amp;"2026"</f>
        <v>UID-NWF---2026</v>
      </c>
      <c r="C26" s="48">
        <f>Teachers!C31</f>
        <v>0</v>
      </c>
      <c r="D26" s="48" t="b">
        <f t="shared" si="0"/>
        <v>0</v>
      </c>
      <c r="E26" s="48">
        <f>Teachers!A31</f>
        <v>0</v>
      </c>
      <c r="F26" s="48">
        <f>Teachers!B31</f>
        <v>0</v>
      </c>
      <c r="G26" s="48" t="str">
        <f>Teachers!A31 &amp;" " &amp;Teachers!B31</f>
        <v xml:space="preserve"> </v>
      </c>
      <c r="J26" s="48">
        <f>Teachers!C31</f>
        <v>0</v>
      </c>
      <c r="K26" s="48" t="b">
        <f t="shared" si="3"/>
        <v>0</v>
      </c>
    </row>
    <row r="27" spans="1:11" x14ac:dyDescent="0.2">
      <c r="A2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","#",3))+1,1)&amp;"-"&amp;LEFT(Teachers!B32, 3)&amp;"-"&amp;LEFT(Teachers!A32, 3)&amp;"-"&amp;"2026"</f>
        <v>UID-NWF---2026</v>
      </c>
      <c r="C27" s="48">
        <f>Teachers!C32</f>
        <v>0</v>
      </c>
      <c r="D27" s="48" t="b">
        <f t="shared" si="0"/>
        <v>0</v>
      </c>
      <c r="E27" s="48">
        <f>Teachers!A32</f>
        <v>0</v>
      </c>
      <c r="F27" s="48">
        <f>Teachers!B32</f>
        <v>0</v>
      </c>
      <c r="G27" s="48" t="str">
        <f>Teachers!A32 &amp;" " &amp;Teachers!B32</f>
        <v xml:space="preserve"> </v>
      </c>
      <c r="J27" s="48">
        <f>Teachers!C32</f>
        <v>0</v>
      </c>
      <c r="K27" s="48" t="b">
        <f t="shared" si="3"/>
        <v>0</v>
      </c>
    </row>
    <row r="28" spans="1:11" x14ac:dyDescent="0.2">
      <c r="A2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","#",3))+1,1)&amp;"-"&amp;LEFT(Teachers!B33, 3)&amp;"-"&amp;LEFT(Teachers!A33, 3)&amp;"-"&amp;"2026"</f>
        <v>UID-NWF---2026</v>
      </c>
      <c r="C28" s="48">
        <f>Teachers!C33</f>
        <v>0</v>
      </c>
      <c r="D28" s="48" t="b">
        <f t="shared" si="0"/>
        <v>0</v>
      </c>
      <c r="E28" s="48">
        <f>Teachers!A33</f>
        <v>0</v>
      </c>
      <c r="F28" s="48">
        <f>Teachers!B33</f>
        <v>0</v>
      </c>
      <c r="G28" s="48" t="str">
        <f>Teachers!A33 &amp;" " &amp;Teachers!B33</f>
        <v xml:space="preserve"> </v>
      </c>
      <c r="J28" s="48">
        <f>Teachers!C33</f>
        <v>0</v>
      </c>
      <c r="K28" s="48" t="b">
        <f t="shared" si="3"/>
        <v>0</v>
      </c>
    </row>
    <row r="29" spans="1:11" x14ac:dyDescent="0.2">
      <c r="A2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","#",3))+1,1)&amp;"-"&amp;LEFT(Teachers!B34, 3)&amp;"-"&amp;LEFT(Teachers!A34, 3)&amp;"-"&amp;"2026"</f>
        <v>UID-NWF---2026</v>
      </c>
      <c r="C29" s="48">
        <f>Teachers!C34</f>
        <v>0</v>
      </c>
      <c r="D29" s="48" t="b">
        <f t="shared" si="0"/>
        <v>0</v>
      </c>
      <c r="E29" s="48">
        <f>Teachers!A34</f>
        <v>0</v>
      </c>
      <c r="F29" s="48">
        <f>Teachers!B34</f>
        <v>0</v>
      </c>
      <c r="G29" s="48" t="str">
        <f>Teachers!A34 &amp;" " &amp;Teachers!B34</f>
        <v xml:space="preserve"> </v>
      </c>
      <c r="J29" s="48">
        <f>Teachers!C34</f>
        <v>0</v>
      </c>
      <c r="K29" s="48" t="b">
        <f t="shared" si="3"/>
        <v>0</v>
      </c>
    </row>
    <row r="30" spans="1:11" x14ac:dyDescent="0.2">
      <c r="A3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","#",3))+1,1)&amp;"-"&amp;LEFT(Teachers!B35, 3)&amp;"-"&amp;LEFT(Teachers!A35, 3)&amp;"-"&amp;"2026"</f>
        <v>UID-NWF---2026</v>
      </c>
      <c r="C30" s="48">
        <f>Teachers!C35</f>
        <v>0</v>
      </c>
      <c r="D30" s="48" t="b">
        <f t="shared" si="0"/>
        <v>0</v>
      </c>
      <c r="E30" s="48">
        <f>Teachers!A35</f>
        <v>0</v>
      </c>
      <c r="F30" s="48">
        <f>Teachers!B35</f>
        <v>0</v>
      </c>
      <c r="G30" s="48" t="str">
        <f>Teachers!A35 &amp;" " &amp;Teachers!B35</f>
        <v xml:space="preserve"> </v>
      </c>
      <c r="J30" s="48">
        <f>Teachers!C35</f>
        <v>0</v>
      </c>
      <c r="K30" s="48" t="b">
        <f t="shared" si="3"/>
        <v>0</v>
      </c>
    </row>
    <row r="31" spans="1:11" x14ac:dyDescent="0.2">
      <c r="A3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","#",3))+1,1)&amp;"-"&amp;LEFT(Teachers!B36, 3)&amp;"-"&amp;LEFT(Teachers!A36, 3)&amp;"-"&amp;"2026"</f>
        <v>UID-NWF---2026</v>
      </c>
      <c r="C31" s="48">
        <f>Teachers!C36</f>
        <v>0</v>
      </c>
      <c r="D31" s="48" t="b">
        <f t="shared" si="0"/>
        <v>0</v>
      </c>
      <c r="E31" s="48">
        <f>Teachers!A36</f>
        <v>0</v>
      </c>
      <c r="F31" s="48">
        <f>Teachers!B36</f>
        <v>0</v>
      </c>
      <c r="G31" s="48" t="str">
        <f>Teachers!A36 &amp;" " &amp;Teachers!B36</f>
        <v xml:space="preserve"> </v>
      </c>
      <c r="J31" s="48">
        <f>Teachers!C36</f>
        <v>0</v>
      </c>
      <c r="K31" s="48" t="b">
        <f t="shared" si="3"/>
        <v>0</v>
      </c>
    </row>
    <row r="32" spans="1:11" x14ac:dyDescent="0.2">
      <c r="A3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","#",3))+1,1)&amp;"-"&amp;LEFT(Teachers!B37, 3)&amp;"-"&amp;LEFT(Teachers!A37, 3)&amp;"-"&amp;"2026"</f>
        <v>UID-NWF---2026</v>
      </c>
      <c r="C32" s="48">
        <f>Teachers!C37</f>
        <v>0</v>
      </c>
      <c r="D32" s="48" t="b">
        <f t="shared" si="0"/>
        <v>0</v>
      </c>
      <c r="E32" s="48">
        <f>Teachers!A37</f>
        <v>0</v>
      </c>
      <c r="F32" s="48">
        <f>Teachers!B37</f>
        <v>0</v>
      </c>
      <c r="G32" s="48" t="str">
        <f>Teachers!A37 &amp;" " &amp;Teachers!B37</f>
        <v xml:space="preserve"> </v>
      </c>
      <c r="J32" s="48">
        <f>Teachers!C37</f>
        <v>0</v>
      </c>
      <c r="K32" s="48" t="b">
        <f t="shared" si="3"/>
        <v>0</v>
      </c>
    </row>
    <row r="33" spans="1:11" x14ac:dyDescent="0.2">
      <c r="A3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","#",3))+1,1)&amp;"-"&amp;LEFT(Teachers!B38, 3)&amp;"-"&amp;LEFT(Teachers!A38, 3)&amp;"-"&amp;"2026"</f>
        <v>UID-NWF---2026</v>
      </c>
      <c r="C33" s="48">
        <f>Teachers!C38</f>
        <v>0</v>
      </c>
      <c r="D33" s="48" t="b">
        <f t="shared" si="0"/>
        <v>0</v>
      </c>
      <c r="E33" s="48">
        <f>Teachers!A38</f>
        <v>0</v>
      </c>
      <c r="F33" s="48">
        <f>Teachers!B38</f>
        <v>0</v>
      </c>
      <c r="G33" s="48" t="str">
        <f>Teachers!A38 &amp;" " &amp;Teachers!B38</f>
        <v xml:space="preserve"> </v>
      </c>
      <c r="J33" s="48">
        <f>Teachers!C38</f>
        <v>0</v>
      </c>
      <c r="K33" s="48" t="b">
        <f t="shared" si="3"/>
        <v>0</v>
      </c>
    </row>
    <row r="34" spans="1:11" x14ac:dyDescent="0.2">
      <c r="A3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","#",3))+1,1)&amp;"-"&amp;LEFT(Teachers!B39, 3)&amp;"-"&amp;LEFT(Teachers!A39, 3)&amp;"-"&amp;"2026"</f>
        <v>UID-NWF---2026</v>
      </c>
      <c r="C34" s="48">
        <f>Teachers!C39</f>
        <v>0</v>
      </c>
      <c r="D34" s="48" t="b">
        <f t="shared" si="0"/>
        <v>0</v>
      </c>
      <c r="E34" s="48">
        <f>Teachers!A39</f>
        <v>0</v>
      </c>
      <c r="F34" s="48">
        <f>Teachers!B39</f>
        <v>0</v>
      </c>
      <c r="G34" s="48" t="str">
        <f>Teachers!A39 &amp;" " &amp;Teachers!B39</f>
        <v xml:space="preserve"> </v>
      </c>
      <c r="J34" s="48">
        <f>Teachers!C39</f>
        <v>0</v>
      </c>
      <c r="K34" s="48" t="b">
        <f t="shared" si="3"/>
        <v>0</v>
      </c>
    </row>
    <row r="35" spans="1:11" x14ac:dyDescent="0.2">
      <c r="A3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","#",3))+1,1)&amp;"-"&amp;LEFT(Teachers!B40, 3)&amp;"-"&amp;LEFT(Teachers!A40, 3)&amp;"-"&amp;"2026"</f>
        <v>UID-NWF---2026</v>
      </c>
      <c r="C35" s="48">
        <f>Teachers!C40</f>
        <v>0</v>
      </c>
      <c r="D35" s="48" t="b">
        <f t="shared" si="0"/>
        <v>0</v>
      </c>
      <c r="E35" s="48">
        <f>Teachers!A40</f>
        <v>0</v>
      </c>
      <c r="F35" s="48">
        <f>Teachers!B40</f>
        <v>0</v>
      </c>
      <c r="G35" s="48" t="str">
        <f>Teachers!A40 &amp;" " &amp;Teachers!B40</f>
        <v xml:space="preserve"> </v>
      </c>
      <c r="J35" s="48">
        <f>Teachers!C40</f>
        <v>0</v>
      </c>
      <c r="K35" s="48" t="b">
        <f t="shared" si="3"/>
        <v>0</v>
      </c>
    </row>
    <row r="36" spans="1:11" x14ac:dyDescent="0.2">
      <c r="A3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","#",3))+1,1)&amp;"-"&amp;LEFT(Teachers!B41, 3)&amp;"-"&amp;LEFT(Teachers!A41, 3)&amp;"-"&amp;"2026"</f>
        <v>UID-NWF---2026</v>
      </c>
      <c r="C36" s="48">
        <f>Teachers!C41</f>
        <v>0</v>
      </c>
      <c r="D36" s="48" t="b">
        <f t="shared" si="0"/>
        <v>0</v>
      </c>
      <c r="E36" s="48">
        <f>Teachers!A41</f>
        <v>0</v>
      </c>
      <c r="F36" s="48">
        <f>Teachers!B41</f>
        <v>0</v>
      </c>
      <c r="G36" s="48" t="str">
        <f>Teachers!A41 &amp;" " &amp;Teachers!B41</f>
        <v xml:space="preserve"> </v>
      </c>
      <c r="J36" s="48">
        <f>Teachers!C41</f>
        <v>0</v>
      </c>
      <c r="K36" s="48" t="b">
        <f t="shared" si="3"/>
        <v>0</v>
      </c>
    </row>
    <row r="37" spans="1:11" x14ac:dyDescent="0.2">
      <c r="A3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","#",3))+1,1)&amp;"-"&amp;LEFT(Teachers!B42, 3)&amp;"-"&amp;LEFT(Teachers!A42, 3)&amp;"-"&amp;"2026"</f>
        <v>UID-NWF---2026</v>
      </c>
      <c r="C37" s="48">
        <f>Teachers!C42</f>
        <v>0</v>
      </c>
      <c r="D37" s="48" t="b">
        <f t="shared" si="0"/>
        <v>0</v>
      </c>
      <c r="E37" s="48">
        <f>Teachers!A42</f>
        <v>0</v>
      </c>
      <c r="F37" s="48">
        <f>Teachers!B42</f>
        <v>0</v>
      </c>
      <c r="G37" s="48" t="str">
        <f>Teachers!A42 &amp;" " &amp;Teachers!B42</f>
        <v xml:space="preserve"> </v>
      </c>
      <c r="J37" s="48">
        <f>Teachers!C42</f>
        <v>0</v>
      </c>
      <c r="K37" s="48" t="b">
        <f t="shared" si="3"/>
        <v>0</v>
      </c>
    </row>
    <row r="38" spans="1:11" x14ac:dyDescent="0.2">
      <c r="A3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","#",3))+1,1)&amp;"-"&amp;LEFT(Teachers!B43, 3)&amp;"-"&amp;LEFT(Teachers!A43, 3)&amp;"-"&amp;"2026"</f>
        <v>UID-NWF---2026</v>
      </c>
      <c r="C38" s="48">
        <f>Teachers!C43</f>
        <v>0</v>
      </c>
      <c r="D38" s="48" t="b">
        <f t="shared" si="0"/>
        <v>0</v>
      </c>
      <c r="E38" s="48">
        <f>Teachers!A43</f>
        <v>0</v>
      </c>
      <c r="F38" s="48">
        <f>Teachers!B43</f>
        <v>0</v>
      </c>
      <c r="G38" s="48" t="str">
        <f>Teachers!A43 &amp;" " &amp;Teachers!B43</f>
        <v xml:space="preserve"> </v>
      </c>
      <c r="J38" s="48">
        <f>Teachers!C43</f>
        <v>0</v>
      </c>
      <c r="K38" s="48" t="b">
        <f t="shared" si="3"/>
        <v>0</v>
      </c>
    </row>
    <row r="39" spans="1:11" x14ac:dyDescent="0.2">
      <c r="A3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","#",3))+1,1)&amp;"-"&amp;LEFT(Teachers!B44, 3)&amp;"-"&amp;LEFT(Teachers!A44, 3)&amp;"-"&amp;"2026"</f>
        <v>UID-NWF---2026</v>
      </c>
      <c r="C39" s="48">
        <f>Teachers!C44</f>
        <v>0</v>
      </c>
      <c r="D39" s="48" t="b">
        <f t="shared" si="0"/>
        <v>0</v>
      </c>
      <c r="E39" s="48">
        <f>Teachers!A44</f>
        <v>0</v>
      </c>
      <c r="F39" s="48">
        <f>Teachers!B44</f>
        <v>0</v>
      </c>
      <c r="G39" s="48" t="str">
        <f>Teachers!A44 &amp;" " &amp;Teachers!B44</f>
        <v xml:space="preserve"> </v>
      </c>
      <c r="J39" s="48">
        <f>Teachers!C44</f>
        <v>0</v>
      </c>
      <c r="K39" s="48" t="b">
        <f t="shared" si="3"/>
        <v>0</v>
      </c>
    </row>
    <row r="40" spans="1:11" x14ac:dyDescent="0.2">
      <c r="A4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","#",3))+1,1)&amp;"-"&amp;LEFT(Teachers!B45, 3)&amp;"-"&amp;LEFT(Teachers!A45, 3)&amp;"-"&amp;"2026"</f>
        <v>UID-NWF---2026</v>
      </c>
      <c r="C40" s="48">
        <f>Teachers!C45</f>
        <v>0</v>
      </c>
      <c r="D40" s="48" t="b">
        <f t="shared" si="0"/>
        <v>0</v>
      </c>
      <c r="E40" s="48">
        <f>Teachers!A45</f>
        <v>0</v>
      </c>
      <c r="F40" s="48">
        <f>Teachers!B45</f>
        <v>0</v>
      </c>
      <c r="G40" s="48" t="str">
        <f>Teachers!A45 &amp;" " &amp;Teachers!B45</f>
        <v xml:space="preserve"> </v>
      </c>
      <c r="J40" s="48">
        <f>Teachers!C45</f>
        <v>0</v>
      </c>
      <c r="K40" s="48" t="b">
        <f t="shared" si="3"/>
        <v>0</v>
      </c>
    </row>
    <row r="41" spans="1:11" x14ac:dyDescent="0.2">
      <c r="A4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","#",3))+1,1)&amp;"-"&amp;LEFT(Teachers!B46, 3)&amp;"-"&amp;LEFT(Teachers!A46, 3)&amp;"-"&amp;"2026"</f>
        <v>UID-NWF---2026</v>
      </c>
      <c r="C41" s="48">
        <f>Teachers!C46</f>
        <v>0</v>
      </c>
      <c r="D41" s="48" t="b">
        <f t="shared" si="0"/>
        <v>0</v>
      </c>
      <c r="E41" s="48">
        <f>Teachers!A46</f>
        <v>0</v>
      </c>
      <c r="F41" s="48">
        <f>Teachers!B46</f>
        <v>0</v>
      </c>
      <c r="G41" s="48" t="str">
        <f>Teachers!A46 &amp;" " &amp;Teachers!B46</f>
        <v xml:space="preserve"> </v>
      </c>
      <c r="J41" s="48">
        <f>Teachers!C46</f>
        <v>0</v>
      </c>
      <c r="K41" s="48" t="b">
        <f t="shared" ref="K41:K81" si="4">IF(C41&gt;0,"active")</f>
        <v>0</v>
      </c>
    </row>
    <row r="42" spans="1:11" x14ac:dyDescent="0.2">
      <c r="A4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","#",3))+1,1)&amp;"-"&amp;LEFT(Teachers!B47, 3)&amp;"-"&amp;LEFT(Teachers!A47, 3)&amp;"-"&amp;"2026"</f>
        <v>UID-NWF---2026</v>
      </c>
      <c r="C42" s="48">
        <f>Teachers!C47</f>
        <v>0</v>
      </c>
      <c r="D42" s="48" t="b">
        <f t="shared" si="0"/>
        <v>0</v>
      </c>
      <c r="E42" s="48">
        <f>Teachers!A47</f>
        <v>0</v>
      </c>
      <c r="F42" s="48">
        <f>Teachers!B47</f>
        <v>0</v>
      </c>
      <c r="G42" s="48" t="str">
        <f>Teachers!A47 &amp;" " &amp;Teachers!B47</f>
        <v xml:space="preserve"> </v>
      </c>
      <c r="J42" s="48">
        <f>Teachers!C47</f>
        <v>0</v>
      </c>
      <c r="K42" s="48" t="b">
        <f t="shared" si="4"/>
        <v>0</v>
      </c>
    </row>
    <row r="43" spans="1:11" x14ac:dyDescent="0.2">
      <c r="A4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","#",3))+1,1)&amp;"-"&amp;LEFT(Teachers!B48, 3)&amp;"-"&amp;LEFT(Teachers!A48, 3)&amp;"-"&amp;"2026"</f>
        <v>UID-NWF---2026</v>
      </c>
      <c r="C43" s="48">
        <f>Teachers!C48</f>
        <v>0</v>
      </c>
      <c r="D43" s="48" t="b">
        <f t="shared" si="0"/>
        <v>0</v>
      </c>
      <c r="E43" s="48">
        <f>Teachers!A48</f>
        <v>0</v>
      </c>
      <c r="F43" s="48">
        <f>Teachers!B48</f>
        <v>0</v>
      </c>
      <c r="G43" s="48" t="str">
        <f>Teachers!A48 &amp;" " &amp;Teachers!B48</f>
        <v xml:space="preserve"> </v>
      </c>
      <c r="J43" s="48">
        <f>Teachers!C48</f>
        <v>0</v>
      </c>
      <c r="K43" s="48" t="b">
        <f t="shared" si="4"/>
        <v>0</v>
      </c>
    </row>
    <row r="44" spans="1:11" x14ac:dyDescent="0.2">
      <c r="A4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","#",3))+1,1)&amp;"-"&amp;LEFT(Teachers!B49, 3)&amp;"-"&amp;LEFT(Teachers!A49, 3)&amp;"-"&amp;"2026"</f>
        <v>UID-NWF---2026</v>
      </c>
      <c r="C44" s="48">
        <f>Teachers!C49</f>
        <v>0</v>
      </c>
      <c r="D44" s="48" t="b">
        <f t="shared" si="0"/>
        <v>0</v>
      </c>
      <c r="E44" s="48">
        <f>Teachers!A49</f>
        <v>0</v>
      </c>
      <c r="F44" s="48">
        <f>Teachers!B49</f>
        <v>0</v>
      </c>
      <c r="G44" s="48" t="str">
        <f>Teachers!A49 &amp;" " &amp;Teachers!B49</f>
        <v xml:space="preserve"> </v>
      </c>
      <c r="J44" s="48">
        <f>Teachers!C49</f>
        <v>0</v>
      </c>
      <c r="K44" s="48" t="b">
        <f t="shared" si="4"/>
        <v>0</v>
      </c>
    </row>
    <row r="45" spans="1:11" x14ac:dyDescent="0.2">
      <c r="A4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","#",3))+1,1)&amp;"-"&amp;LEFT(Teachers!B50, 3)&amp;"-"&amp;LEFT(Teachers!A50, 3)&amp;"-"&amp;"2026"</f>
        <v>UID-NWF---2026</v>
      </c>
      <c r="C45" s="48">
        <f>Teachers!C50</f>
        <v>0</v>
      </c>
      <c r="D45" s="48" t="b">
        <f t="shared" si="0"/>
        <v>0</v>
      </c>
      <c r="E45" s="48">
        <f>Teachers!A50</f>
        <v>0</v>
      </c>
      <c r="F45" s="48">
        <f>Teachers!B50</f>
        <v>0</v>
      </c>
      <c r="G45" s="48" t="str">
        <f>Teachers!A50 &amp;" " &amp;Teachers!B50</f>
        <v xml:space="preserve"> </v>
      </c>
      <c r="J45" s="48">
        <f>Teachers!C50</f>
        <v>0</v>
      </c>
      <c r="K45" s="48" t="b">
        <f t="shared" si="4"/>
        <v>0</v>
      </c>
    </row>
    <row r="46" spans="1:11" x14ac:dyDescent="0.2">
      <c r="A4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","#",3))+1,1)&amp;"-"&amp;LEFT(Teachers!B51, 3)&amp;"-"&amp;LEFT(Teachers!A51, 3)&amp;"-"&amp;"2026"</f>
        <v>UID-NWF---2026</v>
      </c>
      <c r="C46" s="48">
        <f>Teachers!C51</f>
        <v>0</v>
      </c>
      <c r="D46" s="48" t="b">
        <f t="shared" si="0"/>
        <v>0</v>
      </c>
      <c r="E46" s="48">
        <f>Teachers!A51</f>
        <v>0</v>
      </c>
      <c r="F46" s="48">
        <f>Teachers!B51</f>
        <v>0</v>
      </c>
      <c r="G46" s="48" t="str">
        <f>Teachers!A51 &amp;" " &amp;Teachers!B51</f>
        <v xml:space="preserve"> </v>
      </c>
      <c r="J46" s="48">
        <f>Teachers!C51</f>
        <v>0</v>
      </c>
      <c r="K46" s="48" t="b">
        <f t="shared" si="4"/>
        <v>0</v>
      </c>
    </row>
    <row r="47" spans="1:11" x14ac:dyDescent="0.2">
      <c r="A4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","#",3))+1,1)&amp;"-"&amp;LEFT(Teachers!B52, 3)&amp;"-"&amp;LEFT(Teachers!A52, 3)&amp;"-"&amp;"2026"</f>
        <v>UID-NWF---2026</v>
      </c>
      <c r="C47" s="48">
        <f>Teachers!C52</f>
        <v>0</v>
      </c>
      <c r="D47" s="48" t="b">
        <f t="shared" si="0"/>
        <v>0</v>
      </c>
      <c r="E47" s="48">
        <f>Teachers!A52</f>
        <v>0</v>
      </c>
      <c r="F47" s="48">
        <f>Teachers!B52</f>
        <v>0</v>
      </c>
      <c r="G47" s="48" t="str">
        <f>Teachers!A52 &amp;" " &amp;Teachers!B52</f>
        <v xml:space="preserve"> </v>
      </c>
      <c r="J47" s="48">
        <f>Teachers!C52</f>
        <v>0</v>
      </c>
      <c r="K47" s="48" t="b">
        <f t="shared" si="4"/>
        <v>0</v>
      </c>
    </row>
    <row r="48" spans="1:11" x14ac:dyDescent="0.2">
      <c r="A4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","#",3))+1,1)&amp;"-"&amp;LEFT(Teachers!B53, 3)&amp;"-"&amp;LEFT(Teachers!A53, 3)&amp;"-"&amp;"2026"</f>
        <v>UID-NWF---2026</v>
      </c>
      <c r="C48" s="48">
        <f>Teachers!C53</f>
        <v>0</v>
      </c>
      <c r="D48" s="48" t="b">
        <f t="shared" si="0"/>
        <v>0</v>
      </c>
      <c r="E48" s="48">
        <f>Teachers!A53</f>
        <v>0</v>
      </c>
      <c r="F48" s="48">
        <f>Teachers!B53</f>
        <v>0</v>
      </c>
      <c r="G48" s="48" t="str">
        <f>Teachers!A53 &amp;" " &amp;Teachers!B53</f>
        <v xml:space="preserve"> </v>
      </c>
      <c r="J48" s="48">
        <f>Teachers!C53</f>
        <v>0</v>
      </c>
      <c r="K48" s="48" t="b">
        <f t="shared" si="4"/>
        <v>0</v>
      </c>
    </row>
    <row r="49" spans="1:11" x14ac:dyDescent="0.2">
      <c r="A4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","#",3))+1,1)&amp;"-"&amp;LEFT(Teachers!B54, 3)&amp;"-"&amp;LEFT(Teachers!A54, 3)&amp;"-"&amp;"2026"</f>
        <v>UID-NWF---2026</v>
      </c>
      <c r="C49" s="48">
        <f>Teachers!C54</f>
        <v>0</v>
      </c>
      <c r="D49" s="48" t="b">
        <f t="shared" si="0"/>
        <v>0</v>
      </c>
      <c r="E49" s="48">
        <f>Teachers!A54</f>
        <v>0</v>
      </c>
      <c r="F49" s="48">
        <f>Teachers!B54</f>
        <v>0</v>
      </c>
      <c r="G49" s="48" t="str">
        <f>Teachers!A54 &amp;" " &amp;Teachers!B54</f>
        <v xml:space="preserve"> </v>
      </c>
      <c r="J49" s="48">
        <f>Teachers!C54</f>
        <v>0</v>
      </c>
      <c r="K49" s="48" t="b">
        <f t="shared" si="4"/>
        <v>0</v>
      </c>
    </row>
    <row r="50" spans="1:11" x14ac:dyDescent="0.2">
      <c r="A5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","#",3))+1,1)&amp;"-"&amp;LEFT(Teachers!B55, 3)&amp;"-"&amp;LEFT(Teachers!A55, 3)&amp;"-"&amp;"2026"</f>
        <v>UID-NWF---2026</v>
      </c>
      <c r="C50" s="48">
        <f>Teachers!C55</f>
        <v>0</v>
      </c>
      <c r="D50" s="48" t="b">
        <f t="shared" si="0"/>
        <v>0</v>
      </c>
      <c r="E50" s="48">
        <f>Teachers!A55</f>
        <v>0</v>
      </c>
      <c r="F50" s="48">
        <f>Teachers!B55</f>
        <v>0</v>
      </c>
      <c r="G50" s="48" t="str">
        <f>Teachers!A55 &amp;" " &amp;Teachers!B55</f>
        <v xml:space="preserve"> </v>
      </c>
      <c r="J50" s="48">
        <f>Teachers!C55</f>
        <v>0</v>
      </c>
      <c r="K50" s="48" t="b">
        <f t="shared" si="4"/>
        <v>0</v>
      </c>
    </row>
    <row r="51" spans="1:11" x14ac:dyDescent="0.2">
      <c r="A5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","#",3))+1,1)&amp;"-"&amp;LEFT(Teachers!B56, 3)&amp;"-"&amp;LEFT(Teachers!A56, 3)&amp;"-"&amp;"2026"</f>
        <v>UID-NWF---2026</v>
      </c>
      <c r="C51" s="48">
        <f>Teachers!C56</f>
        <v>0</v>
      </c>
      <c r="D51" s="48" t="b">
        <f t="shared" si="0"/>
        <v>0</v>
      </c>
      <c r="E51" s="48">
        <f>Teachers!A56</f>
        <v>0</v>
      </c>
      <c r="F51" s="48">
        <f>Teachers!B56</f>
        <v>0</v>
      </c>
      <c r="G51" s="48" t="str">
        <f>Teachers!A56 &amp;" " &amp;Teachers!B56</f>
        <v xml:space="preserve"> </v>
      </c>
      <c r="J51" s="48">
        <f>Teachers!C56</f>
        <v>0</v>
      </c>
      <c r="K51" s="48" t="b">
        <f t="shared" si="4"/>
        <v>0</v>
      </c>
    </row>
    <row r="52" spans="1:11" x14ac:dyDescent="0.2">
      <c r="A5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","#",3))+1,1)&amp;"-"&amp;LEFT(Teachers!B57, 3)&amp;"-"&amp;LEFT(Teachers!A57, 3)&amp;"-"&amp;"2026"</f>
        <v>UID-NWF---2026</v>
      </c>
      <c r="C52" s="48">
        <f>Teachers!C57</f>
        <v>0</v>
      </c>
      <c r="D52" s="48" t="b">
        <f t="shared" si="0"/>
        <v>0</v>
      </c>
      <c r="E52" s="48">
        <f>Teachers!A57</f>
        <v>0</v>
      </c>
      <c r="F52" s="48">
        <f>Teachers!B57</f>
        <v>0</v>
      </c>
      <c r="G52" s="48" t="str">
        <f>Teachers!A57 &amp;" " &amp;Teachers!B57</f>
        <v xml:space="preserve"> </v>
      </c>
      <c r="J52" s="48">
        <f>Teachers!C57</f>
        <v>0</v>
      </c>
      <c r="K52" s="48" t="b">
        <f t="shared" si="4"/>
        <v>0</v>
      </c>
    </row>
    <row r="53" spans="1:11" x14ac:dyDescent="0.2">
      <c r="A5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","#",3))+1,1)&amp;"-"&amp;LEFT(Teachers!B58, 3)&amp;"-"&amp;LEFT(Teachers!A58, 3)&amp;"-"&amp;"2026"</f>
        <v>UID-NWF---2026</v>
      </c>
      <c r="C53" s="48">
        <f>Teachers!C58</f>
        <v>0</v>
      </c>
      <c r="D53" s="48" t="b">
        <f t="shared" si="0"/>
        <v>0</v>
      </c>
      <c r="E53" s="48">
        <f>Teachers!A58</f>
        <v>0</v>
      </c>
      <c r="F53" s="48">
        <f>Teachers!B58</f>
        <v>0</v>
      </c>
      <c r="G53" s="48" t="str">
        <f>Teachers!A58 &amp;" " &amp;Teachers!B58</f>
        <v xml:space="preserve"> </v>
      </c>
      <c r="J53" s="48">
        <f>Teachers!C58</f>
        <v>0</v>
      </c>
      <c r="K53" s="48" t="b">
        <f t="shared" si="4"/>
        <v>0</v>
      </c>
    </row>
    <row r="54" spans="1:11" x14ac:dyDescent="0.2">
      <c r="A5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","#",3))+1,1)&amp;"-"&amp;LEFT(Teachers!B59, 3)&amp;"-"&amp;LEFT(Teachers!A59, 3)&amp;"-"&amp;"2026"</f>
        <v>UID-NWF---2026</v>
      </c>
      <c r="C54" s="48">
        <f>Teachers!C59</f>
        <v>0</v>
      </c>
      <c r="D54" s="48" t="b">
        <f t="shared" si="0"/>
        <v>0</v>
      </c>
      <c r="E54" s="48">
        <f>Teachers!A59</f>
        <v>0</v>
      </c>
      <c r="F54" s="48">
        <f>Teachers!B59</f>
        <v>0</v>
      </c>
      <c r="G54" s="48" t="str">
        <f>Teachers!A59 &amp;" " &amp;Teachers!B59</f>
        <v xml:space="preserve"> </v>
      </c>
      <c r="J54" s="48">
        <f>Teachers!C59</f>
        <v>0</v>
      </c>
      <c r="K54" s="48" t="b">
        <f t="shared" si="4"/>
        <v>0</v>
      </c>
    </row>
    <row r="55" spans="1:11" x14ac:dyDescent="0.2">
      <c r="A5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","#",3))+1,1)&amp;"-"&amp;LEFT(Teachers!B60, 3)&amp;"-"&amp;LEFT(Teachers!A60, 3)&amp;"-"&amp;"2026"</f>
        <v>UID-NWF---2026</v>
      </c>
      <c r="C55" s="48">
        <f>Teachers!C60</f>
        <v>0</v>
      </c>
      <c r="D55" s="48" t="b">
        <f t="shared" si="0"/>
        <v>0</v>
      </c>
      <c r="E55" s="48">
        <f>Teachers!A60</f>
        <v>0</v>
      </c>
      <c r="F55" s="48">
        <f>Teachers!B60</f>
        <v>0</v>
      </c>
      <c r="G55" s="48" t="str">
        <f>Teachers!A60 &amp;" " &amp;Teachers!B60</f>
        <v xml:space="preserve"> </v>
      </c>
      <c r="J55" s="48">
        <f>Teachers!C60</f>
        <v>0</v>
      </c>
      <c r="K55" s="48" t="b">
        <f t="shared" si="4"/>
        <v>0</v>
      </c>
    </row>
    <row r="56" spans="1:11" x14ac:dyDescent="0.2">
      <c r="A5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","#",3))+1,1)&amp;"-"&amp;LEFT(Teachers!B61, 3)&amp;"-"&amp;LEFT(Teachers!A61, 3)&amp;"-"&amp;"2026"</f>
        <v>UID-NWF---2026</v>
      </c>
      <c r="C56" s="48">
        <f>Teachers!C61</f>
        <v>0</v>
      </c>
      <c r="D56" s="48" t="b">
        <f t="shared" si="0"/>
        <v>0</v>
      </c>
      <c r="E56" s="48">
        <f>Teachers!A61</f>
        <v>0</v>
      </c>
      <c r="F56" s="48">
        <f>Teachers!B61</f>
        <v>0</v>
      </c>
      <c r="G56" s="48" t="str">
        <f>Teachers!A61 &amp;" " &amp;Teachers!B61</f>
        <v xml:space="preserve"> </v>
      </c>
      <c r="J56" s="48">
        <f>Teachers!C61</f>
        <v>0</v>
      </c>
      <c r="K56" s="48" t="b">
        <f t="shared" si="4"/>
        <v>0</v>
      </c>
    </row>
    <row r="57" spans="1:11" x14ac:dyDescent="0.2">
      <c r="A5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","#",3))+1,1)&amp;"-"&amp;LEFT(Teachers!B62, 3)&amp;"-"&amp;LEFT(Teachers!A62, 3)&amp;"-"&amp;"2026"</f>
        <v>UID-NWF---2026</v>
      </c>
      <c r="C57" s="48">
        <f>Teachers!C62</f>
        <v>0</v>
      </c>
      <c r="D57" s="48" t="b">
        <f t="shared" si="0"/>
        <v>0</v>
      </c>
      <c r="E57" s="48">
        <f>Teachers!A62</f>
        <v>0</v>
      </c>
      <c r="F57" s="48">
        <f>Teachers!B62</f>
        <v>0</v>
      </c>
      <c r="G57" s="48" t="str">
        <f>Teachers!A62 &amp;" " &amp;Teachers!B62</f>
        <v xml:space="preserve"> </v>
      </c>
      <c r="J57" s="48">
        <f>Teachers!C62</f>
        <v>0</v>
      </c>
      <c r="K57" s="48" t="b">
        <f t="shared" si="4"/>
        <v>0</v>
      </c>
    </row>
    <row r="58" spans="1:11" x14ac:dyDescent="0.2">
      <c r="A5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","#",3))+1,1)&amp;"-"&amp;LEFT(Teachers!B63, 3)&amp;"-"&amp;LEFT(Teachers!A63, 3)&amp;"-"&amp;"2026"</f>
        <v>UID-NWF---2026</v>
      </c>
      <c r="C58" s="48">
        <f>Teachers!C63</f>
        <v>0</v>
      </c>
      <c r="D58" s="48" t="b">
        <f t="shared" si="0"/>
        <v>0</v>
      </c>
      <c r="E58" s="48">
        <f>Teachers!A63</f>
        <v>0</v>
      </c>
      <c r="F58" s="48">
        <f>Teachers!B63</f>
        <v>0</v>
      </c>
      <c r="G58" s="48" t="str">
        <f>Teachers!A63 &amp;" " &amp;Teachers!B63</f>
        <v xml:space="preserve"> </v>
      </c>
      <c r="J58" s="48">
        <f>Teachers!C63</f>
        <v>0</v>
      </c>
      <c r="K58" s="48" t="b">
        <f t="shared" si="4"/>
        <v>0</v>
      </c>
    </row>
    <row r="59" spans="1:11" x14ac:dyDescent="0.2">
      <c r="A5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","#",3))+1,1)&amp;"-"&amp;LEFT(Teachers!B64, 3)&amp;"-"&amp;LEFT(Teachers!A64, 3)&amp;"-"&amp;"2026"</f>
        <v>UID-NWF---2026</v>
      </c>
      <c r="C59" s="48">
        <f>Teachers!C64</f>
        <v>0</v>
      </c>
      <c r="D59" s="48" t="b">
        <f t="shared" si="0"/>
        <v>0</v>
      </c>
      <c r="E59" s="48">
        <f>Teachers!A64</f>
        <v>0</v>
      </c>
      <c r="F59" s="48">
        <f>Teachers!B64</f>
        <v>0</v>
      </c>
      <c r="G59" s="48" t="str">
        <f>Teachers!A64 &amp;" " &amp;Teachers!B64</f>
        <v xml:space="preserve"> </v>
      </c>
      <c r="J59" s="48">
        <f>Teachers!C64</f>
        <v>0</v>
      </c>
      <c r="K59" s="48" t="b">
        <f t="shared" si="4"/>
        <v>0</v>
      </c>
    </row>
    <row r="60" spans="1:11" x14ac:dyDescent="0.2">
      <c r="A6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","#",3))+1,1)&amp;"-"&amp;LEFT(Teachers!B65, 3)&amp;"-"&amp;LEFT(Teachers!A65, 3)&amp;"-"&amp;"2026"</f>
        <v>UID-NWF---2026</v>
      </c>
      <c r="C60" s="48">
        <f>Teachers!C65</f>
        <v>0</v>
      </c>
      <c r="D60" s="48" t="b">
        <f t="shared" si="0"/>
        <v>0</v>
      </c>
      <c r="E60" s="48">
        <f>Teachers!A65</f>
        <v>0</v>
      </c>
      <c r="F60" s="48">
        <f>Teachers!B65</f>
        <v>0</v>
      </c>
      <c r="G60" s="48" t="str">
        <f>Teachers!A65 &amp;" " &amp;Teachers!B65</f>
        <v xml:space="preserve"> </v>
      </c>
      <c r="J60" s="48">
        <f>Teachers!C65</f>
        <v>0</v>
      </c>
      <c r="K60" s="48" t="b">
        <f t="shared" si="4"/>
        <v>0</v>
      </c>
    </row>
    <row r="61" spans="1:11" x14ac:dyDescent="0.2">
      <c r="A6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","#",3))+1,1)&amp;"-"&amp;LEFT(Teachers!B66, 3)&amp;"-"&amp;LEFT(Teachers!A66, 3)&amp;"-"&amp;"2026"</f>
        <v>UID-NWF---2026</v>
      </c>
      <c r="C61" s="48">
        <f>Teachers!C66</f>
        <v>0</v>
      </c>
      <c r="D61" s="48" t="b">
        <f t="shared" si="0"/>
        <v>0</v>
      </c>
      <c r="E61" s="48">
        <f>Teachers!A66</f>
        <v>0</v>
      </c>
      <c r="F61" s="48">
        <f>Teachers!B66</f>
        <v>0</v>
      </c>
      <c r="G61" s="48" t="str">
        <f>Teachers!A66 &amp;" " &amp;Teachers!B66</f>
        <v xml:space="preserve"> </v>
      </c>
      <c r="J61" s="48">
        <f>Teachers!C66</f>
        <v>0</v>
      </c>
      <c r="K61" s="48" t="b">
        <f t="shared" si="4"/>
        <v>0</v>
      </c>
    </row>
    <row r="62" spans="1:11" x14ac:dyDescent="0.2">
      <c r="A6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","#",3))+1,1)&amp;"-"&amp;LEFT(Teachers!B67, 3)&amp;"-"&amp;LEFT(Teachers!A67, 3)&amp;"-"&amp;"2026"</f>
        <v>UID-NWF---2026</v>
      </c>
      <c r="C62" s="48">
        <f>Teachers!C67</f>
        <v>0</v>
      </c>
      <c r="D62" s="48" t="b">
        <f t="shared" si="0"/>
        <v>0</v>
      </c>
      <c r="E62" s="48">
        <f>Teachers!A67</f>
        <v>0</v>
      </c>
      <c r="F62" s="48">
        <f>Teachers!B67</f>
        <v>0</v>
      </c>
      <c r="G62" s="48" t="str">
        <f>Teachers!A67 &amp;" " &amp;Teachers!B67</f>
        <v xml:space="preserve"> </v>
      </c>
      <c r="J62" s="48">
        <f>Teachers!C67</f>
        <v>0</v>
      </c>
      <c r="K62" s="48" t="b">
        <f t="shared" si="4"/>
        <v>0</v>
      </c>
    </row>
    <row r="63" spans="1:11" x14ac:dyDescent="0.2">
      <c r="A6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","#",3))+1,1)&amp;"-"&amp;LEFT(Teachers!B68, 3)&amp;"-"&amp;LEFT(Teachers!A68, 3)&amp;"-"&amp;"2026"</f>
        <v>UID-NWF---2026</v>
      </c>
      <c r="C63" s="48">
        <f>Teachers!C68</f>
        <v>0</v>
      </c>
      <c r="D63" s="48" t="b">
        <f t="shared" si="0"/>
        <v>0</v>
      </c>
      <c r="E63" s="48">
        <f>Teachers!A68</f>
        <v>0</v>
      </c>
      <c r="F63" s="48">
        <f>Teachers!B68</f>
        <v>0</v>
      </c>
      <c r="G63" s="48" t="str">
        <f>Teachers!A68 &amp;" " &amp;Teachers!B68</f>
        <v xml:space="preserve"> </v>
      </c>
      <c r="J63" s="48">
        <f>Teachers!C68</f>
        <v>0</v>
      </c>
      <c r="K63" s="48" t="b">
        <f t="shared" si="4"/>
        <v>0</v>
      </c>
    </row>
    <row r="64" spans="1:11" x14ac:dyDescent="0.2">
      <c r="A6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","#",3))+1,1)&amp;"-"&amp;LEFT(Teachers!B69, 3)&amp;"-"&amp;LEFT(Teachers!A69, 3)&amp;"-"&amp;"2026"</f>
        <v>UID-NWF---2026</v>
      </c>
      <c r="C64" s="48">
        <f>Teachers!C69</f>
        <v>0</v>
      </c>
      <c r="D64" s="48" t="b">
        <f t="shared" si="0"/>
        <v>0</v>
      </c>
      <c r="E64" s="48">
        <f>Teachers!A69</f>
        <v>0</v>
      </c>
      <c r="F64" s="48">
        <f>Teachers!B69</f>
        <v>0</v>
      </c>
      <c r="G64" s="48" t="str">
        <f>Teachers!A69 &amp;" " &amp;Teachers!B69</f>
        <v xml:space="preserve"> </v>
      </c>
      <c r="J64" s="48">
        <f>Teachers!C69</f>
        <v>0</v>
      </c>
      <c r="K64" s="48" t="b">
        <f t="shared" si="4"/>
        <v>0</v>
      </c>
    </row>
    <row r="65" spans="1:11" x14ac:dyDescent="0.2">
      <c r="A6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","#",3))+1,1)&amp;"-"&amp;LEFT(Teachers!B70, 3)&amp;"-"&amp;LEFT(Teachers!A70, 3)&amp;"-"&amp;"2026"</f>
        <v>UID-NWF---2026</v>
      </c>
      <c r="C65" s="48">
        <f>Teachers!C70</f>
        <v>0</v>
      </c>
      <c r="D65" s="48" t="b">
        <f t="shared" si="0"/>
        <v>0</v>
      </c>
      <c r="E65" s="48">
        <f>Teachers!A70</f>
        <v>0</v>
      </c>
      <c r="F65" s="48">
        <f>Teachers!B70</f>
        <v>0</v>
      </c>
      <c r="G65" s="48" t="str">
        <f>Teachers!A70 &amp;" " &amp;Teachers!B70</f>
        <v xml:space="preserve"> </v>
      </c>
      <c r="J65" s="48">
        <f>Teachers!C70</f>
        <v>0</v>
      </c>
      <c r="K65" s="48" t="b">
        <f t="shared" si="4"/>
        <v>0</v>
      </c>
    </row>
    <row r="66" spans="1:11" x14ac:dyDescent="0.2">
      <c r="A6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","#",3))+1,1)&amp;"-"&amp;LEFT(Teachers!B71, 3)&amp;"-"&amp;LEFT(Teachers!A71, 3)&amp;"-"&amp;"2026"</f>
        <v>UID-NWF---2026</v>
      </c>
      <c r="C66" s="48">
        <f>Teachers!C71</f>
        <v>0</v>
      </c>
      <c r="D66" s="48" t="b">
        <f t="shared" ref="D66:D81" si="5">IF(C66&gt;0,"topscore123")</f>
        <v>0</v>
      </c>
      <c r="E66" s="48">
        <f>Teachers!A71</f>
        <v>0</v>
      </c>
      <c r="F66" s="48">
        <f>Teachers!B71</f>
        <v>0</v>
      </c>
      <c r="G66" s="48" t="str">
        <f>Teachers!A71 &amp;" " &amp;Teachers!B71</f>
        <v xml:space="preserve"> </v>
      </c>
      <c r="J66" s="48">
        <f>Teachers!C71</f>
        <v>0</v>
      </c>
      <c r="K66" s="48" t="b">
        <f t="shared" si="4"/>
        <v>0</v>
      </c>
    </row>
    <row r="67" spans="1:11" x14ac:dyDescent="0.2">
      <c r="A6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","#",3))+1,1)&amp;"-"&amp;LEFT(Teachers!B72, 3)&amp;"-"&amp;LEFT(Teachers!A72, 3)&amp;"-"&amp;"2026"</f>
        <v>UID-NWF---2026</v>
      </c>
      <c r="C67" s="48">
        <f>Teachers!C72</f>
        <v>0</v>
      </c>
      <c r="D67" s="48" t="b">
        <f t="shared" si="5"/>
        <v>0</v>
      </c>
      <c r="E67" s="48">
        <f>Teachers!A72</f>
        <v>0</v>
      </c>
      <c r="F67" s="48">
        <f>Teachers!B72</f>
        <v>0</v>
      </c>
      <c r="G67" s="48" t="str">
        <f>Teachers!A72 &amp;" " &amp;Teachers!B72</f>
        <v xml:space="preserve"> </v>
      </c>
      <c r="J67" s="48">
        <f>Teachers!C72</f>
        <v>0</v>
      </c>
      <c r="K67" s="48" t="b">
        <f t="shared" si="4"/>
        <v>0</v>
      </c>
    </row>
    <row r="68" spans="1:11" x14ac:dyDescent="0.2">
      <c r="A6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","#",3))+1,1)&amp;"-"&amp;LEFT(Teachers!B73, 3)&amp;"-"&amp;LEFT(Teachers!A73, 3)&amp;"-"&amp;"2026"</f>
        <v>UID-NWF---2026</v>
      </c>
      <c r="C68" s="48">
        <f>Teachers!C73</f>
        <v>0</v>
      </c>
      <c r="D68" s="48" t="b">
        <f t="shared" si="5"/>
        <v>0</v>
      </c>
      <c r="E68" s="48">
        <f>Teachers!A73</f>
        <v>0</v>
      </c>
      <c r="F68" s="48">
        <f>Teachers!B73</f>
        <v>0</v>
      </c>
      <c r="G68" s="48" t="str">
        <f>Teachers!A73 &amp;" " &amp;Teachers!B73</f>
        <v xml:space="preserve"> </v>
      </c>
      <c r="J68" s="48">
        <f>Teachers!C73</f>
        <v>0</v>
      </c>
      <c r="K68" s="48" t="b">
        <f t="shared" si="4"/>
        <v>0</v>
      </c>
    </row>
    <row r="69" spans="1:11" x14ac:dyDescent="0.2">
      <c r="A6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","#",3))+1,1)&amp;"-"&amp;LEFT(Teachers!B74, 3)&amp;"-"&amp;LEFT(Teachers!A74, 3)&amp;"-"&amp;"2026"</f>
        <v>UID-NWF---2026</v>
      </c>
      <c r="C69" s="48">
        <f>Teachers!C74</f>
        <v>0</v>
      </c>
      <c r="D69" s="48" t="b">
        <f t="shared" si="5"/>
        <v>0</v>
      </c>
      <c r="E69" s="48">
        <f>Teachers!A74</f>
        <v>0</v>
      </c>
      <c r="F69" s="48">
        <f>Teachers!B74</f>
        <v>0</v>
      </c>
      <c r="G69" s="48" t="str">
        <f>Teachers!A74 &amp;" " &amp;Teachers!B74</f>
        <v xml:space="preserve"> </v>
      </c>
      <c r="J69" s="48">
        <f>Teachers!C74</f>
        <v>0</v>
      </c>
      <c r="K69" s="48" t="b">
        <f t="shared" si="4"/>
        <v>0</v>
      </c>
    </row>
    <row r="70" spans="1:11" x14ac:dyDescent="0.2">
      <c r="A7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","#",3))+1,1)&amp;"-"&amp;LEFT(Teachers!B75, 3)&amp;"-"&amp;LEFT(Teachers!A75, 3)&amp;"-"&amp;"2026"</f>
        <v>UID-NWF---2026</v>
      </c>
      <c r="C70" s="48">
        <f>Teachers!C75</f>
        <v>0</v>
      </c>
      <c r="D70" s="48" t="b">
        <f t="shared" si="5"/>
        <v>0</v>
      </c>
      <c r="E70" s="48">
        <f>Teachers!A75</f>
        <v>0</v>
      </c>
      <c r="F70" s="48">
        <f>Teachers!B75</f>
        <v>0</v>
      </c>
      <c r="G70" s="48" t="str">
        <f>Teachers!A75 &amp;" " &amp;Teachers!B75</f>
        <v xml:space="preserve"> </v>
      </c>
      <c r="J70" s="48">
        <f>Teachers!C75</f>
        <v>0</v>
      </c>
      <c r="K70" s="48" t="b">
        <f t="shared" si="4"/>
        <v>0</v>
      </c>
    </row>
    <row r="71" spans="1:11" x14ac:dyDescent="0.2">
      <c r="A7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","#",3))+1,1)&amp;"-"&amp;LEFT(Teachers!B76, 3)&amp;"-"&amp;LEFT(Teachers!A76, 3)&amp;"-"&amp;"2026"</f>
        <v>UID-NWF---2026</v>
      </c>
      <c r="C71" s="48">
        <f>Teachers!C76</f>
        <v>0</v>
      </c>
      <c r="D71" s="48" t="b">
        <f t="shared" si="5"/>
        <v>0</v>
      </c>
      <c r="E71" s="48">
        <f>Teachers!A76</f>
        <v>0</v>
      </c>
      <c r="F71" s="48">
        <f>Teachers!B76</f>
        <v>0</v>
      </c>
      <c r="G71" s="48" t="str">
        <f>Teachers!A76 &amp;" " &amp;Teachers!B76</f>
        <v xml:space="preserve"> </v>
      </c>
      <c r="J71" s="48">
        <f>Teachers!C76</f>
        <v>0</v>
      </c>
      <c r="K71" s="48" t="b">
        <f t="shared" si="4"/>
        <v>0</v>
      </c>
    </row>
    <row r="72" spans="1:11" x14ac:dyDescent="0.2">
      <c r="A7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","#",3))+1,1)&amp;"-"&amp;LEFT(Teachers!B77, 3)&amp;"-"&amp;LEFT(Teachers!A77, 3)&amp;"-"&amp;"2026"</f>
        <v>UID-NWF---2026</v>
      </c>
      <c r="C72" s="48">
        <f>Teachers!C77</f>
        <v>0</v>
      </c>
      <c r="D72" s="48" t="b">
        <f t="shared" si="5"/>
        <v>0</v>
      </c>
      <c r="E72" s="48">
        <f>Teachers!A77</f>
        <v>0</v>
      </c>
      <c r="F72" s="48">
        <f>Teachers!B77</f>
        <v>0</v>
      </c>
      <c r="G72" s="48" t="str">
        <f>Teachers!A77 &amp;" " &amp;Teachers!B77</f>
        <v xml:space="preserve"> </v>
      </c>
      <c r="J72" s="48">
        <f>Teachers!C77</f>
        <v>0</v>
      </c>
      <c r="K72" s="48" t="b">
        <f t="shared" si="4"/>
        <v>0</v>
      </c>
    </row>
    <row r="73" spans="1:11" x14ac:dyDescent="0.2">
      <c r="A7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","#",3))+1,1)&amp;"-"&amp;LEFT(Teachers!B78, 3)&amp;"-"&amp;LEFT(Teachers!A78, 3)&amp;"-"&amp;"2026"</f>
        <v>UID-NWF---2026</v>
      </c>
      <c r="C73" s="48">
        <f>Teachers!C78</f>
        <v>0</v>
      </c>
      <c r="D73" s="48" t="b">
        <f t="shared" si="5"/>
        <v>0</v>
      </c>
      <c r="E73" s="48">
        <f>Teachers!A78</f>
        <v>0</v>
      </c>
      <c r="F73" s="48">
        <f>Teachers!B78</f>
        <v>0</v>
      </c>
      <c r="G73" s="48" t="str">
        <f>Teachers!A78 &amp;" " &amp;Teachers!B78</f>
        <v xml:space="preserve"> </v>
      </c>
      <c r="J73" s="48">
        <f>Teachers!C78</f>
        <v>0</v>
      </c>
      <c r="K73" s="48" t="b">
        <f t="shared" si="4"/>
        <v>0</v>
      </c>
    </row>
    <row r="74" spans="1:11" x14ac:dyDescent="0.2">
      <c r="A7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","#",3))+1,1)&amp;"-"&amp;LEFT(Teachers!B79, 3)&amp;"-"&amp;LEFT(Teachers!A79, 3)&amp;"-"&amp;"2026"</f>
        <v>UID-NWF---2026</v>
      </c>
      <c r="C74" s="48">
        <f>Teachers!C79</f>
        <v>0</v>
      </c>
      <c r="D74" s="48" t="b">
        <f t="shared" si="5"/>
        <v>0</v>
      </c>
      <c r="E74" s="48">
        <f>Teachers!A79</f>
        <v>0</v>
      </c>
      <c r="F74" s="48">
        <f>Teachers!B79</f>
        <v>0</v>
      </c>
      <c r="G74" s="48" t="str">
        <f>Teachers!A79 &amp;" " &amp;Teachers!B79</f>
        <v xml:space="preserve"> </v>
      </c>
      <c r="J74" s="48">
        <f>Teachers!C79</f>
        <v>0</v>
      </c>
      <c r="K74" s="48" t="b">
        <f t="shared" si="4"/>
        <v>0</v>
      </c>
    </row>
    <row r="75" spans="1:11" x14ac:dyDescent="0.2">
      <c r="A7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","#",3))+1,1)&amp;"-"&amp;LEFT(Teachers!B80, 3)&amp;"-"&amp;LEFT(Teachers!A80, 3)&amp;"-"&amp;"2026"</f>
        <v>UID-NWF---2026</v>
      </c>
      <c r="C75" s="48">
        <f>Teachers!C80</f>
        <v>0</v>
      </c>
      <c r="D75" s="48" t="b">
        <f t="shared" si="5"/>
        <v>0</v>
      </c>
      <c r="E75" s="48">
        <f>Teachers!A80</f>
        <v>0</v>
      </c>
      <c r="F75" s="48">
        <f>Teachers!B80</f>
        <v>0</v>
      </c>
      <c r="G75" s="48" t="str">
        <f>Teachers!A80 &amp;" " &amp;Teachers!B80</f>
        <v xml:space="preserve"> </v>
      </c>
      <c r="J75" s="48">
        <f>Teachers!C80</f>
        <v>0</v>
      </c>
      <c r="K75" s="48" t="b">
        <f t="shared" si="4"/>
        <v>0</v>
      </c>
    </row>
    <row r="76" spans="1:11" x14ac:dyDescent="0.2">
      <c r="A7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","#",3))+1,1)&amp;"-"&amp;LEFT(Teachers!B81, 3)&amp;"-"&amp;LEFT(Teachers!A81, 3)&amp;"-"&amp;"2026"</f>
        <v>UID-NWF---2026</v>
      </c>
      <c r="C76" s="48">
        <f>Teachers!C81</f>
        <v>0</v>
      </c>
      <c r="D76" s="48" t="b">
        <f t="shared" si="5"/>
        <v>0</v>
      </c>
      <c r="E76" s="48">
        <f>Teachers!A81</f>
        <v>0</v>
      </c>
      <c r="F76" s="48">
        <f>Teachers!B81</f>
        <v>0</v>
      </c>
      <c r="G76" s="48" t="str">
        <f>Teachers!A81 &amp;" " &amp;Teachers!B81</f>
        <v xml:space="preserve"> </v>
      </c>
      <c r="J76" s="48">
        <f>Teachers!C81</f>
        <v>0</v>
      </c>
      <c r="K76" s="48" t="b">
        <f t="shared" si="4"/>
        <v>0</v>
      </c>
    </row>
    <row r="77" spans="1:11" x14ac:dyDescent="0.2">
      <c r="A7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","#",3))+1,1)&amp;"-"&amp;LEFT(Teachers!B82, 3)&amp;"-"&amp;LEFT(Teachers!A82, 3)&amp;"-"&amp;"2026"</f>
        <v>UID-NWF---2026</v>
      </c>
      <c r="C77" s="48">
        <f>Teachers!C82</f>
        <v>0</v>
      </c>
      <c r="D77" s="48" t="b">
        <f t="shared" si="5"/>
        <v>0</v>
      </c>
      <c r="E77" s="48">
        <f>Teachers!A82</f>
        <v>0</v>
      </c>
      <c r="F77" s="48">
        <f>Teachers!B82</f>
        <v>0</v>
      </c>
      <c r="G77" s="48" t="str">
        <f>Teachers!A82 &amp;" " &amp;Teachers!B82</f>
        <v xml:space="preserve"> </v>
      </c>
      <c r="J77" s="48">
        <f>Teachers!C82</f>
        <v>0</v>
      </c>
      <c r="K77" s="48" t="b">
        <f t="shared" si="4"/>
        <v>0</v>
      </c>
    </row>
    <row r="78" spans="1:11" x14ac:dyDescent="0.2">
      <c r="A7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","#",3))+1,1)&amp;"-"&amp;LEFT(Teachers!B83, 3)&amp;"-"&amp;LEFT(Teachers!A83, 3)&amp;"-"&amp;"2026"</f>
        <v>UID-NWF---2026</v>
      </c>
      <c r="C78" s="48">
        <f>Teachers!C83</f>
        <v>0</v>
      </c>
      <c r="D78" s="48" t="b">
        <f t="shared" si="5"/>
        <v>0</v>
      </c>
      <c r="E78" s="48">
        <f>Teachers!A83</f>
        <v>0</v>
      </c>
      <c r="F78" s="48">
        <f>Teachers!B83</f>
        <v>0</v>
      </c>
      <c r="G78" s="48" t="str">
        <f>Teachers!A83 &amp;" " &amp;Teachers!B83</f>
        <v xml:space="preserve"> </v>
      </c>
      <c r="J78" s="48">
        <f>Teachers!C83</f>
        <v>0</v>
      </c>
      <c r="K78" s="48" t="b">
        <f t="shared" si="4"/>
        <v>0</v>
      </c>
    </row>
    <row r="79" spans="1:11" x14ac:dyDescent="0.2">
      <c r="A7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","#",3))+1,1)&amp;"-"&amp;LEFT(Teachers!B84, 3)&amp;"-"&amp;LEFT(Teachers!A84, 3)&amp;"-"&amp;"2026"</f>
        <v>UID-NWF---2026</v>
      </c>
      <c r="C79" s="48">
        <f>Teachers!C84</f>
        <v>0</v>
      </c>
      <c r="D79" s="48" t="b">
        <f t="shared" si="5"/>
        <v>0</v>
      </c>
      <c r="E79" s="48">
        <f>Teachers!A84</f>
        <v>0</v>
      </c>
      <c r="F79" s="48">
        <f>Teachers!B84</f>
        <v>0</v>
      </c>
      <c r="G79" s="48" t="str">
        <f>Teachers!A84 &amp;" " &amp;Teachers!B84</f>
        <v xml:space="preserve"> </v>
      </c>
      <c r="J79" s="48">
        <f>Teachers!C84</f>
        <v>0</v>
      </c>
      <c r="K79" s="48" t="b">
        <f t="shared" si="4"/>
        <v>0</v>
      </c>
    </row>
    <row r="80" spans="1:11" x14ac:dyDescent="0.2">
      <c r="A8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","#",3))+1,1)&amp;"-"&amp;LEFT(Teachers!B85, 3)&amp;"-"&amp;LEFT(Teachers!A85, 3)&amp;"-"&amp;"2026"</f>
        <v>UID-NWF---2026</v>
      </c>
      <c r="C80" s="48">
        <f>Teachers!C85</f>
        <v>0</v>
      </c>
      <c r="D80" s="48" t="b">
        <f t="shared" si="5"/>
        <v>0</v>
      </c>
      <c r="E80" s="48">
        <f>Teachers!A85</f>
        <v>0</v>
      </c>
      <c r="F80" s="48">
        <f>Teachers!B85</f>
        <v>0</v>
      </c>
      <c r="G80" s="48" t="str">
        <f>Teachers!A85 &amp;" " &amp;Teachers!B85</f>
        <v xml:space="preserve"> </v>
      </c>
      <c r="J80" s="48">
        <f>Teachers!C85</f>
        <v>0</v>
      </c>
      <c r="K80" s="48" t="b">
        <f t="shared" si="4"/>
        <v>0</v>
      </c>
    </row>
    <row r="81" spans="1:11" x14ac:dyDescent="0.2">
      <c r="A8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","#",3))+1,1)&amp;"-"&amp;LEFT(Teachers!B86, 3)&amp;"-"&amp;LEFT(Teachers!A86, 3)&amp;"-"&amp;"2026"</f>
        <v>UID-NWF---2026</v>
      </c>
      <c r="C81" s="48">
        <f>Teachers!C86</f>
        <v>0</v>
      </c>
      <c r="D81" s="48" t="b">
        <f t="shared" si="5"/>
        <v>0</v>
      </c>
      <c r="E81" s="48">
        <f>Teachers!A86</f>
        <v>0</v>
      </c>
      <c r="F81" s="48">
        <f>Teachers!B86</f>
        <v>0</v>
      </c>
      <c r="G81" s="48" t="str">
        <f>Teachers!A86 &amp;" " &amp;Teachers!B86</f>
        <v xml:space="preserve"> </v>
      </c>
      <c r="J81" s="48">
        <f>Teachers!C86</f>
        <v>0</v>
      </c>
      <c r="K81" s="48" t="b">
        <f t="shared" si="4"/>
        <v>0</v>
      </c>
    </row>
    <row r="82" spans="1:11" x14ac:dyDescent="0.2">
      <c r="A8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","#",3))+1,1)&amp;"-"&amp;LEFT(Teachers!B87, 3)&amp;"-"&amp;LEFT(Teachers!A87, 3)&amp;"-"&amp;"2026"</f>
        <v>UID-NWF---2026</v>
      </c>
      <c r="C82" s="48">
        <f>Teachers!C87</f>
        <v>0</v>
      </c>
      <c r="D82" s="48" t="b">
        <f t="shared" ref="D82:D100" si="6">IF(C82&gt;0,"topscore123")</f>
        <v>0</v>
      </c>
      <c r="E82" s="48">
        <f>Teachers!A87</f>
        <v>0</v>
      </c>
      <c r="F82" s="48">
        <f>Teachers!B87</f>
        <v>0</v>
      </c>
      <c r="G82" s="48" t="str">
        <f>Teachers!A87 &amp;" " &amp;Teachers!B87</f>
        <v xml:space="preserve"> </v>
      </c>
      <c r="J82" s="48">
        <f>Teachers!C87</f>
        <v>0</v>
      </c>
      <c r="K82" s="48" t="b">
        <f t="shared" ref="K82:K100" si="7">IF(C82&gt;0,"active")</f>
        <v>0</v>
      </c>
    </row>
    <row r="83" spans="1:11" x14ac:dyDescent="0.2">
      <c r="A8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","#",3))+1,1)&amp;"-"&amp;LEFT(Teachers!B88, 3)&amp;"-"&amp;LEFT(Teachers!A88, 3)&amp;"-"&amp;"2026"</f>
        <v>UID-NWF---2026</v>
      </c>
      <c r="C83" s="48">
        <f>Teachers!C88</f>
        <v>0</v>
      </c>
      <c r="D83" s="48" t="b">
        <f t="shared" si="6"/>
        <v>0</v>
      </c>
      <c r="E83" s="48">
        <f>Teachers!A88</f>
        <v>0</v>
      </c>
      <c r="F83" s="48">
        <f>Teachers!B88</f>
        <v>0</v>
      </c>
      <c r="G83" s="48" t="str">
        <f>Teachers!A88 &amp;" " &amp;Teachers!B88</f>
        <v xml:space="preserve"> </v>
      </c>
      <c r="J83" s="48">
        <f>Teachers!C88</f>
        <v>0</v>
      </c>
      <c r="K83" s="48" t="b">
        <f t="shared" si="7"/>
        <v>0</v>
      </c>
    </row>
    <row r="84" spans="1:11" x14ac:dyDescent="0.2">
      <c r="A8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","#",3))+1,1)&amp;"-"&amp;LEFT(Teachers!B89, 3)&amp;"-"&amp;LEFT(Teachers!A89, 3)&amp;"-"&amp;"2026"</f>
        <v>UID-NWF---2026</v>
      </c>
      <c r="C84" s="48">
        <f>Teachers!C89</f>
        <v>0</v>
      </c>
      <c r="D84" s="48" t="b">
        <f t="shared" si="6"/>
        <v>0</v>
      </c>
      <c r="E84" s="48">
        <f>Teachers!A89</f>
        <v>0</v>
      </c>
      <c r="F84" s="48">
        <f>Teachers!B89</f>
        <v>0</v>
      </c>
      <c r="G84" s="48" t="str">
        <f>Teachers!A89 &amp;" " &amp;Teachers!B89</f>
        <v xml:space="preserve"> </v>
      </c>
      <c r="J84" s="48">
        <f>Teachers!C89</f>
        <v>0</v>
      </c>
      <c r="K84" s="48" t="b">
        <f t="shared" si="7"/>
        <v>0</v>
      </c>
    </row>
    <row r="85" spans="1:11" x14ac:dyDescent="0.2">
      <c r="A8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","#",3))+1,1)&amp;"-"&amp;LEFT(Teachers!B90, 3)&amp;"-"&amp;LEFT(Teachers!A90, 3)&amp;"-"&amp;"2026"</f>
        <v>UID-NWF---2026</v>
      </c>
      <c r="C85" s="48">
        <f>Teachers!C90</f>
        <v>0</v>
      </c>
      <c r="D85" s="48" t="b">
        <f t="shared" si="6"/>
        <v>0</v>
      </c>
      <c r="E85" s="48">
        <f>Teachers!A90</f>
        <v>0</v>
      </c>
      <c r="F85" s="48">
        <f>Teachers!B90</f>
        <v>0</v>
      </c>
      <c r="G85" s="48" t="str">
        <f>Teachers!A90 &amp;" " &amp;Teachers!B90</f>
        <v xml:space="preserve"> </v>
      </c>
      <c r="J85" s="48">
        <f>Teachers!C90</f>
        <v>0</v>
      </c>
      <c r="K85" s="48" t="b">
        <f t="shared" si="7"/>
        <v>0</v>
      </c>
    </row>
    <row r="86" spans="1:11" x14ac:dyDescent="0.2">
      <c r="A8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","#",3))+1,1)&amp;"-"&amp;LEFT(Teachers!B91, 3)&amp;"-"&amp;LEFT(Teachers!A91, 3)&amp;"-"&amp;"2026"</f>
        <v>UID-NWF---2026</v>
      </c>
      <c r="C86" s="48">
        <f>Teachers!C91</f>
        <v>0</v>
      </c>
      <c r="D86" s="48" t="b">
        <f t="shared" si="6"/>
        <v>0</v>
      </c>
      <c r="E86" s="48">
        <f>Teachers!A91</f>
        <v>0</v>
      </c>
      <c r="F86" s="48">
        <f>Teachers!B91</f>
        <v>0</v>
      </c>
      <c r="G86" s="48" t="str">
        <f>Teachers!A91 &amp;" " &amp;Teachers!B91</f>
        <v xml:space="preserve"> </v>
      </c>
      <c r="J86" s="48">
        <f>Teachers!C91</f>
        <v>0</v>
      </c>
      <c r="K86" s="48" t="b">
        <f t="shared" si="7"/>
        <v>0</v>
      </c>
    </row>
    <row r="87" spans="1:11" x14ac:dyDescent="0.2">
      <c r="A8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","#",3))+1,1)&amp;"-"&amp;LEFT(Teachers!B92, 3)&amp;"-"&amp;LEFT(Teachers!A92, 3)&amp;"-"&amp;"2026"</f>
        <v>UID-NWF---2026</v>
      </c>
      <c r="C87" s="48">
        <f>Teachers!C92</f>
        <v>0</v>
      </c>
      <c r="D87" s="48" t="b">
        <f t="shared" si="6"/>
        <v>0</v>
      </c>
      <c r="E87" s="48">
        <f>Teachers!A92</f>
        <v>0</v>
      </c>
      <c r="F87" s="48">
        <f>Teachers!B92</f>
        <v>0</v>
      </c>
      <c r="G87" s="48" t="str">
        <f>Teachers!A92 &amp;" " &amp;Teachers!B92</f>
        <v xml:space="preserve"> </v>
      </c>
      <c r="J87" s="48">
        <f>Teachers!C92</f>
        <v>0</v>
      </c>
      <c r="K87" s="48" t="b">
        <f t="shared" si="7"/>
        <v>0</v>
      </c>
    </row>
    <row r="88" spans="1:11" x14ac:dyDescent="0.2">
      <c r="A8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","#",3))+1,1)&amp;"-"&amp;LEFT(Teachers!B93, 3)&amp;"-"&amp;LEFT(Teachers!A93, 3)&amp;"-"&amp;"2026"</f>
        <v>UID-NWF---2026</v>
      </c>
      <c r="C88" s="48">
        <f>Teachers!C93</f>
        <v>0</v>
      </c>
      <c r="D88" s="48" t="b">
        <f t="shared" si="6"/>
        <v>0</v>
      </c>
      <c r="E88" s="48">
        <f>Teachers!A93</f>
        <v>0</v>
      </c>
      <c r="F88" s="48">
        <f>Teachers!B93</f>
        <v>0</v>
      </c>
      <c r="G88" s="48" t="str">
        <f>Teachers!A93 &amp;" " &amp;Teachers!B93</f>
        <v xml:space="preserve"> </v>
      </c>
      <c r="J88" s="48">
        <f>Teachers!C93</f>
        <v>0</v>
      </c>
      <c r="K88" s="48" t="b">
        <f t="shared" si="7"/>
        <v>0</v>
      </c>
    </row>
    <row r="89" spans="1:11" x14ac:dyDescent="0.2">
      <c r="A8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","#",3))+1,1)&amp;"-"&amp;LEFT(Teachers!B94, 3)&amp;"-"&amp;LEFT(Teachers!A94, 3)&amp;"-"&amp;"2026"</f>
        <v>UID-NWF---2026</v>
      </c>
      <c r="C89" s="48">
        <f>Teachers!C94</f>
        <v>0</v>
      </c>
      <c r="D89" s="48" t="b">
        <f t="shared" si="6"/>
        <v>0</v>
      </c>
      <c r="E89" s="48">
        <f>Teachers!A94</f>
        <v>0</v>
      </c>
      <c r="F89" s="48">
        <f>Teachers!B94</f>
        <v>0</v>
      </c>
      <c r="G89" s="48" t="str">
        <f>Teachers!A94 &amp;" " &amp;Teachers!B94</f>
        <v xml:space="preserve"> </v>
      </c>
      <c r="J89" s="48">
        <f>Teachers!C94</f>
        <v>0</v>
      </c>
      <c r="K89" s="48" t="b">
        <f t="shared" si="7"/>
        <v>0</v>
      </c>
    </row>
    <row r="90" spans="1:11" x14ac:dyDescent="0.2">
      <c r="A9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","#",3))+1,1)&amp;"-"&amp;LEFT(Teachers!B95, 3)&amp;"-"&amp;LEFT(Teachers!A95, 3)&amp;"-"&amp;"2026"</f>
        <v>UID-NWF---2026</v>
      </c>
      <c r="C90" s="48">
        <f>Teachers!C95</f>
        <v>0</v>
      </c>
      <c r="D90" s="48" t="b">
        <f t="shared" si="6"/>
        <v>0</v>
      </c>
      <c r="E90" s="48">
        <f>Teachers!A95</f>
        <v>0</v>
      </c>
      <c r="F90" s="48">
        <f>Teachers!B95</f>
        <v>0</v>
      </c>
      <c r="G90" s="48" t="str">
        <f>Teachers!A95 &amp;" " &amp;Teachers!B95</f>
        <v xml:space="preserve"> </v>
      </c>
      <c r="J90" s="48">
        <f>Teachers!C95</f>
        <v>0</v>
      </c>
      <c r="K90" s="48" t="b">
        <f t="shared" si="7"/>
        <v>0</v>
      </c>
    </row>
    <row r="91" spans="1:11" x14ac:dyDescent="0.2">
      <c r="A9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","#",3))+1,1)&amp;"-"&amp;LEFT(Teachers!B96, 3)&amp;"-"&amp;LEFT(Teachers!A96, 3)&amp;"-"&amp;"2026"</f>
        <v>UID-NWF---2026</v>
      </c>
      <c r="C91" s="48">
        <f>Teachers!C96</f>
        <v>0</v>
      </c>
      <c r="D91" s="48" t="b">
        <f t="shared" si="6"/>
        <v>0</v>
      </c>
      <c r="E91" s="48">
        <f>Teachers!A96</f>
        <v>0</v>
      </c>
      <c r="F91" s="48">
        <f>Teachers!B96</f>
        <v>0</v>
      </c>
      <c r="G91" s="48" t="str">
        <f>Teachers!A96 &amp;" " &amp;Teachers!B96</f>
        <v xml:space="preserve"> </v>
      </c>
      <c r="J91" s="48">
        <f>Teachers!C96</f>
        <v>0</v>
      </c>
      <c r="K91" s="48" t="b">
        <f t="shared" si="7"/>
        <v>0</v>
      </c>
    </row>
    <row r="92" spans="1:11" x14ac:dyDescent="0.2">
      <c r="A9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","#",3))+1,1)&amp;"-"&amp;LEFT(Teachers!B97, 3)&amp;"-"&amp;LEFT(Teachers!A97, 3)&amp;"-"&amp;"2026"</f>
        <v>UID-NWF---2026</v>
      </c>
      <c r="C92" s="48">
        <f>Teachers!C97</f>
        <v>0</v>
      </c>
      <c r="D92" s="48" t="b">
        <f t="shared" si="6"/>
        <v>0</v>
      </c>
      <c r="E92" s="48">
        <f>Teachers!A97</f>
        <v>0</v>
      </c>
      <c r="F92" s="48">
        <f>Teachers!B97</f>
        <v>0</v>
      </c>
      <c r="G92" s="48" t="str">
        <f>Teachers!A97 &amp;" " &amp;Teachers!B97</f>
        <v xml:space="preserve"> </v>
      </c>
      <c r="J92" s="48">
        <f>Teachers!C97</f>
        <v>0</v>
      </c>
      <c r="K92" s="48" t="b">
        <f t="shared" si="7"/>
        <v>0</v>
      </c>
    </row>
    <row r="93" spans="1:11" x14ac:dyDescent="0.2">
      <c r="A9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","#",3))+1,1)&amp;"-"&amp;LEFT(Teachers!B98, 3)&amp;"-"&amp;LEFT(Teachers!A98, 3)&amp;"-"&amp;"2026"</f>
        <v>UID-NWF---2026</v>
      </c>
      <c r="C93" s="48">
        <f>Teachers!C98</f>
        <v>0</v>
      </c>
      <c r="D93" s="48" t="b">
        <f t="shared" si="6"/>
        <v>0</v>
      </c>
      <c r="E93" s="48">
        <f>Teachers!A98</f>
        <v>0</v>
      </c>
      <c r="F93" s="48">
        <f>Teachers!B98</f>
        <v>0</v>
      </c>
      <c r="G93" s="48" t="str">
        <f>Teachers!A98 &amp;" " &amp;Teachers!B98</f>
        <v xml:space="preserve"> </v>
      </c>
      <c r="J93" s="48">
        <f>Teachers!C98</f>
        <v>0</v>
      </c>
      <c r="K93" s="48" t="b">
        <f t="shared" si="7"/>
        <v>0</v>
      </c>
    </row>
    <row r="94" spans="1:11" x14ac:dyDescent="0.2">
      <c r="A9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","#",3))+1,1)&amp;"-"&amp;LEFT(Teachers!B99, 3)&amp;"-"&amp;LEFT(Teachers!A99, 3)&amp;"-"&amp;"2026"</f>
        <v>UID-NWF---2026</v>
      </c>
      <c r="C94" s="48">
        <f>Teachers!C99</f>
        <v>0</v>
      </c>
      <c r="D94" s="48" t="b">
        <f t="shared" si="6"/>
        <v>0</v>
      </c>
      <c r="E94" s="48">
        <f>Teachers!A99</f>
        <v>0</v>
      </c>
      <c r="F94" s="48">
        <f>Teachers!B99</f>
        <v>0</v>
      </c>
      <c r="G94" s="48" t="str">
        <f>Teachers!A99 &amp;" " &amp;Teachers!B99</f>
        <v xml:space="preserve"> </v>
      </c>
      <c r="J94" s="48">
        <f>Teachers!C99</f>
        <v>0</v>
      </c>
      <c r="K94" s="48" t="b">
        <f t="shared" si="7"/>
        <v>0</v>
      </c>
    </row>
    <row r="95" spans="1:11" x14ac:dyDescent="0.2">
      <c r="A9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","#",3))+1,1)&amp;"-"&amp;LEFT(Teachers!B100, 3)&amp;"-"&amp;LEFT(Teachers!A100, 3)&amp;"-"&amp;"2026"</f>
        <v>UID-NWF---2026</v>
      </c>
      <c r="C95" s="48">
        <f>Teachers!C100</f>
        <v>0</v>
      </c>
      <c r="D95" s="48" t="b">
        <f t="shared" si="6"/>
        <v>0</v>
      </c>
      <c r="E95" s="48">
        <f>Teachers!A100</f>
        <v>0</v>
      </c>
      <c r="F95" s="48">
        <f>Teachers!B100</f>
        <v>0</v>
      </c>
      <c r="G95" s="48" t="str">
        <f>Teachers!A100 &amp;" " &amp;Teachers!B100</f>
        <v xml:space="preserve"> </v>
      </c>
      <c r="J95" s="48">
        <f>Teachers!C100</f>
        <v>0</v>
      </c>
      <c r="K95" s="48" t="b">
        <f t="shared" si="7"/>
        <v>0</v>
      </c>
    </row>
    <row r="96" spans="1:11" x14ac:dyDescent="0.2">
      <c r="A9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","#",3))+1,1)&amp;"-"&amp;LEFT(Teachers!B101, 3)&amp;"-"&amp;LEFT(Teachers!A101, 3)&amp;"-"&amp;"2026"</f>
        <v>UID-NWF---2026</v>
      </c>
      <c r="C96" s="48">
        <f>Teachers!C101</f>
        <v>0</v>
      </c>
      <c r="D96" s="48" t="b">
        <f t="shared" si="6"/>
        <v>0</v>
      </c>
      <c r="E96" s="48">
        <f>Teachers!A101</f>
        <v>0</v>
      </c>
      <c r="F96" s="48">
        <f>Teachers!B101</f>
        <v>0</v>
      </c>
      <c r="G96" s="48" t="str">
        <f>Teachers!A101 &amp;" " &amp;Teachers!B101</f>
        <v xml:space="preserve"> </v>
      </c>
      <c r="J96" s="48">
        <f>Teachers!C101</f>
        <v>0</v>
      </c>
      <c r="K96" s="48" t="b">
        <f t="shared" si="7"/>
        <v>0</v>
      </c>
    </row>
    <row r="97" spans="1:11" x14ac:dyDescent="0.2">
      <c r="A9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","#",3))+1,1)&amp;"-"&amp;LEFT(Teachers!B102, 3)&amp;"-"&amp;LEFT(Teachers!A102, 3)&amp;"-"&amp;"2026"</f>
        <v>UID-NWF---2026</v>
      </c>
      <c r="C97" s="48">
        <f>Teachers!C102</f>
        <v>0</v>
      </c>
      <c r="D97" s="48" t="b">
        <f t="shared" si="6"/>
        <v>0</v>
      </c>
      <c r="E97" s="48">
        <f>Teachers!A102</f>
        <v>0</v>
      </c>
      <c r="F97" s="48">
        <f>Teachers!B102</f>
        <v>0</v>
      </c>
      <c r="G97" s="48" t="str">
        <f>Teachers!A102 &amp;" " &amp;Teachers!B102</f>
        <v xml:space="preserve"> </v>
      </c>
      <c r="J97" s="48">
        <f>Teachers!C102</f>
        <v>0</v>
      </c>
      <c r="K97" s="48" t="b">
        <f t="shared" si="7"/>
        <v>0</v>
      </c>
    </row>
    <row r="98" spans="1:11" x14ac:dyDescent="0.2">
      <c r="A9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","#",3))+1,1)&amp;"-"&amp;LEFT(Teachers!B103, 3)&amp;"-"&amp;LEFT(Teachers!A103, 3)&amp;"-"&amp;"2026"</f>
        <v>UID-NWF---2026</v>
      </c>
      <c r="C98" s="48">
        <f>Teachers!C103</f>
        <v>0</v>
      </c>
      <c r="D98" s="48" t="b">
        <f t="shared" si="6"/>
        <v>0</v>
      </c>
      <c r="E98" s="48">
        <f>Teachers!A103</f>
        <v>0</v>
      </c>
      <c r="F98" s="48">
        <f>Teachers!B103</f>
        <v>0</v>
      </c>
      <c r="G98" s="48" t="str">
        <f>Teachers!A103 &amp;" " &amp;Teachers!B103</f>
        <v xml:space="preserve"> </v>
      </c>
      <c r="J98" s="48">
        <f>Teachers!C103</f>
        <v>0</v>
      </c>
      <c r="K98" s="48" t="b">
        <f t="shared" si="7"/>
        <v>0</v>
      </c>
    </row>
    <row r="99" spans="1:11" x14ac:dyDescent="0.2">
      <c r="A9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","#",3))+1,1)&amp;"-"&amp;LEFT(Teachers!B104, 3)&amp;"-"&amp;LEFT(Teachers!A104, 3)&amp;"-"&amp;"2026"</f>
        <v>UID-NWF---2026</v>
      </c>
      <c r="C99" s="48">
        <f>Teachers!C104</f>
        <v>0</v>
      </c>
      <c r="D99" s="48" t="b">
        <f t="shared" si="6"/>
        <v>0</v>
      </c>
      <c r="E99" s="48">
        <f>Teachers!A104</f>
        <v>0</v>
      </c>
      <c r="F99" s="48">
        <f>Teachers!B104</f>
        <v>0</v>
      </c>
      <c r="G99" s="48" t="str">
        <f>Teachers!A104 &amp;" " &amp;Teachers!B104</f>
        <v xml:space="preserve"> </v>
      </c>
      <c r="J99" s="48">
        <f>Teachers!C104</f>
        <v>0</v>
      </c>
      <c r="K99" s="48" t="b">
        <f t="shared" si="7"/>
        <v>0</v>
      </c>
    </row>
    <row r="100" spans="1:11" x14ac:dyDescent="0.2">
      <c r="A10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","#",3))+1,1)&amp;"-"&amp;LEFT(Teachers!B105, 3)&amp;"-"&amp;LEFT(Teachers!A105, 3)&amp;"-"&amp;"2026"</f>
        <v>UID-NWF---2026</v>
      </c>
      <c r="C100" s="48">
        <f>Teachers!C105</f>
        <v>0</v>
      </c>
      <c r="D100" s="48" t="b">
        <f t="shared" si="6"/>
        <v>0</v>
      </c>
      <c r="E100" s="48">
        <f>Teachers!A105</f>
        <v>0</v>
      </c>
      <c r="F100" s="48">
        <f>Teachers!B105</f>
        <v>0</v>
      </c>
      <c r="G100" s="48" t="str">
        <f>Teachers!A105 &amp;" " &amp;Teachers!B105</f>
        <v xml:space="preserve"> </v>
      </c>
      <c r="J100" s="48">
        <f>Teachers!C105</f>
        <v>0</v>
      </c>
      <c r="K100" s="48" t="b">
        <f t="shared" si="7"/>
        <v>0</v>
      </c>
    </row>
    <row r="101" spans="1:11" x14ac:dyDescent="0.2">
      <c r="A10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","#",3))+1,1)&amp;"-"&amp;LEFT(Teachers!B106, 3)&amp;"-"&amp;LEFT(Teachers!A106, 3)&amp;"-"&amp;"2026"</f>
        <v>UID-NWF---2026</v>
      </c>
      <c r="C101" s="48">
        <f>Teachers!C106</f>
        <v>0</v>
      </c>
      <c r="D101" s="48" t="b">
        <f t="shared" ref="D101:D164" si="8">IF(C101&gt;0,"topscore123")</f>
        <v>0</v>
      </c>
      <c r="E101" s="48">
        <f>Teachers!A106</f>
        <v>0</v>
      </c>
      <c r="F101" s="48">
        <f>Teachers!B106</f>
        <v>0</v>
      </c>
      <c r="G101" s="48" t="str">
        <f>Teachers!A106 &amp;" " &amp;Teachers!B106</f>
        <v xml:space="preserve"> </v>
      </c>
      <c r="J101" s="48">
        <f>Teachers!C106</f>
        <v>0</v>
      </c>
      <c r="K101" s="48" t="b">
        <f t="shared" ref="K101:K164" si="9">IF(C101&gt;0,"active")</f>
        <v>0</v>
      </c>
    </row>
    <row r="102" spans="1:11" x14ac:dyDescent="0.2">
      <c r="A10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","#",3))+1,1)&amp;"-"&amp;LEFT(Teachers!B107, 3)&amp;"-"&amp;LEFT(Teachers!A107, 3)&amp;"-"&amp;"2026"</f>
        <v>UID-NWF---2026</v>
      </c>
      <c r="C102" s="48">
        <f>Teachers!C107</f>
        <v>0</v>
      </c>
      <c r="D102" s="48" t="b">
        <f t="shared" si="8"/>
        <v>0</v>
      </c>
      <c r="E102" s="48">
        <f>Teachers!A107</f>
        <v>0</v>
      </c>
      <c r="F102" s="48">
        <f>Teachers!B107</f>
        <v>0</v>
      </c>
      <c r="G102" s="48" t="str">
        <f>Teachers!A107 &amp;" " &amp;Teachers!B107</f>
        <v xml:space="preserve"> </v>
      </c>
      <c r="J102" s="48">
        <f>Teachers!C107</f>
        <v>0</v>
      </c>
      <c r="K102" s="48" t="b">
        <f t="shared" si="9"/>
        <v>0</v>
      </c>
    </row>
    <row r="103" spans="1:11" x14ac:dyDescent="0.2">
      <c r="A10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","#",3))+1,1)&amp;"-"&amp;LEFT(Teachers!B108, 3)&amp;"-"&amp;LEFT(Teachers!A108, 3)&amp;"-"&amp;"2026"</f>
        <v>UID-NWF---2026</v>
      </c>
      <c r="C103" s="48">
        <f>Teachers!C108</f>
        <v>0</v>
      </c>
      <c r="D103" s="48" t="b">
        <f t="shared" si="8"/>
        <v>0</v>
      </c>
      <c r="E103" s="48">
        <f>Teachers!A108</f>
        <v>0</v>
      </c>
      <c r="F103" s="48">
        <f>Teachers!B108</f>
        <v>0</v>
      </c>
      <c r="G103" s="48" t="str">
        <f>Teachers!A108 &amp;" " &amp;Teachers!B108</f>
        <v xml:space="preserve"> </v>
      </c>
      <c r="J103" s="48">
        <f>Teachers!C108</f>
        <v>0</v>
      </c>
      <c r="K103" s="48" t="b">
        <f t="shared" si="9"/>
        <v>0</v>
      </c>
    </row>
    <row r="104" spans="1:11" x14ac:dyDescent="0.2">
      <c r="A10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","#",3))+1,1)&amp;"-"&amp;LEFT(Teachers!B109, 3)&amp;"-"&amp;LEFT(Teachers!A109, 3)&amp;"-"&amp;"2026"</f>
        <v>UID-NWF---2026</v>
      </c>
      <c r="C104" s="48">
        <f>Teachers!C109</f>
        <v>0</v>
      </c>
      <c r="D104" s="48" t="b">
        <f t="shared" si="8"/>
        <v>0</v>
      </c>
      <c r="E104" s="48">
        <f>Teachers!A109</f>
        <v>0</v>
      </c>
      <c r="F104" s="48">
        <f>Teachers!B109</f>
        <v>0</v>
      </c>
      <c r="G104" s="48" t="str">
        <f>Teachers!A109 &amp;" " &amp;Teachers!B109</f>
        <v xml:space="preserve"> </v>
      </c>
      <c r="J104" s="48">
        <f>Teachers!C109</f>
        <v>0</v>
      </c>
      <c r="K104" s="48" t="b">
        <f t="shared" si="9"/>
        <v>0</v>
      </c>
    </row>
    <row r="105" spans="1:11" x14ac:dyDescent="0.2">
      <c r="A10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","#",3))+1,1)&amp;"-"&amp;LEFT(Teachers!B110, 3)&amp;"-"&amp;LEFT(Teachers!A110, 3)&amp;"-"&amp;"2026"</f>
        <v>UID-NWF---2026</v>
      </c>
      <c r="C105" s="48">
        <f>Teachers!C110</f>
        <v>0</v>
      </c>
      <c r="D105" s="48" t="b">
        <f t="shared" si="8"/>
        <v>0</v>
      </c>
      <c r="E105" s="48">
        <f>Teachers!A110</f>
        <v>0</v>
      </c>
      <c r="F105" s="48">
        <f>Teachers!B110</f>
        <v>0</v>
      </c>
      <c r="G105" s="48" t="str">
        <f>Teachers!A110 &amp;" " &amp;Teachers!B110</f>
        <v xml:space="preserve"> </v>
      </c>
      <c r="J105" s="48">
        <f>Teachers!C110</f>
        <v>0</v>
      </c>
      <c r="K105" s="48" t="b">
        <f t="shared" si="9"/>
        <v>0</v>
      </c>
    </row>
    <row r="106" spans="1:11" x14ac:dyDescent="0.2">
      <c r="A10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","#",3))+1,1)&amp;"-"&amp;LEFT(Teachers!B111, 3)&amp;"-"&amp;LEFT(Teachers!A111, 3)&amp;"-"&amp;"2026"</f>
        <v>UID-NWF---2026</v>
      </c>
      <c r="C106" s="48">
        <f>Teachers!C111</f>
        <v>0</v>
      </c>
      <c r="D106" s="48" t="b">
        <f t="shared" si="8"/>
        <v>0</v>
      </c>
      <c r="E106" s="48">
        <f>Teachers!A111</f>
        <v>0</v>
      </c>
      <c r="F106" s="48">
        <f>Teachers!B111</f>
        <v>0</v>
      </c>
      <c r="G106" s="48" t="str">
        <f>Teachers!A111 &amp;" " &amp;Teachers!B111</f>
        <v xml:space="preserve"> </v>
      </c>
      <c r="J106" s="48">
        <f>Teachers!C111</f>
        <v>0</v>
      </c>
      <c r="K106" s="48" t="b">
        <f t="shared" si="9"/>
        <v>0</v>
      </c>
    </row>
    <row r="107" spans="1:11" x14ac:dyDescent="0.2">
      <c r="A10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","#",3))+1,1)&amp;"-"&amp;LEFT(Teachers!B112, 3)&amp;"-"&amp;LEFT(Teachers!A112, 3)&amp;"-"&amp;"2026"</f>
        <v>UID-NWF---2026</v>
      </c>
      <c r="C107" s="48">
        <f>Teachers!C112</f>
        <v>0</v>
      </c>
      <c r="D107" s="48" t="b">
        <f t="shared" si="8"/>
        <v>0</v>
      </c>
      <c r="E107" s="48">
        <f>Teachers!A112</f>
        <v>0</v>
      </c>
      <c r="F107" s="48">
        <f>Teachers!B112</f>
        <v>0</v>
      </c>
      <c r="G107" s="48" t="str">
        <f>Teachers!A112 &amp;" " &amp;Teachers!B112</f>
        <v xml:space="preserve"> </v>
      </c>
      <c r="J107" s="48">
        <f>Teachers!C112</f>
        <v>0</v>
      </c>
      <c r="K107" s="48" t="b">
        <f t="shared" si="9"/>
        <v>0</v>
      </c>
    </row>
    <row r="108" spans="1:11" x14ac:dyDescent="0.2">
      <c r="A10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","#",3))+1,1)&amp;"-"&amp;LEFT(Teachers!B113, 3)&amp;"-"&amp;LEFT(Teachers!A113, 3)&amp;"-"&amp;"2026"</f>
        <v>UID-NWF---2026</v>
      </c>
      <c r="C108" s="48">
        <f>Teachers!C113</f>
        <v>0</v>
      </c>
      <c r="D108" s="48" t="b">
        <f t="shared" si="8"/>
        <v>0</v>
      </c>
      <c r="E108" s="48">
        <f>Teachers!A113</f>
        <v>0</v>
      </c>
      <c r="F108" s="48">
        <f>Teachers!B113</f>
        <v>0</v>
      </c>
      <c r="G108" s="48" t="str">
        <f>Teachers!A113 &amp;" " &amp;Teachers!B113</f>
        <v xml:space="preserve"> </v>
      </c>
      <c r="J108" s="48">
        <f>Teachers!C113</f>
        <v>0</v>
      </c>
      <c r="K108" s="48" t="b">
        <f t="shared" si="9"/>
        <v>0</v>
      </c>
    </row>
    <row r="109" spans="1:11" x14ac:dyDescent="0.2">
      <c r="A10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","#",3))+1,1)&amp;"-"&amp;LEFT(Teachers!B114, 3)&amp;"-"&amp;LEFT(Teachers!A114, 3)&amp;"-"&amp;"2026"</f>
        <v>UID-NWF---2026</v>
      </c>
      <c r="C109" s="48">
        <f>Teachers!C114</f>
        <v>0</v>
      </c>
      <c r="D109" s="48" t="b">
        <f t="shared" si="8"/>
        <v>0</v>
      </c>
      <c r="E109" s="48">
        <f>Teachers!A114</f>
        <v>0</v>
      </c>
      <c r="F109" s="48">
        <f>Teachers!B114</f>
        <v>0</v>
      </c>
      <c r="G109" s="48" t="str">
        <f>Teachers!A114 &amp;" " &amp;Teachers!B114</f>
        <v xml:space="preserve"> </v>
      </c>
      <c r="J109" s="48">
        <f>Teachers!C114</f>
        <v>0</v>
      </c>
      <c r="K109" s="48" t="b">
        <f t="shared" si="9"/>
        <v>0</v>
      </c>
    </row>
    <row r="110" spans="1:11" x14ac:dyDescent="0.2">
      <c r="A11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","#",3))+1,1)&amp;"-"&amp;LEFT(Teachers!B115, 3)&amp;"-"&amp;LEFT(Teachers!A115, 3)&amp;"-"&amp;"2026"</f>
        <v>UID-NWF---2026</v>
      </c>
      <c r="C110" s="48">
        <f>Teachers!C115</f>
        <v>0</v>
      </c>
      <c r="D110" s="48" t="b">
        <f t="shared" si="8"/>
        <v>0</v>
      </c>
      <c r="E110" s="48">
        <f>Teachers!A115</f>
        <v>0</v>
      </c>
      <c r="F110" s="48">
        <f>Teachers!B115</f>
        <v>0</v>
      </c>
      <c r="G110" s="48" t="str">
        <f>Teachers!A115 &amp;" " &amp;Teachers!B115</f>
        <v xml:space="preserve"> </v>
      </c>
      <c r="J110" s="48">
        <f>Teachers!C115</f>
        <v>0</v>
      </c>
      <c r="K110" s="48" t="b">
        <f t="shared" si="9"/>
        <v>0</v>
      </c>
    </row>
    <row r="111" spans="1:11" x14ac:dyDescent="0.2">
      <c r="A11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","#",3))+1,1)&amp;"-"&amp;LEFT(Teachers!B116, 3)&amp;"-"&amp;LEFT(Teachers!A116, 3)&amp;"-"&amp;"2026"</f>
        <v>UID-NWF---2026</v>
      </c>
      <c r="C111" s="48">
        <f>Teachers!C116</f>
        <v>0</v>
      </c>
      <c r="D111" s="48" t="b">
        <f t="shared" si="8"/>
        <v>0</v>
      </c>
      <c r="E111" s="48">
        <f>Teachers!A116</f>
        <v>0</v>
      </c>
      <c r="F111" s="48">
        <f>Teachers!B116</f>
        <v>0</v>
      </c>
      <c r="G111" s="48" t="str">
        <f>Teachers!A116 &amp;" " &amp;Teachers!B116</f>
        <v xml:space="preserve"> </v>
      </c>
      <c r="J111" s="48">
        <f>Teachers!C116</f>
        <v>0</v>
      </c>
      <c r="K111" s="48" t="b">
        <f t="shared" si="9"/>
        <v>0</v>
      </c>
    </row>
    <row r="112" spans="1:11" x14ac:dyDescent="0.2">
      <c r="A11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","#",3))+1,1)&amp;"-"&amp;LEFT(Teachers!B117, 3)&amp;"-"&amp;LEFT(Teachers!A117, 3)&amp;"-"&amp;"2026"</f>
        <v>UID-NWF---2026</v>
      </c>
      <c r="C112" s="48">
        <f>Teachers!C117</f>
        <v>0</v>
      </c>
      <c r="D112" s="48" t="b">
        <f t="shared" si="8"/>
        <v>0</v>
      </c>
      <c r="E112" s="48">
        <f>Teachers!A117</f>
        <v>0</v>
      </c>
      <c r="F112" s="48">
        <f>Teachers!B117</f>
        <v>0</v>
      </c>
      <c r="G112" s="48" t="str">
        <f>Teachers!A117 &amp;" " &amp;Teachers!B117</f>
        <v xml:space="preserve"> </v>
      </c>
      <c r="J112" s="48">
        <f>Teachers!C117</f>
        <v>0</v>
      </c>
      <c r="K112" s="48" t="b">
        <f t="shared" si="9"/>
        <v>0</v>
      </c>
    </row>
    <row r="113" spans="1:11" x14ac:dyDescent="0.2">
      <c r="A11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","#",3))+1,1)&amp;"-"&amp;LEFT(Teachers!B118, 3)&amp;"-"&amp;LEFT(Teachers!A118, 3)&amp;"-"&amp;"2026"</f>
        <v>UID-NWF---2026</v>
      </c>
      <c r="C113" s="48">
        <f>Teachers!C118</f>
        <v>0</v>
      </c>
      <c r="D113" s="48" t="b">
        <f t="shared" si="8"/>
        <v>0</v>
      </c>
      <c r="E113" s="48">
        <f>Teachers!A118</f>
        <v>0</v>
      </c>
      <c r="F113" s="48">
        <f>Teachers!B118</f>
        <v>0</v>
      </c>
      <c r="G113" s="48" t="str">
        <f>Teachers!A118 &amp;" " &amp;Teachers!B118</f>
        <v xml:space="preserve"> </v>
      </c>
      <c r="J113" s="48">
        <f>Teachers!C118</f>
        <v>0</v>
      </c>
      <c r="K113" s="48" t="b">
        <f t="shared" si="9"/>
        <v>0</v>
      </c>
    </row>
    <row r="114" spans="1:11" x14ac:dyDescent="0.2">
      <c r="A11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","#",3))+1,1)&amp;"-"&amp;LEFT(Teachers!B119, 3)&amp;"-"&amp;LEFT(Teachers!A119, 3)&amp;"-"&amp;"2026"</f>
        <v>UID-NWF---2026</v>
      </c>
      <c r="C114" s="48">
        <f>Teachers!C119</f>
        <v>0</v>
      </c>
      <c r="D114" s="48" t="b">
        <f t="shared" si="8"/>
        <v>0</v>
      </c>
      <c r="E114" s="48">
        <f>Teachers!A119</f>
        <v>0</v>
      </c>
      <c r="F114" s="48">
        <f>Teachers!B119</f>
        <v>0</v>
      </c>
      <c r="G114" s="48" t="str">
        <f>Teachers!A119 &amp;" " &amp;Teachers!B119</f>
        <v xml:space="preserve"> </v>
      </c>
      <c r="J114" s="48">
        <f>Teachers!C119</f>
        <v>0</v>
      </c>
      <c r="K114" s="48" t="b">
        <f t="shared" si="9"/>
        <v>0</v>
      </c>
    </row>
    <row r="115" spans="1:11" x14ac:dyDescent="0.2">
      <c r="A11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","#",3))+1,1)&amp;"-"&amp;LEFT(Teachers!B120, 3)&amp;"-"&amp;LEFT(Teachers!A120, 3)&amp;"-"&amp;"2026"</f>
        <v>UID-NWF---2026</v>
      </c>
      <c r="C115" s="48">
        <f>Teachers!C120</f>
        <v>0</v>
      </c>
      <c r="D115" s="48" t="b">
        <f t="shared" si="8"/>
        <v>0</v>
      </c>
      <c r="E115" s="48">
        <f>Teachers!A120</f>
        <v>0</v>
      </c>
      <c r="F115" s="48">
        <f>Teachers!B120</f>
        <v>0</v>
      </c>
      <c r="G115" s="48" t="str">
        <f>Teachers!A120 &amp;" " &amp;Teachers!B120</f>
        <v xml:space="preserve"> </v>
      </c>
      <c r="J115" s="48">
        <f>Teachers!C120</f>
        <v>0</v>
      </c>
      <c r="K115" s="48" t="b">
        <f t="shared" si="9"/>
        <v>0</v>
      </c>
    </row>
    <row r="116" spans="1:11" x14ac:dyDescent="0.2">
      <c r="A11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","#",3))+1,1)&amp;"-"&amp;LEFT(Teachers!B121, 3)&amp;"-"&amp;LEFT(Teachers!A121, 3)&amp;"-"&amp;"2026"</f>
        <v>UID-NWF---2026</v>
      </c>
      <c r="C116" s="48">
        <f>Teachers!C121</f>
        <v>0</v>
      </c>
      <c r="D116" s="48" t="b">
        <f t="shared" si="8"/>
        <v>0</v>
      </c>
      <c r="E116" s="48">
        <f>Teachers!A121</f>
        <v>0</v>
      </c>
      <c r="F116" s="48">
        <f>Teachers!B121</f>
        <v>0</v>
      </c>
      <c r="G116" s="48" t="str">
        <f>Teachers!A121 &amp;" " &amp;Teachers!B121</f>
        <v xml:space="preserve"> </v>
      </c>
      <c r="J116" s="48">
        <f>Teachers!C121</f>
        <v>0</v>
      </c>
      <c r="K116" s="48" t="b">
        <f t="shared" si="9"/>
        <v>0</v>
      </c>
    </row>
    <row r="117" spans="1:11" x14ac:dyDescent="0.2">
      <c r="A11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","#",3))+1,1)&amp;"-"&amp;LEFT(Teachers!B122, 3)&amp;"-"&amp;LEFT(Teachers!A122, 3)&amp;"-"&amp;"2026"</f>
        <v>UID-NWF---2026</v>
      </c>
      <c r="C117" s="48">
        <f>Teachers!C122</f>
        <v>0</v>
      </c>
      <c r="D117" s="48" t="b">
        <f t="shared" si="8"/>
        <v>0</v>
      </c>
      <c r="E117" s="48">
        <f>Teachers!A122</f>
        <v>0</v>
      </c>
      <c r="F117" s="48">
        <f>Teachers!B122</f>
        <v>0</v>
      </c>
      <c r="G117" s="48" t="str">
        <f>Teachers!A122 &amp;" " &amp;Teachers!B122</f>
        <v xml:space="preserve"> </v>
      </c>
      <c r="J117" s="48">
        <f>Teachers!C122</f>
        <v>0</v>
      </c>
      <c r="K117" s="48" t="b">
        <f t="shared" si="9"/>
        <v>0</v>
      </c>
    </row>
    <row r="118" spans="1:11" x14ac:dyDescent="0.2">
      <c r="A11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","#",3))+1,1)&amp;"-"&amp;LEFT(Teachers!B123, 3)&amp;"-"&amp;LEFT(Teachers!A123, 3)&amp;"-"&amp;"2026"</f>
        <v>UID-NWF---2026</v>
      </c>
      <c r="C118" s="48">
        <f>Teachers!C123</f>
        <v>0</v>
      </c>
      <c r="D118" s="48" t="b">
        <f t="shared" si="8"/>
        <v>0</v>
      </c>
      <c r="E118" s="48">
        <f>Teachers!A123</f>
        <v>0</v>
      </c>
      <c r="F118" s="48">
        <f>Teachers!B123</f>
        <v>0</v>
      </c>
      <c r="G118" s="48" t="str">
        <f>Teachers!A123 &amp;" " &amp;Teachers!B123</f>
        <v xml:space="preserve"> </v>
      </c>
      <c r="J118" s="48">
        <f>Teachers!C123</f>
        <v>0</v>
      </c>
      <c r="K118" s="48" t="b">
        <f t="shared" si="9"/>
        <v>0</v>
      </c>
    </row>
    <row r="119" spans="1:11" x14ac:dyDescent="0.2">
      <c r="A11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","#",3))+1,1)&amp;"-"&amp;LEFT(Teachers!B124, 3)&amp;"-"&amp;LEFT(Teachers!A124, 3)&amp;"-"&amp;"2026"</f>
        <v>UID-NWF---2026</v>
      </c>
      <c r="C119" s="48">
        <f>Teachers!C124</f>
        <v>0</v>
      </c>
      <c r="D119" s="48" t="b">
        <f t="shared" si="8"/>
        <v>0</v>
      </c>
      <c r="E119" s="48">
        <f>Teachers!A124</f>
        <v>0</v>
      </c>
      <c r="F119" s="48">
        <f>Teachers!B124</f>
        <v>0</v>
      </c>
      <c r="G119" s="48" t="str">
        <f>Teachers!A124 &amp;" " &amp;Teachers!B124</f>
        <v xml:space="preserve"> </v>
      </c>
      <c r="J119" s="48">
        <f>Teachers!C124</f>
        <v>0</v>
      </c>
      <c r="K119" s="48" t="b">
        <f t="shared" si="9"/>
        <v>0</v>
      </c>
    </row>
    <row r="120" spans="1:11" x14ac:dyDescent="0.2">
      <c r="A12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","#",3))+1,1)&amp;"-"&amp;LEFT(Teachers!B125, 3)&amp;"-"&amp;LEFT(Teachers!A125, 3)&amp;"-"&amp;"2026"</f>
        <v>UID-NWF---2026</v>
      </c>
      <c r="C120" s="48">
        <f>Teachers!C125</f>
        <v>0</v>
      </c>
      <c r="D120" s="48" t="b">
        <f t="shared" si="8"/>
        <v>0</v>
      </c>
      <c r="E120" s="48">
        <f>Teachers!A125</f>
        <v>0</v>
      </c>
      <c r="F120" s="48">
        <f>Teachers!B125</f>
        <v>0</v>
      </c>
      <c r="G120" s="48" t="str">
        <f>Teachers!A125 &amp;" " &amp;Teachers!B125</f>
        <v xml:space="preserve"> </v>
      </c>
      <c r="J120" s="48">
        <f>Teachers!C125</f>
        <v>0</v>
      </c>
      <c r="K120" s="48" t="b">
        <f t="shared" si="9"/>
        <v>0</v>
      </c>
    </row>
    <row r="121" spans="1:11" x14ac:dyDescent="0.2">
      <c r="A12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","#",3))+1,1)&amp;"-"&amp;LEFT(Teachers!B126, 3)&amp;"-"&amp;LEFT(Teachers!A126, 3)&amp;"-"&amp;"2026"</f>
        <v>UID-NWF---2026</v>
      </c>
      <c r="C121" s="48">
        <f>Teachers!C126</f>
        <v>0</v>
      </c>
      <c r="D121" s="48" t="b">
        <f t="shared" si="8"/>
        <v>0</v>
      </c>
      <c r="E121" s="48">
        <f>Teachers!A126</f>
        <v>0</v>
      </c>
      <c r="F121" s="48">
        <f>Teachers!B126</f>
        <v>0</v>
      </c>
      <c r="G121" s="48" t="str">
        <f>Teachers!A126 &amp;" " &amp;Teachers!B126</f>
        <v xml:space="preserve"> </v>
      </c>
      <c r="J121" s="48">
        <f>Teachers!C126</f>
        <v>0</v>
      </c>
      <c r="K121" s="48" t="b">
        <f t="shared" si="9"/>
        <v>0</v>
      </c>
    </row>
    <row r="122" spans="1:11" x14ac:dyDescent="0.2">
      <c r="A12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","#",3))+1,1)&amp;"-"&amp;LEFT(Teachers!B127, 3)&amp;"-"&amp;LEFT(Teachers!A127, 3)&amp;"-"&amp;"2026"</f>
        <v>UID-NWF---2026</v>
      </c>
      <c r="C122" s="48">
        <f>Teachers!C127</f>
        <v>0</v>
      </c>
      <c r="D122" s="48" t="b">
        <f t="shared" si="8"/>
        <v>0</v>
      </c>
      <c r="E122" s="48">
        <f>Teachers!A127</f>
        <v>0</v>
      </c>
      <c r="F122" s="48">
        <f>Teachers!B127</f>
        <v>0</v>
      </c>
      <c r="G122" s="48" t="str">
        <f>Teachers!A127 &amp;" " &amp;Teachers!B127</f>
        <v xml:space="preserve"> </v>
      </c>
      <c r="J122" s="48">
        <f>Teachers!C127</f>
        <v>0</v>
      </c>
      <c r="K122" s="48" t="b">
        <f t="shared" si="9"/>
        <v>0</v>
      </c>
    </row>
    <row r="123" spans="1:11" x14ac:dyDescent="0.2">
      <c r="A12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","#",3))+1,1)&amp;"-"&amp;LEFT(Teachers!B128, 3)&amp;"-"&amp;LEFT(Teachers!A128, 3)&amp;"-"&amp;"2026"</f>
        <v>UID-NWF---2026</v>
      </c>
      <c r="C123" s="48">
        <f>Teachers!C128</f>
        <v>0</v>
      </c>
      <c r="D123" s="48" t="b">
        <f t="shared" si="8"/>
        <v>0</v>
      </c>
      <c r="E123" s="48">
        <f>Teachers!A128</f>
        <v>0</v>
      </c>
      <c r="F123" s="48">
        <f>Teachers!B128</f>
        <v>0</v>
      </c>
      <c r="G123" s="48" t="str">
        <f>Teachers!A128 &amp;" " &amp;Teachers!B128</f>
        <v xml:space="preserve"> </v>
      </c>
      <c r="J123" s="48">
        <f>Teachers!C128</f>
        <v>0</v>
      </c>
      <c r="K123" s="48" t="b">
        <f t="shared" si="9"/>
        <v>0</v>
      </c>
    </row>
    <row r="124" spans="1:11" x14ac:dyDescent="0.2">
      <c r="A12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","#",3))+1,1)&amp;"-"&amp;LEFT(Teachers!B129, 3)&amp;"-"&amp;LEFT(Teachers!A129, 3)&amp;"-"&amp;"2026"</f>
        <v>UID-NWF---2026</v>
      </c>
      <c r="C124" s="48">
        <f>Teachers!C129</f>
        <v>0</v>
      </c>
      <c r="D124" s="48" t="b">
        <f t="shared" si="8"/>
        <v>0</v>
      </c>
      <c r="E124" s="48">
        <f>Teachers!A129</f>
        <v>0</v>
      </c>
      <c r="F124" s="48">
        <f>Teachers!B129</f>
        <v>0</v>
      </c>
      <c r="G124" s="48" t="str">
        <f>Teachers!A129 &amp;" " &amp;Teachers!B129</f>
        <v xml:space="preserve"> </v>
      </c>
      <c r="J124" s="48">
        <f>Teachers!C129</f>
        <v>0</v>
      </c>
      <c r="K124" s="48" t="b">
        <f t="shared" si="9"/>
        <v>0</v>
      </c>
    </row>
    <row r="125" spans="1:11" x14ac:dyDescent="0.2">
      <c r="A12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","#",3))+1,1)&amp;"-"&amp;LEFT(Teachers!B130, 3)&amp;"-"&amp;LEFT(Teachers!A130, 3)&amp;"-"&amp;"2026"</f>
        <v>UID-NWF---2026</v>
      </c>
      <c r="C125" s="48">
        <f>Teachers!C130</f>
        <v>0</v>
      </c>
      <c r="D125" s="48" t="b">
        <f t="shared" si="8"/>
        <v>0</v>
      </c>
      <c r="E125" s="48">
        <f>Teachers!A130</f>
        <v>0</v>
      </c>
      <c r="F125" s="48">
        <f>Teachers!B130</f>
        <v>0</v>
      </c>
      <c r="G125" s="48" t="str">
        <f>Teachers!A130 &amp;" " &amp;Teachers!B130</f>
        <v xml:space="preserve"> </v>
      </c>
      <c r="J125" s="48">
        <f>Teachers!C130</f>
        <v>0</v>
      </c>
      <c r="K125" s="48" t="b">
        <f t="shared" si="9"/>
        <v>0</v>
      </c>
    </row>
    <row r="126" spans="1:11" x14ac:dyDescent="0.2">
      <c r="A12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","#",3))+1,1)&amp;"-"&amp;LEFT(Teachers!B131, 3)&amp;"-"&amp;LEFT(Teachers!A131, 3)&amp;"-"&amp;"2026"</f>
        <v>UID-NWF---2026</v>
      </c>
      <c r="C126" s="48">
        <f>Teachers!C131</f>
        <v>0</v>
      </c>
      <c r="D126" s="48" t="b">
        <f t="shared" si="8"/>
        <v>0</v>
      </c>
      <c r="E126" s="48">
        <f>Teachers!A131</f>
        <v>0</v>
      </c>
      <c r="F126" s="48">
        <f>Teachers!B131</f>
        <v>0</v>
      </c>
      <c r="G126" s="48" t="str">
        <f>Teachers!A131 &amp;" " &amp;Teachers!B131</f>
        <v xml:space="preserve"> </v>
      </c>
      <c r="J126" s="48">
        <f>Teachers!C131</f>
        <v>0</v>
      </c>
      <c r="K126" s="48" t="b">
        <f t="shared" si="9"/>
        <v>0</v>
      </c>
    </row>
    <row r="127" spans="1:11" x14ac:dyDescent="0.2">
      <c r="A12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","#",3))+1,1)&amp;"-"&amp;LEFT(Teachers!B132, 3)&amp;"-"&amp;LEFT(Teachers!A132, 3)&amp;"-"&amp;"2026"</f>
        <v>UID-NWF---2026</v>
      </c>
      <c r="C127" s="48">
        <f>Teachers!C132</f>
        <v>0</v>
      </c>
      <c r="D127" s="48" t="b">
        <f t="shared" si="8"/>
        <v>0</v>
      </c>
      <c r="E127" s="48">
        <f>Teachers!A132</f>
        <v>0</v>
      </c>
      <c r="F127" s="48">
        <f>Teachers!B132</f>
        <v>0</v>
      </c>
      <c r="G127" s="48" t="str">
        <f>Teachers!A132 &amp;" " &amp;Teachers!B132</f>
        <v xml:space="preserve"> </v>
      </c>
      <c r="J127" s="48">
        <f>Teachers!C132</f>
        <v>0</v>
      </c>
      <c r="K127" s="48" t="b">
        <f t="shared" si="9"/>
        <v>0</v>
      </c>
    </row>
    <row r="128" spans="1:11" x14ac:dyDescent="0.2">
      <c r="A12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","#",3))+1,1)&amp;"-"&amp;LEFT(Teachers!B133, 3)&amp;"-"&amp;LEFT(Teachers!A133, 3)&amp;"-"&amp;"2026"</f>
        <v>UID-NWF---2026</v>
      </c>
      <c r="C128" s="48">
        <f>Teachers!C133</f>
        <v>0</v>
      </c>
      <c r="D128" s="48" t="b">
        <f t="shared" si="8"/>
        <v>0</v>
      </c>
      <c r="E128" s="48">
        <f>Teachers!A133</f>
        <v>0</v>
      </c>
      <c r="F128" s="48">
        <f>Teachers!B133</f>
        <v>0</v>
      </c>
      <c r="G128" s="48" t="str">
        <f>Teachers!A133 &amp;" " &amp;Teachers!B133</f>
        <v xml:space="preserve"> </v>
      </c>
      <c r="J128" s="48">
        <f>Teachers!C133</f>
        <v>0</v>
      </c>
      <c r="K128" s="48" t="b">
        <f t="shared" si="9"/>
        <v>0</v>
      </c>
    </row>
    <row r="129" spans="1:11" x14ac:dyDescent="0.2">
      <c r="A12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","#",3))+1,1)&amp;"-"&amp;LEFT(Teachers!B134, 3)&amp;"-"&amp;LEFT(Teachers!A134, 3)&amp;"-"&amp;"2026"</f>
        <v>UID-NWF---2026</v>
      </c>
      <c r="C129" s="48">
        <f>Teachers!C134</f>
        <v>0</v>
      </c>
      <c r="D129" s="48" t="b">
        <f t="shared" si="8"/>
        <v>0</v>
      </c>
      <c r="E129" s="48">
        <f>Teachers!A134</f>
        <v>0</v>
      </c>
      <c r="F129" s="48">
        <f>Teachers!B134</f>
        <v>0</v>
      </c>
      <c r="G129" s="48" t="str">
        <f>Teachers!A134 &amp;" " &amp;Teachers!B134</f>
        <v xml:space="preserve"> </v>
      </c>
      <c r="J129" s="48">
        <f>Teachers!C134</f>
        <v>0</v>
      </c>
      <c r="K129" s="48" t="b">
        <f t="shared" si="9"/>
        <v>0</v>
      </c>
    </row>
    <row r="130" spans="1:11" x14ac:dyDescent="0.2">
      <c r="A13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","#",3))+1,1)&amp;"-"&amp;LEFT(Teachers!B135, 3)&amp;"-"&amp;LEFT(Teachers!A135, 3)&amp;"-"&amp;"2026"</f>
        <v>UID-NWF---2026</v>
      </c>
      <c r="C130" s="48">
        <f>Teachers!C135</f>
        <v>0</v>
      </c>
      <c r="D130" s="48" t="b">
        <f t="shared" si="8"/>
        <v>0</v>
      </c>
      <c r="E130" s="48">
        <f>Teachers!A135</f>
        <v>0</v>
      </c>
      <c r="F130" s="48">
        <f>Teachers!B135</f>
        <v>0</v>
      </c>
      <c r="G130" s="48" t="str">
        <f>Teachers!A135 &amp;" " &amp;Teachers!B135</f>
        <v xml:space="preserve"> </v>
      </c>
      <c r="J130" s="48">
        <f>Teachers!C135</f>
        <v>0</v>
      </c>
      <c r="K130" s="48" t="b">
        <f t="shared" si="9"/>
        <v>0</v>
      </c>
    </row>
    <row r="131" spans="1:11" x14ac:dyDescent="0.2">
      <c r="A13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","#",3))+1,1)&amp;"-"&amp;LEFT(Teachers!B136, 3)&amp;"-"&amp;LEFT(Teachers!A136, 3)&amp;"-"&amp;"2026"</f>
        <v>UID-NWF---2026</v>
      </c>
      <c r="C131" s="48">
        <f>Teachers!C136</f>
        <v>0</v>
      </c>
      <c r="D131" s="48" t="b">
        <f t="shared" si="8"/>
        <v>0</v>
      </c>
      <c r="E131" s="48">
        <f>Teachers!A136</f>
        <v>0</v>
      </c>
      <c r="F131" s="48">
        <f>Teachers!B136</f>
        <v>0</v>
      </c>
      <c r="G131" s="48" t="str">
        <f>Teachers!A136 &amp;" " &amp;Teachers!B136</f>
        <v xml:space="preserve"> </v>
      </c>
      <c r="J131" s="48">
        <f>Teachers!C136</f>
        <v>0</v>
      </c>
      <c r="K131" s="48" t="b">
        <f t="shared" si="9"/>
        <v>0</v>
      </c>
    </row>
    <row r="132" spans="1:11" x14ac:dyDescent="0.2">
      <c r="A13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","#",3))+1,1)&amp;"-"&amp;LEFT(Teachers!B137, 3)&amp;"-"&amp;LEFT(Teachers!A137, 3)&amp;"-"&amp;"2026"</f>
        <v>UID-NWF---2026</v>
      </c>
      <c r="C132" s="48">
        <f>Teachers!C137</f>
        <v>0</v>
      </c>
      <c r="D132" s="48" t="b">
        <f t="shared" si="8"/>
        <v>0</v>
      </c>
      <c r="E132" s="48">
        <f>Teachers!A137</f>
        <v>0</v>
      </c>
      <c r="F132" s="48">
        <f>Teachers!B137</f>
        <v>0</v>
      </c>
      <c r="G132" s="48" t="str">
        <f>Teachers!A137 &amp;" " &amp;Teachers!B137</f>
        <v xml:space="preserve"> </v>
      </c>
      <c r="J132" s="48">
        <f>Teachers!C137</f>
        <v>0</v>
      </c>
      <c r="K132" s="48" t="b">
        <f t="shared" si="9"/>
        <v>0</v>
      </c>
    </row>
    <row r="133" spans="1:11" x14ac:dyDescent="0.2">
      <c r="A13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","#",3))+1,1)&amp;"-"&amp;LEFT(Teachers!B138, 3)&amp;"-"&amp;LEFT(Teachers!A138, 3)&amp;"-"&amp;"2026"</f>
        <v>UID-NWF---2026</v>
      </c>
      <c r="C133" s="48">
        <f>Teachers!C138</f>
        <v>0</v>
      </c>
      <c r="D133" s="48" t="b">
        <f t="shared" si="8"/>
        <v>0</v>
      </c>
      <c r="E133" s="48">
        <f>Teachers!A138</f>
        <v>0</v>
      </c>
      <c r="F133" s="48">
        <f>Teachers!B138</f>
        <v>0</v>
      </c>
      <c r="G133" s="48" t="str">
        <f>Teachers!A138 &amp;" " &amp;Teachers!B138</f>
        <v xml:space="preserve"> </v>
      </c>
      <c r="J133" s="48">
        <f>Teachers!C138</f>
        <v>0</v>
      </c>
      <c r="K133" s="48" t="b">
        <f t="shared" si="9"/>
        <v>0</v>
      </c>
    </row>
    <row r="134" spans="1:11" x14ac:dyDescent="0.2">
      <c r="A13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","#",3))+1,1)&amp;"-"&amp;LEFT(Teachers!B139, 3)&amp;"-"&amp;LEFT(Teachers!A139, 3)&amp;"-"&amp;"2026"</f>
        <v>UID-NWF---2026</v>
      </c>
      <c r="C134" s="48">
        <f>Teachers!C139</f>
        <v>0</v>
      </c>
      <c r="D134" s="48" t="b">
        <f t="shared" si="8"/>
        <v>0</v>
      </c>
      <c r="E134" s="48">
        <f>Teachers!A139</f>
        <v>0</v>
      </c>
      <c r="F134" s="48">
        <f>Teachers!B139</f>
        <v>0</v>
      </c>
      <c r="G134" s="48" t="str">
        <f>Teachers!A139 &amp;" " &amp;Teachers!B139</f>
        <v xml:space="preserve"> </v>
      </c>
      <c r="J134" s="48">
        <f>Teachers!C139</f>
        <v>0</v>
      </c>
      <c r="K134" s="48" t="b">
        <f t="shared" si="9"/>
        <v>0</v>
      </c>
    </row>
    <row r="135" spans="1:11" x14ac:dyDescent="0.2">
      <c r="A13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","#",3))+1,1)&amp;"-"&amp;LEFT(Teachers!B140, 3)&amp;"-"&amp;LEFT(Teachers!A140, 3)&amp;"-"&amp;"2026"</f>
        <v>UID-NWF---2026</v>
      </c>
      <c r="C135" s="48">
        <f>Teachers!C140</f>
        <v>0</v>
      </c>
      <c r="D135" s="48" t="b">
        <f t="shared" si="8"/>
        <v>0</v>
      </c>
      <c r="E135" s="48">
        <f>Teachers!A140</f>
        <v>0</v>
      </c>
      <c r="F135" s="48">
        <f>Teachers!B140</f>
        <v>0</v>
      </c>
      <c r="G135" s="48" t="str">
        <f>Teachers!A140 &amp;" " &amp;Teachers!B140</f>
        <v xml:space="preserve"> </v>
      </c>
      <c r="J135" s="48">
        <f>Teachers!C140</f>
        <v>0</v>
      </c>
      <c r="K135" s="48" t="b">
        <f t="shared" si="9"/>
        <v>0</v>
      </c>
    </row>
    <row r="136" spans="1:11" x14ac:dyDescent="0.2">
      <c r="A13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","#",3))+1,1)&amp;"-"&amp;LEFT(Teachers!B141, 3)&amp;"-"&amp;LEFT(Teachers!A141, 3)&amp;"-"&amp;"2026"</f>
        <v>UID-NWF---2026</v>
      </c>
      <c r="C136" s="48">
        <f>Teachers!C141</f>
        <v>0</v>
      </c>
      <c r="D136" s="48" t="b">
        <f t="shared" si="8"/>
        <v>0</v>
      </c>
      <c r="E136" s="48">
        <f>Teachers!A141</f>
        <v>0</v>
      </c>
      <c r="F136" s="48">
        <f>Teachers!B141</f>
        <v>0</v>
      </c>
      <c r="G136" s="48" t="str">
        <f>Teachers!A141 &amp;" " &amp;Teachers!B141</f>
        <v xml:space="preserve"> </v>
      </c>
      <c r="J136" s="48">
        <f>Teachers!C141</f>
        <v>0</v>
      </c>
      <c r="K136" s="48" t="b">
        <f t="shared" si="9"/>
        <v>0</v>
      </c>
    </row>
    <row r="137" spans="1:11" x14ac:dyDescent="0.2">
      <c r="A13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","#",3))+1,1)&amp;"-"&amp;LEFT(Teachers!B142, 3)&amp;"-"&amp;LEFT(Teachers!A142, 3)&amp;"-"&amp;"2026"</f>
        <v>UID-NWF---2026</v>
      </c>
      <c r="C137" s="48">
        <f>Teachers!C142</f>
        <v>0</v>
      </c>
      <c r="D137" s="48" t="b">
        <f t="shared" si="8"/>
        <v>0</v>
      </c>
      <c r="E137" s="48">
        <f>Teachers!A142</f>
        <v>0</v>
      </c>
      <c r="F137" s="48">
        <f>Teachers!B142</f>
        <v>0</v>
      </c>
      <c r="G137" s="48" t="str">
        <f>Teachers!A142 &amp;" " &amp;Teachers!B142</f>
        <v xml:space="preserve"> </v>
      </c>
      <c r="J137" s="48">
        <f>Teachers!C142</f>
        <v>0</v>
      </c>
      <c r="K137" s="48" t="b">
        <f t="shared" si="9"/>
        <v>0</v>
      </c>
    </row>
    <row r="138" spans="1:11" x14ac:dyDescent="0.2">
      <c r="A13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","#",3))+1,1)&amp;"-"&amp;LEFT(Teachers!B143, 3)&amp;"-"&amp;LEFT(Teachers!A143, 3)&amp;"-"&amp;"2026"</f>
        <v>UID-NWF---2026</v>
      </c>
      <c r="C138" s="48">
        <f>Teachers!C143</f>
        <v>0</v>
      </c>
      <c r="D138" s="48" t="b">
        <f t="shared" si="8"/>
        <v>0</v>
      </c>
      <c r="E138" s="48">
        <f>Teachers!A143</f>
        <v>0</v>
      </c>
      <c r="F138" s="48">
        <f>Teachers!B143</f>
        <v>0</v>
      </c>
      <c r="G138" s="48" t="str">
        <f>Teachers!A143 &amp;" " &amp;Teachers!B143</f>
        <v xml:space="preserve"> </v>
      </c>
      <c r="J138" s="48">
        <f>Teachers!C143</f>
        <v>0</v>
      </c>
      <c r="K138" s="48" t="b">
        <f t="shared" si="9"/>
        <v>0</v>
      </c>
    </row>
    <row r="139" spans="1:11" x14ac:dyDescent="0.2">
      <c r="A13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","#",3))+1,1)&amp;"-"&amp;LEFT(Teachers!B144, 3)&amp;"-"&amp;LEFT(Teachers!A144, 3)&amp;"-"&amp;"2026"</f>
        <v>UID-NWF---2026</v>
      </c>
      <c r="C139" s="48">
        <f>Teachers!C144</f>
        <v>0</v>
      </c>
      <c r="D139" s="48" t="b">
        <f t="shared" si="8"/>
        <v>0</v>
      </c>
      <c r="E139" s="48">
        <f>Teachers!A144</f>
        <v>0</v>
      </c>
      <c r="F139" s="48">
        <f>Teachers!B144</f>
        <v>0</v>
      </c>
      <c r="G139" s="48" t="str">
        <f>Teachers!A144 &amp;" " &amp;Teachers!B144</f>
        <v xml:space="preserve"> </v>
      </c>
      <c r="J139" s="48">
        <f>Teachers!C144</f>
        <v>0</v>
      </c>
      <c r="K139" s="48" t="b">
        <f t="shared" si="9"/>
        <v>0</v>
      </c>
    </row>
    <row r="140" spans="1:11" x14ac:dyDescent="0.2">
      <c r="A14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","#",3))+1,1)&amp;"-"&amp;LEFT(Teachers!B145, 3)&amp;"-"&amp;LEFT(Teachers!A145, 3)&amp;"-"&amp;"2026"</f>
        <v>UID-NWF---2026</v>
      </c>
      <c r="C140" s="48">
        <f>Teachers!C145</f>
        <v>0</v>
      </c>
      <c r="D140" s="48" t="b">
        <f t="shared" si="8"/>
        <v>0</v>
      </c>
      <c r="E140" s="48">
        <f>Teachers!A145</f>
        <v>0</v>
      </c>
      <c r="F140" s="48">
        <f>Teachers!B145</f>
        <v>0</v>
      </c>
      <c r="G140" s="48" t="str">
        <f>Teachers!A145 &amp;" " &amp;Teachers!B145</f>
        <v xml:space="preserve"> </v>
      </c>
      <c r="J140" s="48">
        <f>Teachers!C145</f>
        <v>0</v>
      </c>
      <c r="K140" s="48" t="b">
        <f t="shared" si="9"/>
        <v>0</v>
      </c>
    </row>
    <row r="141" spans="1:11" x14ac:dyDescent="0.2">
      <c r="A14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","#",3))+1,1)&amp;"-"&amp;LEFT(Teachers!B146, 3)&amp;"-"&amp;LEFT(Teachers!A146, 3)&amp;"-"&amp;"2026"</f>
        <v>UID-NWF---2026</v>
      </c>
      <c r="C141" s="48">
        <f>Teachers!C146</f>
        <v>0</v>
      </c>
      <c r="D141" s="48" t="b">
        <f t="shared" si="8"/>
        <v>0</v>
      </c>
      <c r="E141" s="48">
        <f>Teachers!A146</f>
        <v>0</v>
      </c>
      <c r="F141" s="48">
        <f>Teachers!B146</f>
        <v>0</v>
      </c>
      <c r="G141" s="48" t="str">
        <f>Teachers!A146 &amp;" " &amp;Teachers!B146</f>
        <v xml:space="preserve"> </v>
      </c>
      <c r="J141" s="48">
        <f>Teachers!C146</f>
        <v>0</v>
      </c>
      <c r="K141" s="48" t="b">
        <f t="shared" si="9"/>
        <v>0</v>
      </c>
    </row>
    <row r="142" spans="1:11" x14ac:dyDescent="0.2">
      <c r="A14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","#",3))+1,1)&amp;"-"&amp;LEFT(Teachers!B147, 3)&amp;"-"&amp;LEFT(Teachers!A147, 3)&amp;"-"&amp;"2026"</f>
        <v>UID-NWF---2026</v>
      </c>
      <c r="C142" s="48">
        <f>Teachers!C147</f>
        <v>0</v>
      </c>
      <c r="D142" s="48" t="b">
        <f t="shared" si="8"/>
        <v>0</v>
      </c>
      <c r="E142" s="48">
        <f>Teachers!A147</f>
        <v>0</v>
      </c>
      <c r="F142" s="48">
        <f>Teachers!B147</f>
        <v>0</v>
      </c>
      <c r="G142" s="48" t="str">
        <f>Teachers!A147 &amp;" " &amp;Teachers!B147</f>
        <v xml:space="preserve"> </v>
      </c>
      <c r="J142" s="48">
        <f>Teachers!C147</f>
        <v>0</v>
      </c>
      <c r="K142" s="48" t="b">
        <f t="shared" si="9"/>
        <v>0</v>
      </c>
    </row>
    <row r="143" spans="1:11" x14ac:dyDescent="0.2">
      <c r="A14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","#",3))+1,1)&amp;"-"&amp;LEFT(Teachers!B148, 3)&amp;"-"&amp;LEFT(Teachers!A148, 3)&amp;"-"&amp;"2026"</f>
        <v>UID-NWF---2026</v>
      </c>
      <c r="C143" s="48">
        <f>Teachers!C148</f>
        <v>0</v>
      </c>
      <c r="D143" s="48" t="b">
        <f t="shared" si="8"/>
        <v>0</v>
      </c>
      <c r="E143" s="48">
        <f>Teachers!A148</f>
        <v>0</v>
      </c>
      <c r="F143" s="48">
        <f>Teachers!B148</f>
        <v>0</v>
      </c>
      <c r="G143" s="48" t="str">
        <f>Teachers!A148 &amp;" " &amp;Teachers!B148</f>
        <v xml:space="preserve"> </v>
      </c>
      <c r="J143" s="48">
        <f>Teachers!C148</f>
        <v>0</v>
      </c>
      <c r="K143" s="48" t="b">
        <f t="shared" si="9"/>
        <v>0</v>
      </c>
    </row>
    <row r="144" spans="1:11" x14ac:dyDescent="0.2">
      <c r="A14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","#",3))+1,1)&amp;"-"&amp;LEFT(Teachers!B149, 3)&amp;"-"&amp;LEFT(Teachers!A149, 3)&amp;"-"&amp;"2026"</f>
        <v>UID-NWF---2026</v>
      </c>
      <c r="C144" s="48">
        <f>Teachers!C149</f>
        <v>0</v>
      </c>
      <c r="D144" s="48" t="b">
        <f t="shared" si="8"/>
        <v>0</v>
      </c>
      <c r="E144" s="48">
        <f>Teachers!A149</f>
        <v>0</v>
      </c>
      <c r="F144" s="48">
        <f>Teachers!B149</f>
        <v>0</v>
      </c>
      <c r="G144" s="48" t="str">
        <f>Teachers!A149 &amp;" " &amp;Teachers!B149</f>
        <v xml:space="preserve"> </v>
      </c>
      <c r="J144" s="48">
        <f>Teachers!C149</f>
        <v>0</v>
      </c>
      <c r="K144" s="48" t="b">
        <f t="shared" si="9"/>
        <v>0</v>
      </c>
    </row>
    <row r="145" spans="1:11" x14ac:dyDescent="0.2">
      <c r="A14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","#",3))+1,1)&amp;"-"&amp;LEFT(Teachers!B150, 3)&amp;"-"&amp;LEFT(Teachers!A150, 3)&amp;"-"&amp;"2026"</f>
        <v>UID-NWF---2026</v>
      </c>
      <c r="C145" s="48">
        <f>Teachers!C150</f>
        <v>0</v>
      </c>
      <c r="D145" s="48" t="b">
        <f t="shared" si="8"/>
        <v>0</v>
      </c>
      <c r="E145" s="48">
        <f>Teachers!A150</f>
        <v>0</v>
      </c>
      <c r="F145" s="48">
        <f>Teachers!B150</f>
        <v>0</v>
      </c>
      <c r="G145" s="48" t="str">
        <f>Teachers!A150 &amp;" " &amp;Teachers!B150</f>
        <v xml:space="preserve"> </v>
      </c>
      <c r="J145" s="48">
        <f>Teachers!C150</f>
        <v>0</v>
      </c>
      <c r="K145" s="48" t="b">
        <f t="shared" si="9"/>
        <v>0</v>
      </c>
    </row>
    <row r="146" spans="1:11" x14ac:dyDescent="0.2">
      <c r="A14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","#",3))+1,1)&amp;"-"&amp;LEFT(Teachers!B151, 3)&amp;"-"&amp;LEFT(Teachers!A151, 3)&amp;"-"&amp;"2026"</f>
        <v>UID-NWF---2026</v>
      </c>
      <c r="C146" s="48">
        <f>Teachers!C151</f>
        <v>0</v>
      </c>
      <c r="D146" s="48" t="b">
        <f t="shared" si="8"/>
        <v>0</v>
      </c>
      <c r="E146" s="48">
        <f>Teachers!A151</f>
        <v>0</v>
      </c>
      <c r="F146" s="48">
        <f>Teachers!B151</f>
        <v>0</v>
      </c>
      <c r="G146" s="48" t="str">
        <f>Teachers!A151 &amp;" " &amp;Teachers!B151</f>
        <v xml:space="preserve"> </v>
      </c>
      <c r="J146" s="48">
        <f>Teachers!C151</f>
        <v>0</v>
      </c>
      <c r="K146" s="48" t="b">
        <f t="shared" si="9"/>
        <v>0</v>
      </c>
    </row>
    <row r="147" spans="1:11" x14ac:dyDescent="0.2">
      <c r="A14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","#",3))+1,1)&amp;"-"&amp;LEFT(Teachers!B152, 3)&amp;"-"&amp;LEFT(Teachers!A152, 3)&amp;"-"&amp;"2026"</f>
        <v>UID-NWF---2026</v>
      </c>
      <c r="C147" s="48">
        <f>Teachers!C152</f>
        <v>0</v>
      </c>
      <c r="D147" s="48" t="b">
        <f t="shared" si="8"/>
        <v>0</v>
      </c>
      <c r="E147" s="48">
        <f>Teachers!A152</f>
        <v>0</v>
      </c>
      <c r="F147" s="48">
        <f>Teachers!B152</f>
        <v>0</v>
      </c>
      <c r="G147" s="48" t="str">
        <f>Teachers!A152 &amp;" " &amp;Teachers!B152</f>
        <v xml:space="preserve"> </v>
      </c>
      <c r="J147" s="48">
        <f>Teachers!C152</f>
        <v>0</v>
      </c>
      <c r="K147" s="48" t="b">
        <f t="shared" si="9"/>
        <v>0</v>
      </c>
    </row>
    <row r="148" spans="1:11" x14ac:dyDescent="0.2">
      <c r="A14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","#",3))+1,1)&amp;"-"&amp;LEFT(Teachers!B153, 3)&amp;"-"&amp;LEFT(Teachers!A153, 3)&amp;"-"&amp;"2026"</f>
        <v>UID-NWF---2026</v>
      </c>
      <c r="C148" s="48">
        <f>Teachers!C153</f>
        <v>0</v>
      </c>
      <c r="D148" s="48" t="b">
        <f t="shared" si="8"/>
        <v>0</v>
      </c>
      <c r="E148" s="48">
        <f>Teachers!A153</f>
        <v>0</v>
      </c>
      <c r="F148" s="48">
        <f>Teachers!B153</f>
        <v>0</v>
      </c>
      <c r="G148" s="48" t="str">
        <f>Teachers!A153 &amp;" " &amp;Teachers!B153</f>
        <v xml:space="preserve"> </v>
      </c>
      <c r="J148" s="48">
        <f>Teachers!C153</f>
        <v>0</v>
      </c>
      <c r="K148" s="48" t="b">
        <f t="shared" si="9"/>
        <v>0</v>
      </c>
    </row>
    <row r="149" spans="1:11" x14ac:dyDescent="0.2">
      <c r="A14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","#",3))+1,1)&amp;"-"&amp;LEFT(Teachers!B154, 3)&amp;"-"&amp;LEFT(Teachers!A154, 3)&amp;"-"&amp;"2026"</f>
        <v>UID-NWF---2026</v>
      </c>
      <c r="C149" s="48">
        <f>Teachers!C154</f>
        <v>0</v>
      </c>
      <c r="D149" s="48" t="b">
        <f t="shared" si="8"/>
        <v>0</v>
      </c>
      <c r="E149" s="48">
        <f>Teachers!A154</f>
        <v>0</v>
      </c>
      <c r="F149" s="48">
        <f>Teachers!B154</f>
        <v>0</v>
      </c>
      <c r="G149" s="48" t="str">
        <f>Teachers!A154 &amp;" " &amp;Teachers!B154</f>
        <v xml:space="preserve"> </v>
      </c>
      <c r="J149" s="48">
        <f>Teachers!C154</f>
        <v>0</v>
      </c>
      <c r="K149" s="48" t="b">
        <f t="shared" si="9"/>
        <v>0</v>
      </c>
    </row>
    <row r="150" spans="1:11" x14ac:dyDescent="0.2">
      <c r="A15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","#",3))+1,1)&amp;"-"&amp;LEFT(Teachers!B155, 3)&amp;"-"&amp;LEFT(Teachers!A155, 3)&amp;"-"&amp;"2026"</f>
        <v>UID-NWF---2026</v>
      </c>
      <c r="C150" s="48">
        <f>Teachers!C155</f>
        <v>0</v>
      </c>
      <c r="D150" s="48" t="b">
        <f t="shared" si="8"/>
        <v>0</v>
      </c>
      <c r="E150" s="48">
        <f>Teachers!A155</f>
        <v>0</v>
      </c>
      <c r="F150" s="48">
        <f>Teachers!B155</f>
        <v>0</v>
      </c>
      <c r="G150" s="48" t="str">
        <f>Teachers!A155 &amp;" " &amp;Teachers!B155</f>
        <v xml:space="preserve"> </v>
      </c>
      <c r="J150" s="48">
        <f>Teachers!C155</f>
        <v>0</v>
      </c>
      <c r="K150" s="48" t="b">
        <f t="shared" si="9"/>
        <v>0</v>
      </c>
    </row>
    <row r="151" spans="1:11" x14ac:dyDescent="0.2">
      <c r="A15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","#",3))+1,1)&amp;"-"&amp;LEFT(Teachers!B156, 3)&amp;"-"&amp;LEFT(Teachers!A156, 3)&amp;"-"&amp;"2026"</f>
        <v>UID-NWF---2026</v>
      </c>
      <c r="C151" s="48">
        <f>Teachers!C156</f>
        <v>0</v>
      </c>
      <c r="D151" s="48" t="b">
        <f t="shared" si="8"/>
        <v>0</v>
      </c>
      <c r="E151" s="48">
        <f>Teachers!A156</f>
        <v>0</v>
      </c>
      <c r="F151" s="48">
        <f>Teachers!B156</f>
        <v>0</v>
      </c>
      <c r="G151" s="48" t="str">
        <f>Teachers!A156 &amp;" " &amp;Teachers!B156</f>
        <v xml:space="preserve"> </v>
      </c>
      <c r="J151" s="48">
        <f>Teachers!C156</f>
        <v>0</v>
      </c>
      <c r="K151" s="48" t="b">
        <f t="shared" si="9"/>
        <v>0</v>
      </c>
    </row>
    <row r="152" spans="1:11" x14ac:dyDescent="0.2">
      <c r="A15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","#",3))+1,1)&amp;"-"&amp;LEFT(Teachers!B157, 3)&amp;"-"&amp;LEFT(Teachers!A157, 3)&amp;"-"&amp;"2026"</f>
        <v>UID-NWF---2026</v>
      </c>
      <c r="C152" s="48">
        <f>Teachers!C157</f>
        <v>0</v>
      </c>
      <c r="D152" s="48" t="b">
        <f t="shared" si="8"/>
        <v>0</v>
      </c>
      <c r="E152" s="48">
        <f>Teachers!A157</f>
        <v>0</v>
      </c>
      <c r="F152" s="48">
        <f>Teachers!B157</f>
        <v>0</v>
      </c>
      <c r="G152" s="48" t="str">
        <f>Teachers!A157 &amp;" " &amp;Teachers!B157</f>
        <v xml:space="preserve"> </v>
      </c>
      <c r="J152" s="48">
        <f>Teachers!C157</f>
        <v>0</v>
      </c>
      <c r="K152" s="48" t="b">
        <f t="shared" si="9"/>
        <v>0</v>
      </c>
    </row>
    <row r="153" spans="1:11" x14ac:dyDescent="0.2">
      <c r="A15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","#",3))+1,1)&amp;"-"&amp;LEFT(Teachers!B158, 3)&amp;"-"&amp;LEFT(Teachers!A158, 3)&amp;"-"&amp;"2026"</f>
        <v>UID-NWF---2026</v>
      </c>
      <c r="C153" s="48">
        <f>Teachers!C158</f>
        <v>0</v>
      </c>
      <c r="D153" s="48" t="b">
        <f t="shared" si="8"/>
        <v>0</v>
      </c>
      <c r="E153" s="48">
        <f>Teachers!A158</f>
        <v>0</v>
      </c>
      <c r="F153" s="48">
        <f>Teachers!B158</f>
        <v>0</v>
      </c>
      <c r="G153" s="48" t="str">
        <f>Teachers!A158 &amp;" " &amp;Teachers!B158</f>
        <v xml:space="preserve"> </v>
      </c>
      <c r="J153" s="48">
        <f>Teachers!C158</f>
        <v>0</v>
      </c>
      <c r="K153" s="48" t="b">
        <f t="shared" si="9"/>
        <v>0</v>
      </c>
    </row>
    <row r="154" spans="1:11" x14ac:dyDescent="0.2">
      <c r="A15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","#",3))+1,1)&amp;"-"&amp;LEFT(Teachers!B159, 3)&amp;"-"&amp;LEFT(Teachers!A159, 3)&amp;"-"&amp;"2026"</f>
        <v>UID-NWF---2026</v>
      </c>
      <c r="C154" s="48">
        <f>Teachers!C159</f>
        <v>0</v>
      </c>
      <c r="D154" s="48" t="b">
        <f t="shared" si="8"/>
        <v>0</v>
      </c>
      <c r="E154" s="48">
        <f>Teachers!A159</f>
        <v>0</v>
      </c>
      <c r="F154" s="48">
        <f>Teachers!B159</f>
        <v>0</v>
      </c>
      <c r="G154" s="48" t="str">
        <f>Teachers!A159 &amp;" " &amp;Teachers!B159</f>
        <v xml:space="preserve"> </v>
      </c>
      <c r="J154" s="48">
        <f>Teachers!C159</f>
        <v>0</v>
      </c>
      <c r="K154" s="48" t="b">
        <f t="shared" si="9"/>
        <v>0</v>
      </c>
    </row>
    <row r="155" spans="1:11" x14ac:dyDescent="0.2">
      <c r="A15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","#",3))+1,1)&amp;"-"&amp;LEFT(Teachers!B160, 3)&amp;"-"&amp;LEFT(Teachers!A160, 3)&amp;"-"&amp;"2026"</f>
        <v>UID-NWF---2026</v>
      </c>
      <c r="C155" s="48">
        <f>Teachers!C160</f>
        <v>0</v>
      </c>
      <c r="D155" s="48" t="b">
        <f t="shared" si="8"/>
        <v>0</v>
      </c>
      <c r="E155" s="48">
        <f>Teachers!A160</f>
        <v>0</v>
      </c>
      <c r="F155" s="48">
        <f>Teachers!B160</f>
        <v>0</v>
      </c>
      <c r="G155" s="48" t="str">
        <f>Teachers!A160 &amp;" " &amp;Teachers!B160</f>
        <v xml:space="preserve"> </v>
      </c>
      <c r="J155" s="48">
        <f>Teachers!C160</f>
        <v>0</v>
      </c>
      <c r="K155" s="48" t="b">
        <f t="shared" si="9"/>
        <v>0</v>
      </c>
    </row>
    <row r="156" spans="1:11" x14ac:dyDescent="0.2">
      <c r="A15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","#",3))+1,1)&amp;"-"&amp;LEFT(Teachers!B161, 3)&amp;"-"&amp;LEFT(Teachers!A161, 3)&amp;"-"&amp;"2026"</f>
        <v>UID-NWF---2026</v>
      </c>
      <c r="C156" s="48">
        <f>Teachers!C161</f>
        <v>0</v>
      </c>
      <c r="D156" s="48" t="b">
        <f t="shared" si="8"/>
        <v>0</v>
      </c>
      <c r="E156" s="48">
        <f>Teachers!A161</f>
        <v>0</v>
      </c>
      <c r="F156" s="48">
        <f>Teachers!B161</f>
        <v>0</v>
      </c>
      <c r="G156" s="48" t="str">
        <f>Teachers!A161 &amp;" " &amp;Teachers!B161</f>
        <v xml:space="preserve"> </v>
      </c>
      <c r="J156" s="48">
        <f>Teachers!C161</f>
        <v>0</v>
      </c>
      <c r="K156" s="48" t="b">
        <f t="shared" si="9"/>
        <v>0</v>
      </c>
    </row>
    <row r="157" spans="1:11" x14ac:dyDescent="0.2">
      <c r="A15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","#",3))+1,1)&amp;"-"&amp;LEFT(Teachers!B162, 3)&amp;"-"&amp;LEFT(Teachers!A162, 3)&amp;"-"&amp;"2026"</f>
        <v>UID-NWF---2026</v>
      </c>
      <c r="C157" s="48">
        <f>Teachers!C162</f>
        <v>0</v>
      </c>
      <c r="D157" s="48" t="b">
        <f t="shared" si="8"/>
        <v>0</v>
      </c>
      <c r="E157" s="48">
        <f>Teachers!A162</f>
        <v>0</v>
      </c>
      <c r="F157" s="48">
        <f>Teachers!B162</f>
        <v>0</v>
      </c>
      <c r="G157" s="48" t="str">
        <f>Teachers!A162 &amp;" " &amp;Teachers!B162</f>
        <v xml:space="preserve"> </v>
      </c>
      <c r="J157" s="48">
        <f>Teachers!C162</f>
        <v>0</v>
      </c>
      <c r="K157" s="48" t="b">
        <f t="shared" si="9"/>
        <v>0</v>
      </c>
    </row>
    <row r="158" spans="1:11" x14ac:dyDescent="0.2">
      <c r="A15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","#",3))+1,1)&amp;"-"&amp;LEFT(Teachers!B163, 3)&amp;"-"&amp;LEFT(Teachers!A163, 3)&amp;"-"&amp;"2026"</f>
        <v>UID-NWF---2026</v>
      </c>
      <c r="C158" s="48">
        <f>Teachers!C163</f>
        <v>0</v>
      </c>
      <c r="D158" s="48" t="b">
        <f t="shared" si="8"/>
        <v>0</v>
      </c>
      <c r="E158" s="48">
        <f>Teachers!A163</f>
        <v>0</v>
      </c>
      <c r="F158" s="48">
        <f>Teachers!B163</f>
        <v>0</v>
      </c>
      <c r="G158" s="48" t="str">
        <f>Teachers!A163 &amp;" " &amp;Teachers!B163</f>
        <v xml:space="preserve"> </v>
      </c>
      <c r="J158" s="48">
        <f>Teachers!C163</f>
        <v>0</v>
      </c>
      <c r="K158" s="48" t="b">
        <f t="shared" si="9"/>
        <v>0</v>
      </c>
    </row>
    <row r="159" spans="1:11" x14ac:dyDescent="0.2">
      <c r="A15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","#",3))+1,1)&amp;"-"&amp;LEFT(Teachers!B164, 3)&amp;"-"&amp;LEFT(Teachers!A164, 3)&amp;"-"&amp;"2026"</f>
        <v>UID-NWF---2026</v>
      </c>
      <c r="C159" s="48">
        <f>Teachers!C164</f>
        <v>0</v>
      </c>
      <c r="D159" s="48" t="b">
        <f t="shared" si="8"/>
        <v>0</v>
      </c>
      <c r="E159" s="48">
        <f>Teachers!A164</f>
        <v>0</v>
      </c>
      <c r="F159" s="48">
        <f>Teachers!B164</f>
        <v>0</v>
      </c>
      <c r="G159" s="48" t="str">
        <f>Teachers!A164 &amp;" " &amp;Teachers!B164</f>
        <v xml:space="preserve"> </v>
      </c>
      <c r="J159" s="48">
        <f>Teachers!C164</f>
        <v>0</v>
      </c>
      <c r="K159" s="48" t="b">
        <f t="shared" si="9"/>
        <v>0</v>
      </c>
    </row>
    <row r="160" spans="1:11" x14ac:dyDescent="0.2">
      <c r="A16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","#",3))+1,1)&amp;"-"&amp;LEFT(Teachers!B165, 3)&amp;"-"&amp;LEFT(Teachers!A165, 3)&amp;"-"&amp;"2026"</f>
        <v>UID-NWF---2026</v>
      </c>
      <c r="C160" s="48">
        <f>Teachers!C165</f>
        <v>0</v>
      </c>
      <c r="D160" s="48" t="b">
        <f t="shared" si="8"/>
        <v>0</v>
      </c>
      <c r="E160" s="48">
        <f>Teachers!A165</f>
        <v>0</v>
      </c>
      <c r="F160" s="48">
        <f>Teachers!B165</f>
        <v>0</v>
      </c>
      <c r="G160" s="48" t="str">
        <f>Teachers!A165 &amp;" " &amp;Teachers!B165</f>
        <v xml:space="preserve"> </v>
      </c>
      <c r="J160" s="48">
        <f>Teachers!C165</f>
        <v>0</v>
      </c>
      <c r="K160" s="48" t="b">
        <f t="shared" si="9"/>
        <v>0</v>
      </c>
    </row>
    <row r="161" spans="1:11" x14ac:dyDescent="0.2">
      <c r="A16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","#",3))+1,1)&amp;"-"&amp;LEFT(Teachers!B166, 3)&amp;"-"&amp;LEFT(Teachers!A166, 3)&amp;"-"&amp;"2026"</f>
        <v>UID-NWF---2026</v>
      </c>
      <c r="C161" s="48">
        <f>Teachers!C166</f>
        <v>0</v>
      </c>
      <c r="D161" s="48" t="b">
        <f t="shared" si="8"/>
        <v>0</v>
      </c>
      <c r="E161" s="48">
        <f>Teachers!A166</f>
        <v>0</v>
      </c>
      <c r="F161" s="48">
        <f>Teachers!B166</f>
        <v>0</v>
      </c>
      <c r="G161" s="48" t="str">
        <f>Teachers!A166 &amp;" " &amp;Teachers!B166</f>
        <v xml:space="preserve"> </v>
      </c>
      <c r="J161" s="48">
        <f>Teachers!C166</f>
        <v>0</v>
      </c>
      <c r="K161" s="48" t="b">
        <f t="shared" si="9"/>
        <v>0</v>
      </c>
    </row>
    <row r="162" spans="1:11" x14ac:dyDescent="0.2">
      <c r="A16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","#",3))+1,1)&amp;"-"&amp;LEFT(Teachers!B167, 3)&amp;"-"&amp;LEFT(Teachers!A167, 3)&amp;"-"&amp;"2026"</f>
        <v>UID-NWF---2026</v>
      </c>
      <c r="C162" s="48">
        <f>Teachers!C167</f>
        <v>0</v>
      </c>
      <c r="D162" s="48" t="b">
        <f t="shared" si="8"/>
        <v>0</v>
      </c>
      <c r="E162" s="48">
        <f>Teachers!A167</f>
        <v>0</v>
      </c>
      <c r="F162" s="48">
        <f>Teachers!B167</f>
        <v>0</v>
      </c>
      <c r="G162" s="48" t="str">
        <f>Teachers!A167 &amp;" " &amp;Teachers!B167</f>
        <v xml:space="preserve"> </v>
      </c>
      <c r="J162" s="48">
        <f>Teachers!C167</f>
        <v>0</v>
      </c>
      <c r="K162" s="48" t="b">
        <f t="shared" si="9"/>
        <v>0</v>
      </c>
    </row>
    <row r="163" spans="1:11" x14ac:dyDescent="0.2">
      <c r="A16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","#",3))+1,1)&amp;"-"&amp;LEFT(Teachers!B168, 3)&amp;"-"&amp;LEFT(Teachers!A168, 3)&amp;"-"&amp;"2026"</f>
        <v>UID-NWF---2026</v>
      </c>
      <c r="C163" s="48">
        <f>Teachers!C168</f>
        <v>0</v>
      </c>
      <c r="D163" s="48" t="b">
        <f t="shared" si="8"/>
        <v>0</v>
      </c>
      <c r="E163" s="48">
        <f>Teachers!A168</f>
        <v>0</v>
      </c>
      <c r="F163" s="48">
        <f>Teachers!B168</f>
        <v>0</v>
      </c>
      <c r="G163" s="48" t="str">
        <f>Teachers!A168 &amp;" " &amp;Teachers!B168</f>
        <v xml:space="preserve"> </v>
      </c>
      <c r="J163" s="48">
        <f>Teachers!C168</f>
        <v>0</v>
      </c>
      <c r="K163" s="48" t="b">
        <f t="shared" si="9"/>
        <v>0</v>
      </c>
    </row>
    <row r="164" spans="1:11" x14ac:dyDescent="0.2">
      <c r="A16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","#",3))+1,1)&amp;"-"&amp;LEFT(Teachers!B169, 3)&amp;"-"&amp;LEFT(Teachers!A169, 3)&amp;"-"&amp;"2026"</f>
        <v>UID-NWF---2026</v>
      </c>
      <c r="C164" s="48">
        <f>Teachers!C169</f>
        <v>0</v>
      </c>
      <c r="D164" s="48" t="b">
        <f t="shared" si="8"/>
        <v>0</v>
      </c>
      <c r="E164" s="48">
        <f>Teachers!A169</f>
        <v>0</v>
      </c>
      <c r="F164" s="48">
        <f>Teachers!B169</f>
        <v>0</v>
      </c>
      <c r="G164" s="48" t="str">
        <f>Teachers!A169 &amp;" " &amp;Teachers!B169</f>
        <v xml:space="preserve"> </v>
      </c>
      <c r="J164" s="48">
        <f>Teachers!C169</f>
        <v>0</v>
      </c>
      <c r="K164" s="48" t="b">
        <f t="shared" si="9"/>
        <v>0</v>
      </c>
    </row>
    <row r="165" spans="1:11" x14ac:dyDescent="0.2">
      <c r="A16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","#",3))+1,1)&amp;"-"&amp;LEFT(Teachers!B170, 3)&amp;"-"&amp;LEFT(Teachers!A170, 3)&amp;"-"&amp;"2026"</f>
        <v>UID-NWF---2026</v>
      </c>
      <c r="C165" s="48">
        <f>Teachers!C170</f>
        <v>0</v>
      </c>
      <c r="D165" s="48" t="b">
        <f t="shared" ref="D165:D200" si="10">IF(C165&gt;0,"topscore123")</f>
        <v>0</v>
      </c>
      <c r="E165" s="48">
        <f>Teachers!A170</f>
        <v>0</v>
      </c>
      <c r="F165" s="48">
        <f>Teachers!B170</f>
        <v>0</v>
      </c>
      <c r="G165" s="48" t="str">
        <f>Teachers!A170 &amp;" " &amp;Teachers!B170</f>
        <v xml:space="preserve"> </v>
      </c>
      <c r="J165" s="48">
        <f>Teachers!C170</f>
        <v>0</v>
      </c>
      <c r="K165" s="48" t="b">
        <f t="shared" ref="K165:K200" si="11">IF(C165&gt;0,"active")</f>
        <v>0</v>
      </c>
    </row>
    <row r="166" spans="1:11" x14ac:dyDescent="0.2">
      <c r="A16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","#",3))+1,1)&amp;"-"&amp;LEFT(Teachers!B171, 3)&amp;"-"&amp;LEFT(Teachers!A171, 3)&amp;"-"&amp;"2026"</f>
        <v>UID-NWF---2026</v>
      </c>
      <c r="C166" s="48">
        <f>Teachers!C171</f>
        <v>0</v>
      </c>
      <c r="D166" s="48" t="b">
        <f t="shared" si="10"/>
        <v>0</v>
      </c>
      <c r="E166" s="48">
        <f>Teachers!A171</f>
        <v>0</v>
      </c>
      <c r="F166" s="48">
        <f>Teachers!B171</f>
        <v>0</v>
      </c>
      <c r="G166" s="48" t="str">
        <f>Teachers!A171 &amp;" " &amp;Teachers!B171</f>
        <v xml:space="preserve"> </v>
      </c>
      <c r="J166" s="48">
        <f>Teachers!C171</f>
        <v>0</v>
      </c>
      <c r="K166" s="48" t="b">
        <f t="shared" si="11"/>
        <v>0</v>
      </c>
    </row>
    <row r="167" spans="1:11" x14ac:dyDescent="0.2">
      <c r="A16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","#",3))+1,1)&amp;"-"&amp;LEFT(Teachers!B172, 3)&amp;"-"&amp;LEFT(Teachers!A172, 3)&amp;"-"&amp;"2026"</f>
        <v>UID-NWF---2026</v>
      </c>
      <c r="C167" s="48">
        <f>Teachers!C172</f>
        <v>0</v>
      </c>
      <c r="D167" s="48" t="b">
        <f t="shared" si="10"/>
        <v>0</v>
      </c>
      <c r="E167" s="48">
        <f>Teachers!A172</f>
        <v>0</v>
      </c>
      <c r="F167" s="48">
        <f>Teachers!B172</f>
        <v>0</v>
      </c>
      <c r="G167" s="48" t="str">
        <f>Teachers!A172 &amp;" " &amp;Teachers!B172</f>
        <v xml:space="preserve"> </v>
      </c>
      <c r="J167" s="48">
        <f>Teachers!C172</f>
        <v>0</v>
      </c>
      <c r="K167" s="48" t="b">
        <f t="shared" si="11"/>
        <v>0</v>
      </c>
    </row>
    <row r="168" spans="1:11" x14ac:dyDescent="0.2">
      <c r="A16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","#",3))+1,1)&amp;"-"&amp;LEFT(Teachers!B173, 3)&amp;"-"&amp;LEFT(Teachers!A173, 3)&amp;"-"&amp;"2026"</f>
        <v>UID-NWF---2026</v>
      </c>
      <c r="C168" s="48">
        <f>Teachers!C173</f>
        <v>0</v>
      </c>
      <c r="D168" s="48" t="b">
        <f t="shared" si="10"/>
        <v>0</v>
      </c>
      <c r="E168" s="48">
        <f>Teachers!A173</f>
        <v>0</v>
      </c>
      <c r="F168" s="48">
        <f>Teachers!B173</f>
        <v>0</v>
      </c>
      <c r="G168" s="48" t="str">
        <f>Teachers!A173 &amp;" " &amp;Teachers!B173</f>
        <v xml:space="preserve"> </v>
      </c>
      <c r="J168" s="48">
        <f>Teachers!C173</f>
        <v>0</v>
      </c>
      <c r="K168" s="48" t="b">
        <f t="shared" si="11"/>
        <v>0</v>
      </c>
    </row>
    <row r="169" spans="1:11" x14ac:dyDescent="0.2">
      <c r="A16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","#",3))+1,1)&amp;"-"&amp;LEFT(Teachers!B174, 3)&amp;"-"&amp;LEFT(Teachers!A174, 3)&amp;"-"&amp;"2026"</f>
        <v>UID-NWF---2026</v>
      </c>
      <c r="C169" s="48">
        <f>Teachers!C174</f>
        <v>0</v>
      </c>
      <c r="D169" s="48" t="b">
        <f t="shared" si="10"/>
        <v>0</v>
      </c>
      <c r="E169" s="48">
        <f>Teachers!A174</f>
        <v>0</v>
      </c>
      <c r="F169" s="48">
        <f>Teachers!B174</f>
        <v>0</v>
      </c>
      <c r="G169" s="48" t="str">
        <f>Teachers!A174 &amp;" " &amp;Teachers!B174</f>
        <v xml:space="preserve"> </v>
      </c>
      <c r="J169" s="48">
        <f>Teachers!C174</f>
        <v>0</v>
      </c>
      <c r="K169" s="48" t="b">
        <f t="shared" si="11"/>
        <v>0</v>
      </c>
    </row>
    <row r="170" spans="1:11" x14ac:dyDescent="0.2">
      <c r="A17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","#",3))+1,1)&amp;"-"&amp;LEFT(Teachers!B175, 3)&amp;"-"&amp;LEFT(Teachers!A175, 3)&amp;"-"&amp;"2026"</f>
        <v>UID-NWF---2026</v>
      </c>
      <c r="C170" s="48">
        <f>Teachers!C175</f>
        <v>0</v>
      </c>
      <c r="D170" s="48" t="b">
        <f t="shared" si="10"/>
        <v>0</v>
      </c>
      <c r="E170" s="48">
        <f>Teachers!A175</f>
        <v>0</v>
      </c>
      <c r="F170" s="48">
        <f>Teachers!B175</f>
        <v>0</v>
      </c>
      <c r="G170" s="48" t="str">
        <f>Teachers!A175 &amp;" " &amp;Teachers!B175</f>
        <v xml:space="preserve"> </v>
      </c>
      <c r="J170" s="48">
        <f>Teachers!C175</f>
        <v>0</v>
      </c>
      <c r="K170" s="48" t="b">
        <f t="shared" si="11"/>
        <v>0</v>
      </c>
    </row>
    <row r="171" spans="1:11" x14ac:dyDescent="0.2">
      <c r="A17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","#",3))+1,1)&amp;"-"&amp;LEFT(Teachers!B176, 3)&amp;"-"&amp;LEFT(Teachers!A176, 3)&amp;"-"&amp;"2026"</f>
        <v>UID-NWF---2026</v>
      </c>
      <c r="C171" s="48">
        <f>Teachers!C176</f>
        <v>0</v>
      </c>
      <c r="D171" s="48" t="b">
        <f t="shared" si="10"/>
        <v>0</v>
      </c>
      <c r="E171" s="48">
        <f>Teachers!A176</f>
        <v>0</v>
      </c>
      <c r="F171" s="48">
        <f>Teachers!B176</f>
        <v>0</v>
      </c>
      <c r="G171" s="48" t="str">
        <f>Teachers!A176 &amp;" " &amp;Teachers!B176</f>
        <v xml:space="preserve"> </v>
      </c>
      <c r="J171" s="48">
        <f>Teachers!C176</f>
        <v>0</v>
      </c>
      <c r="K171" s="48" t="b">
        <f t="shared" si="11"/>
        <v>0</v>
      </c>
    </row>
    <row r="172" spans="1:11" x14ac:dyDescent="0.2">
      <c r="A17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","#",3))+1,1)&amp;"-"&amp;LEFT(Teachers!B177, 3)&amp;"-"&amp;LEFT(Teachers!A177, 3)&amp;"-"&amp;"2026"</f>
        <v>UID-NWF---2026</v>
      </c>
      <c r="C172" s="48">
        <f>Teachers!C177</f>
        <v>0</v>
      </c>
      <c r="D172" s="48" t="b">
        <f t="shared" si="10"/>
        <v>0</v>
      </c>
      <c r="E172" s="48">
        <f>Teachers!A177</f>
        <v>0</v>
      </c>
      <c r="F172" s="48">
        <f>Teachers!B177</f>
        <v>0</v>
      </c>
      <c r="G172" s="48" t="str">
        <f>Teachers!A177 &amp;" " &amp;Teachers!B177</f>
        <v xml:space="preserve"> </v>
      </c>
      <c r="J172" s="48">
        <f>Teachers!C177</f>
        <v>0</v>
      </c>
      <c r="K172" s="48" t="b">
        <f t="shared" si="11"/>
        <v>0</v>
      </c>
    </row>
    <row r="173" spans="1:11" x14ac:dyDescent="0.2">
      <c r="A17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","#",3))+1,1)&amp;"-"&amp;LEFT(Teachers!B178, 3)&amp;"-"&amp;LEFT(Teachers!A178, 3)&amp;"-"&amp;"2026"</f>
        <v>UID-NWF---2026</v>
      </c>
      <c r="C173" s="48">
        <f>Teachers!C178</f>
        <v>0</v>
      </c>
      <c r="D173" s="48" t="b">
        <f t="shared" si="10"/>
        <v>0</v>
      </c>
      <c r="E173" s="48">
        <f>Teachers!A178</f>
        <v>0</v>
      </c>
      <c r="F173" s="48">
        <f>Teachers!B178</f>
        <v>0</v>
      </c>
      <c r="G173" s="48" t="str">
        <f>Teachers!A178 &amp;" " &amp;Teachers!B178</f>
        <v xml:space="preserve"> </v>
      </c>
      <c r="J173" s="48">
        <f>Teachers!C178</f>
        <v>0</v>
      </c>
      <c r="K173" s="48" t="b">
        <f t="shared" si="11"/>
        <v>0</v>
      </c>
    </row>
    <row r="174" spans="1:11" x14ac:dyDescent="0.2">
      <c r="A17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","#",3))+1,1)&amp;"-"&amp;LEFT(Teachers!B179, 3)&amp;"-"&amp;LEFT(Teachers!A179, 3)&amp;"-"&amp;"2026"</f>
        <v>UID-NWF---2026</v>
      </c>
      <c r="C174" s="48">
        <f>Teachers!C179</f>
        <v>0</v>
      </c>
      <c r="D174" s="48" t="b">
        <f t="shared" si="10"/>
        <v>0</v>
      </c>
      <c r="E174" s="48">
        <f>Teachers!A179</f>
        <v>0</v>
      </c>
      <c r="F174" s="48">
        <f>Teachers!B179</f>
        <v>0</v>
      </c>
      <c r="G174" s="48" t="str">
        <f>Teachers!A179 &amp;" " &amp;Teachers!B179</f>
        <v xml:space="preserve"> </v>
      </c>
      <c r="J174" s="48">
        <f>Teachers!C179</f>
        <v>0</v>
      </c>
      <c r="K174" s="48" t="b">
        <f t="shared" si="11"/>
        <v>0</v>
      </c>
    </row>
    <row r="175" spans="1:11" x14ac:dyDescent="0.2">
      <c r="A17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","#",3))+1,1)&amp;"-"&amp;LEFT(Teachers!B180, 3)&amp;"-"&amp;LEFT(Teachers!A180, 3)&amp;"-"&amp;"2026"</f>
        <v>UID-NWF---2026</v>
      </c>
      <c r="C175" s="48">
        <f>Teachers!C180</f>
        <v>0</v>
      </c>
      <c r="D175" s="48" t="b">
        <f t="shared" si="10"/>
        <v>0</v>
      </c>
      <c r="E175" s="48">
        <f>Teachers!A180</f>
        <v>0</v>
      </c>
      <c r="F175" s="48">
        <f>Teachers!B180</f>
        <v>0</v>
      </c>
      <c r="G175" s="48" t="str">
        <f>Teachers!A180 &amp;" " &amp;Teachers!B180</f>
        <v xml:space="preserve"> </v>
      </c>
      <c r="J175" s="48">
        <f>Teachers!C180</f>
        <v>0</v>
      </c>
      <c r="K175" s="48" t="b">
        <f t="shared" si="11"/>
        <v>0</v>
      </c>
    </row>
    <row r="176" spans="1:11" x14ac:dyDescent="0.2">
      <c r="A17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","#",3))+1,1)&amp;"-"&amp;LEFT(Teachers!B181, 3)&amp;"-"&amp;LEFT(Teachers!A181, 3)&amp;"-"&amp;"2026"</f>
        <v>UID-NWF---2026</v>
      </c>
      <c r="C176" s="48">
        <f>Teachers!C181</f>
        <v>0</v>
      </c>
      <c r="D176" s="48" t="b">
        <f t="shared" si="10"/>
        <v>0</v>
      </c>
      <c r="E176" s="48">
        <f>Teachers!A181</f>
        <v>0</v>
      </c>
      <c r="F176" s="48">
        <f>Teachers!B181</f>
        <v>0</v>
      </c>
      <c r="G176" s="48" t="str">
        <f>Teachers!A181 &amp;" " &amp;Teachers!B181</f>
        <v xml:space="preserve"> </v>
      </c>
      <c r="J176" s="48">
        <f>Teachers!C181</f>
        <v>0</v>
      </c>
      <c r="K176" s="48" t="b">
        <f t="shared" si="11"/>
        <v>0</v>
      </c>
    </row>
    <row r="177" spans="1:11" x14ac:dyDescent="0.2">
      <c r="A17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","#",3))+1,1)&amp;"-"&amp;LEFT(Teachers!B182, 3)&amp;"-"&amp;LEFT(Teachers!A182, 3)&amp;"-"&amp;"2026"</f>
        <v>UID-NWF---2026</v>
      </c>
      <c r="C177" s="48">
        <f>Teachers!C182</f>
        <v>0</v>
      </c>
      <c r="D177" s="48" t="b">
        <f t="shared" si="10"/>
        <v>0</v>
      </c>
      <c r="E177" s="48">
        <f>Teachers!A182</f>
        <v>0</v>
      </c>
      <c r="F177" s="48">
        <f>Teachers!B182</f>
        <v>0</v>
      </c>
      <c r="G177" s="48" t="str">
        <f>Teachers!A182 &amp;" " &amp;Teachers!B182</f>
        <v xml:space="preserve"> </v>
      </c>
      <c r="J177" s="48">
        <f>Teachers!C182</f>
        <v>0</v>
      </c>
      <c r="K177" s="48" t="b">
        <f t="shared" si="11"/>
        <v>0</v>
      </c>
    </row>
    <row r="178" spans="1:11" x14ac:dyDescent="0.2">
      <c r="A17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","#",3))+1,1)&amp;"-"&amp;LEFT(Teachers!B183, 3)&amp;"-"&amp;LEFT(Teachers!A183, 3)&amp;"-"&amp;"2026"</f>
        <v>UID-NWF---2026</v>
      </c>
      <c r="C178" s="48">
        <f>Teachers!C183</f>
        <v>0</v>
      </c>
      <c r="D178" s="48" t="b">
        <f t="shared" si="10"/>
        <v>0</v>
      </c>
      <c r="E178" s="48">
        <f>Teachers!A183</f>
        <v>0</v>
      </c>
      <c r="F178" s="48">
        <f>Teachers!B183</f>
        <v>0</v>
      </c>
      <c r="G178" s="48" t="str">
        <f>Teachers!A183 &amp;" " &amp;Teachers!B183</f>
        <v xml:space="preserve"> </v>
      </c>
      <c r="J178" s="48">
        <f>Teachers!C183</f>
        <v>0</v>
      </c>
      <c r="K178" s="48" t="b">
        <f t="shared" si="11"/>
        <v>0</v>
      </c>
    </row>
    <row r="179" spans="1:11" x14ac:dyDescent="0.2">
      <c r="A17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","#",3))+1,1)&amp;"-"&amp;LEFT(Teachers!B184, 3)&amp;"-"&amp;LEFT(Teachers!A184, 3)&amp;"-"&amp;"2026"</f>
        <v>UID-NWF---2026</v>
      </c>
      <c r="C179" s="48">
        <f>Teachers!C184</f>
        <v>0</v>
      </c>
      <c r="D179" s="48" t="b">
        <f t="shared" si="10"/>
        <v>0</v>
      </c>
      <c r="E179" s="48">
        <f>Teachers!A184</f>
        <v>0</v>
      </c>
      <c r="F179" s="48">
        <f>Teachers!B184</f>
        <v>0</v>
      </c>
      <c r="G179" s="48" t="str">
        <f>Teachers!A184 &amp;" " &amp;Teachers!B184</f>
        <v xml:space="preserve"> </v>
      </c>
      <c r="J179" s="48">
        <f>Teachers!C184</f>
        <v>0</v>
      </c>
      <c r="K179" s="48" t="b">
        <f t="shared" si="11"/>
        <v>0</v>
      </c>
    </row>
    <row r="180" spans="1:11" x14ac:dyDescent="0.2">
      <c r="A18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","#",3))+1,1)&amp;"-"&amp;LEFT(Teachers!B185, 3)&amp;"-"&amp;LEFT(Teachers!A185, 3)&amp;"-"&amp;"2026"</f>
        <v>UID-NWF---2026</v>
      </c>
      <c r="C180" s="48">
        <f>Teachers!C185</f>
        <v>0</v>
      </c>
      <c r="D180" s="48" t="b">
        <f t="shared" si="10"/>
        <v>0</v>
      </c>
      <c r="E180" s="48">
        <f>Teachers!A185</f>
        <v>0</v>
      </c>
      <c r="F180" s="48">
        <f>Teachers!B185</f>
        <v>0</v>
      </c>
      <c r="G180" s="48" t="str">
        <f>Teachers!A185 &amp;" " &amp;Teachers!B185</f>
        <v xml:space="preserve"> </v>
      </c>
      <c r="J180" s="48">
        <f>Teachers!C185</f>
        <v>0</v>
      </c>
      <c r="K180" s="48" t="b">
        <f t="shared" si="11"/>
        <v>0</v>
      </c>
    </row>
    <row r="181" spans="1:11" x14ac:dyDescent="0.2">
      <c r="A18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","#",3))+1,1)&amp;"-"&amp;LEFT(Teachers!B186, 3)&amp;"-"&amp;LEFT(Teachers!A186, 3)&amp;"-"&amp;"2026"</f>
        <v>UID-NWF---2026</v>
      </c>
      <c r="C181" s="48">
        <f>Teachers!C186</f>
        <v>0</v>
      </c>
      <c r="D181" s="48" t="b">
        <f t="shared" si="10"/>
        <v>0</v>
      </c>
      <c r="E181" s="48">
        <f>Teachers!A186</f>
        <v>0</v>
      </c>
      <c r="F181" s="48">
        <f>Teachers!B186</f>
        <v>0</v>
      </c>
      <c r="G181" s="48" t="str">
        <f>Teachers!A186 &amp;" " &amp;Teachers!B186</f>
        <v xml:space="preserve"> </v>
      </c>
      <c r="J181" s="48">
        <f>Teachers!C186</f>
        <v>0</v>
      </c>
      <c r="K181" s="48" t="b">
        <f t="shared" si="11"/>
        <v>0</v>
      </c>
    </row>
    <row r="182" spans="1:11" x14ac:dyDescent="0.2">
      <c r="A18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","#",3))+1,1)&amp;"-"&amp;LEFT(Teachers!B187, 3)&amp;"-"&amp;LEFT(Teachers!A187, 3)&amp;"-"&amp;"2026"</f>
        <v>UID-NWF---2026</v>
      </c>
      <c r="C182" s="48">
        <f>Teachers!C187</f>
        <v>0</v>
      </c>
      <c r="D182" s="48" t="b">
        <f t="shared" si="10"/>
        <v>0</v>
      </c>
      <c r="E182" s="48">
        <f>Teachers!A187</f>
        <v>0</v>
      </c>
      <c r="F182" s="48">
        <f>Teachers!B187</f>
        <v>0</v>
      </c>
      <c r="G182" s="48" t="str">
        <f>Teachers!A187 &amp;" " &amp;Teachers!B187</f>
        <v xml:space="preserve"> </v>
      </c>
      <c r="J182" s="48">
        <f>Teachers!C187</f>
        <v>0</v>
      </c>
      <c r="K182" s="48" t="b">
        <f t="shared" si="11"/>
        <v>0</v>
      </c>
    </row>
    <row r="183" spans="1:11" x14ac:dyDescent="0.2">
      <c r="A18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","#",3))+1,1)&amp;"-"&amp;LEFT(Teachers!B188, 3)&amp;"-"&amp;LEFT(Teachers!A188, 3)&amp;"-"&amp;"2026"</f>
        <v>UID-NWF---2026</v>
      </c>
      <c r="C183" s="48">
        <f>Teachers!C188</f>
        <v>0</v>
      </c>
      <c r="D183" s="48" t="b">
        <f t="shared" si="10"/>
        <v>0</v>
      </c>
      <c r="E183" s="48">
        <f>Teachers!A188</f>
        <v>0</v>
      </c>
      <c r="F183" s="48">
        <f>Teachers!B188</f>
        <v>0</v>
      </c>
      <c r="G183" s="48" t="str">
        <f>Teachers!A188 &amp;" " &amp;Teachers!B188</f>
        <v xml:space="preserve"> </v>
      </c>
      <c r="J183" s="48">
        <f>Teachers!C188</f>
        <v>0</v>
      </c>
      <c r="K183" s="48" t="b">
        <f t="shared" si="11"/>
        <v>0</v>
      </c>
    </row>
    <row r="184" spans="1:11" x14ac:dyDescent="0.2">
      <c r="A18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","#",3))+1,1)&amp;"-"&amp;LEFT(Teachers!B189, 3)&amp;"-"&amp;LEFT(Teachers!A189, 3)&amp;"-"&amp;"2026"</f>
        <v>UID-NWF---2026</v>
      </c>
      <c r="C184" s="48">
        <f>Teachers!C189</f>
        <v>0</v>
      </c>
      <c r="D184" s="48" t="b">
        <f t="shared" si="10"/>
        <v>0</v>
      </c>
      <c r="E184" s="48">
        <f>Teachers!A189</f>
        <v>0</v>
      </c>
      <c r="F184" s="48">
        <f>Teachers!B189</f>
        <v>0</v>
      </c>
      <c r="G184" s="48" t="str">
        <f>Teachers!A189 &amp;" " &amp;Teachers!B189</f>
        <v xml:space="preserve"> </v>
      </c>
      <c r="J184" s="48">
        <f>Teachers!C189</f>
        <v>0</v>
      </c>
      <c r="K184" s="48" t="b">
        <f t="shared" si="11"/>
        <v>0</v>
      </c>
    </row>
    <row r="185" spans="1:11" x14ac:dyDescent="0.2">
      <c r="A18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","#",3))+1,1)&amp;"-"&amp;LEFT(Teachers!B190, 3)&amp;"-"&amp;LEFT(Teachers!A190, 3)&amp;"-"&amp;"2026"</f>
        <v>UID-NWF---2026</v>
      </c>
      <c r="C185" s="48">
        <f>Teachers!C190</f>
        <v>0</v>
      </c>
      <c r="D185" s="48" t="b">
        <f t="shared" si="10"/>
        <v>0</v>
      </c>
      <c r="E185" s="48">
        <f>Teachers!A190</f>
        <v>0</v>
      </c>
      <c r="F185" s="48">
        <f>Teachers!B190</f>
        <v>0</v>
      </c>
      <c r="G185" s="48" t="str">
        <f>Teachers!A190 &amp;" " &amp;Teachers!B190</f>
        <v xml:space="preserve"> </v>
      </c>
      <c r="J185" s="48">
        <f>Teachers!C190</f>
        <v>0</v>
      </c>
      <c r="K185" s="48" t="b">
        <f t="shared" si="11"/>
        <v>0</v>
      </c>
    </row>
    <row r="186" spans="1:11" x14ac:dyDescent="0.2">
      <c r="A18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","#",3))+1,1)&amp;"-"&amp;LEFT(Teachers!B191, 3)&amp;"-"&amp;LEFT(Teachers!A191, 3)&amp;"-"&amp;"2026"</f>
        <v>UID-NWF---2026</v>
      </c>
      <c r="C186" s="48">
        <f>Teachers!C191</f>
        <v>0</v>
      </c>
      <c r="D186" s="48" t="b">
        <f t="shared" si="10"/>
        <v>0</v>
      </c>
      <c r="E186" s="48">
        <f>Teachers!A191</f>
        <v>0</v>
      </c>
      <c r="F186" s="48">
        <f>Teachers!B191</f>
        <v>0</v>
      </c>
      <c r="G186" s="48" t="str">
        <f>Teachers!A191 &amp;" " &amp;Teachers!B191</f>
        <v xml:space="preserve"> </v>
      </c>
      <c r="J186" s="48">
        <f>Teachers!C191</f>
        <v>0</v>
      </c>
      <c r="K186" s="48" t="b">
        <f t="shared" si="11"/>
        <v>0</v>
      </c>
    </row>
    <row r="187" spans="1:11" x14ac:dyDescent="0.2">
      <c r="A18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","#",3))+1,1)&amp;"-"&amp;LEFT(Teachers!B192, 3)&amp;"-"&amp;LEFT(Teachers!A192, 3)&amp;"-"&amp;"2026"</f>
        <v>UID-NWF---2026</v>
      </c>
      <c r="C187" s="48">
        <f>Teachers!C192</f>
        <v>0</v>
      </c>
      <c r="D187" s="48" t="b">
        <f t="shared" si="10"/>
        <v>0</v>
      </c>
      <c r="E187" s="48">
        <f>Teachers!A192</f>
        <v>0</v>
      </c>
      <c r="F187" s="48">
        <f>Teachers!B192</f>
        <v>0</v>
      </c>
      <c r="G187" s="48" t="str">
        <f>Teachers!A192 &amp;" " &amp;Teachers!B192</f>
        <v xml:space="preserve"> </v>
      </c>
      <c r="J187" s="48">
        <f>Teachers!C192</f>
        <v>0</v>
      </c>
      <c r="K187" s="48" t="b">
        <f t="shared" si="11"/>
        <v>0</v>
      </c>
    </row>
    <row r="188" spans="1:11" x14ac:dyDescent="0.2">
      <c r="A18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","#",3))+1,1)&amp;"-"&amp;LEFT(Teachers!B193, 3)&amp;"-"&amp;LEFT(Teachers!A193, 3)&amp;"-"&amp;"2026"</f>
        <v>UID-NWF---2026</v>
      </c>
      <c r="C188" s="48">
        <f>Teachers!C193</f>
        <v>0</v>
      </c>
      <c r="D188" s="48" t="b">
        <f t="shared" si="10"/>
        <v>0</v>
      </c>
      <c r="E188" s="48">
        <f>Teachers!A193</f>
        <v>0</v>
      </c>
      <c r="F188" s="48">
        <f>Teachers!B193</f>
        <v>0</v>
      </c>
      <c r="G188" s="48" t="str">
        <f>Teachers!A193 &amp;" " &amp;Teachers!B193</f>
        <v xml:space="preserve"> </v>
      </c>
      <c r="J188" s="48">
        <f>Teachers!C193</f>
        <v>0</v>
      </c>
      <c r="K188" s="48" t="b">
        <f t="shared" si="11"/>
        <v>0</v>
      </c>
    </row>
    <row r="189" spans="1:11" x14ac:dyDescent="0.2">
      <c r="A18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","#",3))+1,1)&amp;"-"&amp;LEFT(Teachers!B194, 3)&amp;"-"&amp;LEFT(Teachers!A194, 3)&amp;"-"&amp;"2026"</f>
        <v>UID-NWF---2026</v>
      </c>
      <c r="C189" s="48">
        <f>Teachers!C194</f>
        <v>0</v>
      </c>
      <c r="D189" s="48" t="b">
        <f t="shared" si="10"/>
        <v>0</v>
      </c>
      <c r="E189" s="48">
        <f>Teachers!A194</f>
        <v>0</v>
      </c>
      <c r="F189" s="48">
        <f>Teachers!B194</f>
        <v>0</v>
      </c>
      <c r="G189" s="48" t="str">
        <f>Teachers!A194 &amp;" " &amp;Teachers!B194</f>
        <v xml:space="preserve"> </v>
      </c>
      <c r="J189" s="48">
        <f>Teachers!C194</f>
        <v>0</v>
      </c>
      <c r="K189" s="48" t="b">
        <f t="shared" si="11"/>
        <v>0</v>
      </c>
    </row>
    <row r="190" spans="1:11" x14ac:dyDescent="0.2">
      <c r="A19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","#",3))+1,1)&amp;"-"&amp;LEFT(Teachers!B195, 3)&amp;"-"&amp;LEFT(Teachers!A195, 3)&amp;"-"&amp;"2026"</f>
        <v>UID-NWF---2026</v>
      </c>
      <c r="C190" s="48">
        <f>Teachers!C195</f>
        <v>0</v>
      </c>
      <c r="D190" s="48" t="b">
        <f t="shared" si="10"/>
        <v>0</v>
      </c>
      <c r="E190" s="48">
        <f>Teachers!A195</f>
        <v>0</v>
      </c>
      <c r="F190" s="48">
        <f>Teachers!B195</f>
        <v>0</v>
      </c>
      <c r="G190" s="48" t="str">
        <f>Teachers!A195 &amp;" " &amp;Teachers!B195</f>
        <v xml:space="preserve"> </v>
      </c>
      <c r="J190" s="48">
        <f>Teachers!C195</f>
        <v>0</v>
      </c>
      <c r="K190" s="48" t="b">
        <f t="shared" si="11"/>
        <v>0</v>
      </c>
    </row>
    <row r="191" spans="1:11" x14ac:dyDescent="0.2">
      <c r="A191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","#",3))+1,1)&amp;"-"&amp;LEFT(Teachers!B196, 3)&amp;"-"&amp;LEFT(Teachers!A196, 3)&amp;"-"&amp;"2026"</f>
        <v>UID-NWF---2026</v>
      </c>
      <c r="C191" s="48">
        <f>Teachers!C196</f>
        <v>0</v>
      </c>
      <c r="D191" s="48" t="b">
        <f t="shared" si="10"/>
        <v>0</v>
      </c>
      <c r="E191" s="48">
        <f>Teachers!A196</f>
        <v>0</v>
      </c>
      <c r="F191" s="48">
        <f>Teachers!B196</f>
        <v>0</v>
      </c>
      <c r="G191" s="48" t="str">
        <f>Teachers!A196 &amp;" " &amp;Teachers!B196</f>
        <v xml:space="preserve"> </v>
      </c>
      <c r="J191" s="48">
        <f>Teachers!C196</f>
        <v>0</v>
      </c>
      <c r="K191" s="48" t="b">
        <f t="shared" si="11"/>
        <v>0</v>
      </c>
    </row>
    <row r="192" spans="1:11" x14ac:dyDescent="0.2">
      <c r="A192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","#",3))+1,1)&amp;"-"&amp;LEFT(Teachers!B197, 3)&amp;"-"&amp;LEFT(Teachers!A197, 3)&amp;"-"&amp;"2026"</f>
        <v>UID-NWF---2026</v>
      </c>
      <c r="C192" s="48">
        <f>Teachers!C197</f>
        <v>0</v>
      </c>
      <c r="D192" s="48" t="b">
        <f t="shared" si="10"/>
        <v>0</v>
      </c>
      <c r="E192" s="48">
        <f>Teachers!A197</f>
        <v>0</v>
      </c>
      <c r="F192" s="48">
        <f>Teachers!B197</f>
        <v>0</v>
      </c>
      <c r="G192" s="48" t="str">
        <f>Teachers!A197 &amp;" " &amp;Teachers!B197</f>
        <v xml:space="preserve"> </v>
      </c>
      <c r="J192" s="48">
        <f>Teachers!C197</f>
        <v>0</v>
      </c>
      <c r="K192" s="48" t="b">
        <f t="shared" si="11"/>
        <v>0</v>
      </c>
    </row>
    <row r="193" spans="1:11" x14ac:dyDescent="0.2">
      <c r="A193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","#",3))+1,1)&amp;"-"&amp;LEFT(Teachers!B198, 3)&amp;"-"&amp;LEFT(Teachers!A198, 3)&amp;"-"&amp;"2026"</f>
        <v>UID-NWF---2026</v>
      </c>
      <c r="C193" s="48">
        <f>Teachers!C198</f>
        <v>0</v>
      </c>
      <c r="D193" s="48" t="b">
        <f t="shared" si="10"/>
        <v>0</v>
      </c>
      <c r="E193" s="48">
        <f>Teachers!A198</f>
        <v>0</v>
      </c>
      <c r="F193" s="48">
        <f>Teachers!B198</f>
        <v>0</v>
      </c>
      <c r="G193" s="48" t="str">
        <f>Teachers!A198 &amp;" " &amp;Teachers!B198</f>
        <v xml:space="preserve"> </v>
      </c>
      <c r="J193" s="48">
        <f>Teachers!C198</f>
        <v>0</v>
      </c>
      <c r="K193" s="48" t="b">
        <f t="shared" si="11"/>
        <v>0</v>
      </c>
    </row>
    <row r="194" spans="1:11" x14ac:dyDescent="0.2">
      <c r="A194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","#",3))+1,1)&amp;"-"&amp;LEFT(Teachers!B199, 3)&amp;"-"&amp;LEFT(Teachers!A199, 3)&amp;"-"&amp;"2026"</f>
        <v>UID-NWF---2026</v>
      </c>
      <c r="C194" s="48">
        <f>Teachers!C199</f>
        <v>0</v>
      </c>
      <c r="D194" s="48" t="b">
        <f t="shared" si="10"/>
        <v>0</v>
      </c>
      <c r="E194" s="48">
        <f>Teachers!A199</f>
        <v>0</v>
      </c>
      <c r="F194" s="48">
        <f>Teachers!B199</f>
        <v>0</v>
      </c>
      <c r="G194" s="48" t="str">
        <f>Teachers!A199 &amp;" " &amp;Teachers!B199</f>
        <v xml:space="preserve"> </v>
      </c>
      <c r="J194" s="48">
        <f>Teachers!C199</f>
        <v>0</v>
      </c>
      <c r="K194" s="48" t="b">
        <f t="shared" si="11"/>
        <v>0</v>
      </c>
    </row>
    <row r="195" spans="1:11" x14ac:dyDescent="0.2">
      <c r="A195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","#",3))+1,1)&amp;"-"&amp;LEFT(Teachers!B200, 3)&amp;"-"&amp;LEFT(Teachers!A200, 3)&amp;"-"&amp;"2026"</f>
        <v>UID-NWF---2026</v>
      </c>
      <c r="C195" s="48">
        <f>Teachers!C200</f>
        <v>0</v>
      </c>
      <c r="D195" s="48" t="b">
        <f t="shared" si="10"/>
        <v>0</v>
      </c>
      <c r="E195" s="48">
        <f>Teachers!A200</f>
        <v>0</v>
      </c>
      <c r="F195" s="48">
        <f>Teachers!B200</f>
        <v>0</v>
      </c>
      <c r="G195" s="48" t="str">
        <f>Teachers!A200 &amp;" " &amp;Teachers!B200</f>
        <v xml:space="preserve"> </v>
      </c>
      <c r="J195" s="48">
        <f>Teachers!C200</f>
        <v>0</v>
      </c>
      <c r="K195" s="48" t="b">
        <f t="shared" si="11"/>
        <v>0</v>
      </c>
    </row>
    <row r="196" spans="1:11" x14ac:dyDescent="0.2">
      <c r="A196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","#",3))+1,1)&amp;"-"&amp;LEFT(Teachers!B201, 3)&amp;"-"&amp;LEFT(Teachers!A201, 3)&amp;"-"&amp;"2026"</f>
        <v>UID-NWF---2026</v>
      </c>
      <c r="C196" s="48">
        <f>Teachers!C201</f>
        <v>0</v>
      </c>
      <c r="D196" s="48" t="b">
        <f t="shared" si="10"/>
        <v>0</v>
      </c>
      <c r="E196" s="48">
        <f>Teachers!A201</f>
        <v>0</v>
      </c>
      <c r="F196" s="48">
        <f>Teachers!B201</f>
        <v>0</v>
      </c>
      <c r="G196" s="48" t="str">
        <f>Teachers!A201 &amp;" " &amp;Teachers!B201</f>
        <v xml:space="preserve"> </v>
      </c>
      <c r="J196" s="48">
        <f>Teachers!C201</f>
        <v>0</v>
      </c>
      <c r="K196" s="48" t="b">
        <f t="shared" si="11"/>
        <v>0</v>
      </c>
    </row>
    <row r="197" spans="1:11" x14ac:dyDescent="0.2">
      <c r="A197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","#",3))+1,1)&amp;"-"&amp;LEFT(Teachers!B202, 3)&amp;"-"&amp;LEFT(Teachers!A202, 3)&amp;"-"&amp;"2026"</f>
        <v>UID-NWF---2026</v>
      </c>
      <c r="C197" s="48">
        <f>Teachers!C202</f>
        <v>0</v>
      </c>
      <c r="D197" s="48" t="b">
        <f t="shared" si="10"/>
        <v>0</v>
      </c>
      <c r="E197" s="48">
        <f>Teachers!A202</f>
        <v>0</v>
      </c>
      <c r="F197" s="48">
        <f>Teachers!B202</f>
        <v>0</v>
      </c>
      <c r="G197" s="48" t="str">
        <f>Teachers!A202 &amp;" " &amp;Teachers!B202</f>
        <v xml:space="preserve"> </v>
      </c>
      <c r="J197" s="48">
        <f>Teachers!C202</f>
        <v>0</v>
      </c>
      <c r="K197" s="48" t="b">
        <f t="shared" si="11"/>
        <v>0</v>
      </c>
    </row>
    <row r="198" spans="1:11" x14ac:dyDescent="0.2">
      <c r="A198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","#",3))+1,1)&amp;"-"&amp;LEFT(Teachers!B203, 3)&amp;"-"&amp;LEFT(Teachers!A203, 3)&amp;"-"&amp;"2026"</f>
        <v>UID-NWF---2026</v>
      </c>
      <c r="C198" s="48">
        <f>Teachers!C203</f>
        <v>0</v>
      </c>
      <c r="D198" s="48" t="b">
        <f t="shared" si="10"/>
        <v>0</v>
      </c>
      <c r="E198" s="48">
        <f>Teachers!A203</f>
        <v>0</v>
      </c>
      <c r="F198" s="48">
        <f>Teachers!B203</f>
        <v>0</v>
      </c>
      <c r="G198" s="48" t="str">
        <f>Teachers!A203 &amp;" " &amp;Teachers!B203</f>
        <v xml:space="preserve"> </v>
      </c>
      <c r="J198" s="48">
        <f>Teachers!C203</f>
        <v>0</v>
      </c>
      <c r="K198" s="48" t="b">
        <f t="shared" si="11"/>
        <v>0</v>
      </c>
    </row>
    <row r="199" spans="1:11" x14ac:dyDescent="0.2">
      <c r="A199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","#",3))+1,1)&amp;"-"&amp;LEFT(Teachers!B204, 3)&amp;"-"&amp;LEFT(Teachers!A204, 3)&amp;"-"&amp;"2026"</f>
        <v>UID-NWF---2026</v>
      </c>
      <c r="C199" s="48">
        <f>Teachers!C204</f>
        <v>0</v>
      </c>
      <c r="D199" s="48" t="b">
        <f t="shared" si="10"/>
        <v>0</v>
      </c>
      <c r="E199" s="48">
        <f>Teachers!A204</f>
        <v>0</v>
      </c>
      <c r="F199" s="48">
        <f>Teachers!B204</f>
        <v>0</v>
      </c>
      <c r="G199" s="48" t="str">
        <f>Teachers!A204 &amp;" " &amp;Teachers!B204</f>
        <v xml:space="preserve"> </v>
      </c>
      <c r="J199" s="48">
        <f>Teachers!C204</f>
        <v>0</v>
      </c>
      <c r="K199" s="48" t="b">
        <f t="shared" si="11"/>
        <v>0</v>
      </c>
    </row>
    <row r="200" spans="1:11" x14ac:dyDescent="0.2">
      <c r="A200" s="48" t="str">
        <f>Teachers!$K$1&amp;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","#",3))+1,1)&amp;"-"&amp;LEFT(Teachers!B205, 3)&amp;"-"&amp;LEFT(Teachers!A205, 3)&amp;"-"&amp;"2026"</f>
        <v>UID-NWF---2026</v>
      </c>
      <c r="C200" s="48">
        <f>Teachers!C205</f>
        <v>0</v>
      </c>
      <c r="D200" s="48" t="b">
        <f t="shared" si="10"/>
        <v>0</v>
      </c>
      <c r="E200" s="48">
        <f>Teachers!A205</f>
        <v>0</v>
      </c>
      <c r="F200" s="48">
        <f>Teachers!B205</f>
        <v>0</v>
      </c>
      <c r="G200" s="48" t="str">
        <f>Teachers!A205 &amp;" " &amp;Teachers!B205</f>
        <v xml:space="preserve"> </v>
      </c>
      <c r="J200" s="48">
        <f>Teachers!C205</f>
        <v>0</v>
      </c>
      <c r="K200" s="48" t="b">
        <f t="shared" si="11"/>
        <v>0</v>
      </c>
    </row>
  </sheetData>
  <phoneticPr fontId="24" type="noConversion"/>
  <conditionalFormatting sqref="K1:K1048576">
    <cfRule type="cellIs" dxfId="2" priority="1" operator="equal">
      <formula>"active"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BB84-E52C-4225-AF72-2E5C5380578E}">
  <dimension ref="A1:AA123"/>
  <sheetViews>
    <sheetView workbookViewId="0">
      <selection activeCell="A2" sqref="A2:J2"/>
    </sheetView>
  </sheetViews>
  <sheetFormatPr baseColWidth="10" defaultColWidth="9" defaultRowHeight="16" x14ac:dyDescent="0.2"/>
  <cols>
    <col min="1" max="1" width="27.6640625" style="48" customWidth="1"/>
    <col min="2" max="2" width="35.5" style="48" customWidth="1"/>
    <col min="3" max="3" width="39.33203125" style="48" customWidth="1"/>
    <col min="4" max="4" width="30" style="48" customWidth="1"/>
    <col min="5" max="5" width="26" style="48" customWidth="1"/>
    <col min="6" max="6" width="6" style="48" bestFit="1" customWidth="1"/>
    <col min="7" max="7" width="9.6640625" style="48" bestFit="1" customWidth="1"/>
    <col min="8" max="8" width="9" style="48" bestFit="1" customWidth="1"/>
    <col min="9" max="9" width="13.5" style="48" bestFit="1" customWidth="1"/>
    <col min="10" max="10" width="18.33203125" style="48" bestFit="1" customWidth="1"/>
    <col min="11" max="14" width="9" style="48"/>
    <col min="15" max="15" width="115.6640625" style="48" bestFit="1" customWidth="1"/>
    <col min="16" max="16384" width="9" style="48"/>
  </cols>
  <sheetData>
    <row r="1" spans="1:27" s="47" customFormat="1" x14ac:dyDescent="0.2">
      <c r="A1" s="47" t="s">
        <v>61</v>
      </c>
      <c r="B1" s="47" t="s">
        <v>58</v>
      </c>
      <c r="C1" s="47" t="s">
        <v>62</v>
      </c>
      <c r="D1" s="47" t="s">
        <v>63</v>
      </c>
      <c r="E1" s="47" t="s">
        <v>64</v>
      </c>
      <c r="F1" s="47" t="s">
        <v>60</v>
      </c>
      <c r="G1" s="47" t="s">
        <v>65</v>
      </c>
      <c r="H1" s="47" t="s">
        <v>66</v>
      </c>
      <c r="I1" s="47" t="s">
        <v>67</v>
      </c>
      <c r="J1" s="47" t="s">
        <v>68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x14ac:dyDescent="0.2">
      <c r="A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","#",3))+1,1)&amp;"-"&amp;LEFT(Teachers!B7, 3)&amp;"-"&amp;LEFT(Teachers!A7, 3)&amp;"-"&amp;IF(ISNUMBER(Teachers!D7),"G"&amp;Teachers!D7,Teachers!D7)&amp;"-"&amp;"2026"</f>
        <v>CID-NWF-Str-Mon-G8-2026</v>
      </c>
      <c r="B2" s="48" t="str" cm="1">
        <f t="array" ref="B2">Teachers!B7&amp;" "&amp;_xlfn.IFS(AND(ISNUMBER(Teachers!D7),Teachers!D7&lt;&gt;9),"Grade "&amp;Teachers!D7,Teachers!D7=9,"Grade 9-12",ISTEXT(Teachers!D7),Teachers!D7)&amp;" "&amp;"Nationwide"&amp;" "&amp;"25-26"</f>
        <v>Stratmeier Grade 8 Nationwide 25-26</v>
      </c>
      <c r="C2" s="48" t="str">
        <f>B2</f>
        <v>Stratmeier Grade 8 Nationwide 25-26</v>
      </c>
      <c r="E2" s="50" t="s">
        <v>101</v>
      </c>
      <c r="F2" s="48" t="str">
        <f>IF(Teachers!B7&gt;0,"active")</f>
        <v>active</v>
      </c>
      <c r="J2" s="48" t="str">
        <f>"BP-"&amp;"TSWNW-"&amp;IF(ISNUMBER(Teachers!D7),""&amp;Teachers!D7,Teachers!D7)&amp;"-"&amp;"2026"</f>
        <v>BP-TSWNW-8-2026</v>
      </c>
      <c r="O2" s="49" t="s">
        <v>77</v>
      </c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x14ac:dyDescent="0.2">
      <c r="A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","#",3))+1,1)&amp;"-"&amp;LEFT(Teachers!B8, 3)&amp;"-"&amp;LEFT(Teachers!A8, 3)&amp;"-"&amp;IF(ISNUMBER(Teachers!D8),"G"&amp;Teachers!D8,Teachers!D8)&amp;"-"&amp;"2026"</f>
        <v>CID-NWF----2026</v>
      </c>
      <c r="B3" s="48" t="e" cm="1">
        <f t="array" ref="B3">Teachers!B8&amp;" "&amp;_xlfn.IFS(AND(ISNUMBER(Teachers!D8),Teachers!D8&lt;&gt;9),"Grade "&amp;Teachers!D8,Teachers!D8=9,"Grade 9-12",ISTEXT(Teachers!D8),Teachers!D8)&amp;" "&amp;"Nationwide"&amp;" "&amp;"25-26"</f>
        <v>#N/A</v>
      </c>
      <c r="C3" s="48" t="e">
        <f t="shared" ref="C3:C66" si="0">B3</f>
        <v>#N/A</v>
      </c>
      <c r="E3" s="50" t="s">
        <v>101</v>
      </c>
      <c r="F3" s="48" t="b">
        <f>IF(Teachers!B8&gt;0,"active")</f>
        <v>0</v>
      </c>
      <c r="J3" s="48" t="str">
        <f>"BP-"&amp;"TSWNW-"&amp;IF(ISNUMBER(Teachers!D8),""&amp;Teachers!D8,Teachers!D8)&amp;"-"&amp;"2026"</f>
        <v>BP-TSWNW--2026</v>
      </c>
      <c r="O3" s="49" t="s">
        <v>78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x14ac:dyDescent="0.2">
      <c r="A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","#",3))+1,1)&amp;"-"&amp;LEFT(Teachers!B9, 3)&amp;"-"&amp;LEFT(Teachers!A9, 3)&amp;"-"&amp;IF(ISNUMBER(Teachers!D9),"G"&amp;Teachers!D9,Teachers!D9)&amp;"-"&amp;"2026"</f>
        <v>CID-NWF----2026</v>
      </c>
      <c r="B4" s="48" t="e" cm="1">
        <f t="array" ref="B4">Teachers!B9&amp;" "&amp;_xlfn.IFS(AND(ISNUMBER(Teachers!D9),Teachers!D9&lt;&gt;9),"Grade "&amp;Teachers!D9,Teachers!D9=9,"Grade 9-12",ISTEXT(Teachers!D9),Teachers!D9)&amp;" "&amp;"Nationwide"&amp;" "&amp;"25-26"</f>
        <v>#N/A</v>
      </c>
      <c r="C4" s="48" t="e">
        <f t="shared" si="0"/>
        <v>#N/A</v>
      </c>
      <c r="E4" s="50" t="s">
        <v>101</v>
      </c>
      <c r="F4" s="48" t="b">
        <f>IF(Teachers!B9&gt;0,"active")</f>
        <v>0</v>
      </c>
      <c r="J4" s="48" t="str">
        <f>"BP-"&amp;"TSWNW-"&amp;IF(ISNUMBER(Teachers!D9),""&amp;Teachers!D9,Teachers!D9)&amp;"-"&amp;"2026"</f>
        <v>BP-TSWNW--2026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x14ac:dyDescent="0.2">
      <c r="A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","#",3))+1,1)&amp;"-"&amp;LEFT(Teachers!B10, 3)&amp;"-"&amp;LEFT(Teachers!A10, 3)&amp;"-"&amp;IF(ISNUMBER(Teachers!D10),"G"&amp;Teachers!D10,Teachers!D10)&amp;"-"&amp;"2026"</f>
        <v>CID-NWF----2026</v>
      </c>
      <c r="B5" s="48" t="e" cm="1">
        <f t="array" ref="B5">Teachers!B10&amp;" "&amp;_xlfn.IFS(AND(ISNUMBER(Teachers!D10),Teachers!D10&lt;&gt;9),"Grade "&amp;Teachers!D10,Teachers!D10=9,"Grade 9-12",ISTEXT(Teachers!D10),Teachers!D10)&amp;" "&amp;"Nationwide"&amp;" "&amp;"25-26"</f>
        <v>#N/A</v>
      </c>
      <c r="C5" s="48" t="e">
        <f t="shared" si="0"/>
        <v>#N/A</v>
      </c>
      <c r="E5" s="50" t="s">
        <v>101</v>
      </c>
      <c r="F5" s="48" t="b">
        <f>IF(Teachers!B10&gt;0,"active")</f>
        <v>0</v>
      </c>
      <c r="J5" s="48" t="str">
        <f>"BP-"&amp;"TSWNW-"&amp;IF(ISNUMBER(Teachers!D10),""&amp;Teachers!D10,Teachers!D10)&amp;"-"&amp;"2026"</f>
        <v>BP-TSWNW--2026</v>
      </c>
      <c r="O5" s="49" t="s">
        <v>79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x14ac:dyDescent="0.2">
      <c r="A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","#",3))+1,1)&amp;"-"&amp;LEFT(Teachers!B11, 3)&amp;"-"&amp;LEFT(Teachers!A11, 3)&amp;"-"&amp;IF(ISNUMBER(Teachers!D11),"G"&amp;Teachers!D11,Teachers!D11)&amp;"-"&amp;"2026"</f>
        <v>CID-NWF----2026</v>
      </c>
      <c r="B6" s="48" t="e" cm="1">
        <f t="array" ref="B6">Teachers!B11&amp;" "&amp;_xlfn.IFS(AND(ISNUMBER(Teachers!D11),Teachers!D11&lt;&gt;9),"Grade "&amp;Teachers!D11,Teachers!D11=9,"Grade 9-12",ISTEXT(Teachers!D11),Teachers!D11)&amp;" "&amp;"Nationwide"&amp;" "&amp;"25-26"</f>
        <v>#N/A</v>
      </c>
      <c r="C6" s="48" t="e">
        <f t="shared" si="0"/>
        <v>#N/A</v>
      </c>
      <c r="E6" s="50" t="s">
        <v>101</v>
      </c>
      <c r="F6" s="48" t="b">
        <f>IF(Teachers!B11&gt;0,"active")</f>
        <v>0</v>
      </c>
      <c r="J6" s="48" t="str">
        <f>"BP-"&amp;"TSWNW-"&amp;IF(ISNUMBER(Teachers!D11),""&amp;Teachers!D11,Teachers!D11)&amp;"-"&amp;"2026"</f>
        <v>BP-TSWNW--2026</v>
      </c>
      <c r="O6" s="49" t="s">
        <v>80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x14ac:dyDescent="0.2">
      <c r="A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","#",3))+1,1)&amp;"-"&amp;LEFT(Teachers!B12, 3)&amp;"-"&amp;LEFT(Teachers!A12, 3)&amp;"-"&amp;IF(ISNUMBER(Teachers!D12),"G"&amp;Teachers!D12,Teachers!D12)&amp;"-"&amp;"2026"</f>
        <v>CID-NWF----2026</v>
      </c>
      <c r="B7" s="48" t="e" cm="1">
        <f t="array" ref="B7">Teachers!B12&amp;" "&amp;_xlfn.IFS(AND(ISNUMBER(Teachers!D12),Teachers!D12&lt;&gt;9),"Grade "&amp;Teachers!D12,Teachers!D12=9,"Grade 9-12",ISTEXT(Teachers!D12),Teachers!D12)&amp;" "&amp;"Nationwide"&amp;" "&amp;"25-26"</f>
        <v>#N/A</v>
      </c>
      <c r="C7" s="48" t="e">
        <f t="shared" si="0"/>
        <v>#N/A</v>
      </c>
      <c r="E7" s="50" t="s">
        <v>101</v>
      </c>
      <c r="F7" s="48" t="b">
        <f>IF(Teachers!B12&gt;0,"active")</f>
        <v>0</v>
      </c>
      <c r="J7" s="48" t="str">
        <f>"BP-"&amp;"TSWNW-"&amp;IF(ISNUMBER(Teachers!D12),""&amp;Teachers!D12,Teachers!D12)&amp;"-"&amp;"2026"</f>
        <v>BP-TSWNW--2026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x14ac:dyDescent="0.2">
      <c r="A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","#",3))+1,1)&amp;"-"&amp;LEFT(Teachers!B13, 3)&amp;"-"&amp;LEFT(Teachers!A13, 3)&amp;"-"&amp;IF(ISNUMBER(Teachers!D13),"G"&amp;Teachers!D13,Teachers!D13)&amp;"-"&amp;"2026"</f>
        <v>CID-NWF----2026</v>
      </c>
      <c r="B8" s="48" t="e" cm="1">
        <f t="array" ref="B8">Teachers!B13&amp;" "&amp;_xlfn.IFS(AND(ISNUMBER(Teachers!D13),Teachers!D13&lt;&gt;9),"Grade "&amp;Teachers!D13,Teachers!D13=9,"Grade 9-12",ISTEXT(Teachers!D13),Teachers!D13)&amp;" "&amp;"Nationwide"&amp;" "&amp;"25-26"</f>
        <v>#N/A</v>
      </c>
      <c r="C8" s="48" t="e">
        <f t="shared" si="0"/>
        <v>#N/A</v>
      </c>
      <c r="E8" s="50" t="s">
        <v>101</v>
      </c>
      <c r="F8" s="48" t="b">
        <f>IF(Teachers!B13&gt;0,"active")</f>
        <v>0</v>
      </c>
      <c r="J8" s="48" t="str">
        <f>"BP-"&amp;"TSWNW-"&amp;IF(ISNUMBER(Teachers!D13),""&amp;Teachers!D13,Teachers!D13)&amp;"-"&amp;"2026"</f>
        <v>BP-TSWNW--2026</v>
      </c>
      <c r="O8" s="49" t="s">
        <v>81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x14ac:dyDescent="0.2">
      <c r="A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","#",3))+1,1)&amp;"-"&amp;LEFT(Teachers!B14, 3)&amp;"-"&amp;LEFT(Teachers!A14, 3)&amp;"-"&amp;IF(ISNUMBER(Teachers!D14),"G"&amp;Teachers!D14,Teachers!D14)&amp;"-"&amp;"2026"</f>
        <v>CID-NWF----2026</v>
      </c>
      <c r="B9" s="48" t="e" cm="1">
        <f t="array" ref="B9">Teachers!B14&amp;" "&amp;_xlfn.IFS(AND(ISNUMBER(Teachers!D14),Teachers!D14&lt;&gt;9),"Grade "&amp;Teachers!D14,Teachers!D14=9,"Grade 9-12",ISTEXT(Teachers!D14),Teachers!D14)&amp;" "&amp;"Nationwide"&amp;" "&amp;"25-26"</f>
        <v>#N/A</v>
      </c>
      <c r="C9" s="48" t="e">
        <f t="shared" si="0"/>
        <v>#N/A</v>
      </c>
      <c r="E9" s="50" t="s">
        <v>101</v>
      </c>
      <c r="F9" s="48" t="b">
        <f>IF(Teachers!B14&gt;0,"active")</f>
        <v>0</v>
      </c>
      <c r="J9" s="48" t="str">
        <f>"BP-"&amp;"TSWNW-"&amp;IF(ISNUMBER(Teachers!D14),""&amp;Teachers!D14,Teachers!D14)&amp;"-"&amp;"2026"</f>
        <v>BP-TSWNW--2026</v>
      </c>
      <c r="O9" s="49" t="s">
        <v>82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x14ac:dyDescent="0.2">
      <c r="A1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","#",3))+1,1)&amp;"-"&amp;LEFT(Teachers!B15, 3)&amp;"-"&amp;LEFT(Teachers!A15, 3)&amp;"-"&amp;IF(ISNUMBER(Teachers!D15),"G"&amp;Teachers!D15,Teachers!D15)&amp;"-"&amp;"2026"</f>
        <v>CID-NWF----2026</v>
      </c>
      <c r="B10" s="48" t="e" cm="1">
        <f t="array" ref="B10">Teachers!B15&amp;" "&amp;_xlfn.IFS(AND(ISNUMBER(Teachers!D15),Teachers!D15&lt;&gt;9),"Grade "&amp;Teachers!D15,Teachers!D15=9,"Grade 9-12",ISTEXT(Teachers!D15),Teachers!D15)&amp;" "&amp;"Nationwide"&amp;" "&amp;"25-26"</f>
        <v>#N/A</v>
      </c>
      <c r="C10" s="48" t="e">
        <f t="shared" si="0"/>
        <v>#N/A</v>
      </c>
      <c r="E10" s="50" t="s">
        <v>101</v>
      </c>
      <c r="F10" s="48" t="b">
        <f>IF(Teachers!B15&gt;0,"active")</f>
        <v>0</v>
      </c>
      <c r="J10" s="48" t="str">
        <f>"BP-"&amp;"TSWNW-"&amp;IF(ISNUMBER(Teachers!D15),""&amp;Teachers!D15,Teachers!D15)&amp;"-"&amp;"2026"</f>
        <v>BP-TSWNW--2026</v>
      </c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x14ac:dyDescent="0.2">
      <c r="A1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","#",3))+1,1)&amp;"-"&amp;LEFT(Teachers!B16, 3)&amp;"-"&amp;LEFT(Teachers!A16, 3)&amp;"-"&amp;IF(ISNUMBER(Teachers!D16),"G"&amp;Teachers!D16,Teachers!D16)&amp;"-"&amp;"2026"</f>
        <v>CID-NWF----2026</v>
      </c>
      <c r="B11" s="48" t="e" cm="1">
        <f t="array" ref="B11">Teachers!B16&amp;" "&amp;_xlfn.IFS(AND(ISNUMBER(Teachers!D16),Teachers!D16&lt;&gt;9),"Grade "&amp;Teachers!D16,Teachers!D16=9,"Grade 9-12",ISTEXT(Teachers!D16),Teachers!D16)&amp;" "&amp;"Nationwide"&amp;" "&amp;"25-26"</f>
        <v>#N/A</v>
      </c>
      <c r="C11" s="48" t="e">
        <f t="shared" si="0"/>
        <v>#N/A</v>
      </c>
      <c r="E11" s="50" t="s">
        <v>101</v>
      </c>
      <c r="F11" s="48" t="b">
        <f>IF(Teachers!B16&gt;0,"active")</f>
        <v>0</v>
      </c>
      <c r="J11" s="48" t="str">
        <f>"BP-"&amp;"TSWNW-"&amp;IF(ISNUMBER(Teachers!D16),""&amp;Teachers!D16,Teachers!D16)&amp;"-"&amp;"2026"</f>
        <v>BP-TSWNW--2026</v>
      </c>
      <c r="O11" s="49" t="s">
        <v>84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x14ac:dyDescent="0.2">
      <c r="A1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","#",3))+1,1)&amp;"-"&amp;LEFT(Teachers!B17, 3)&amp;"-"&amp;LEFT(Teachers!A17, 3)&amp;"-"&amp;IF(ISNUMBER(Teachers!D17),"G"&amp;Teachers!D17,Teachers!D17)&amp;"-"&amp;"2026"</f>
        <v>CID-NWF----2026</v>
      </c>
      <c r="B12" s="48" t="e" cm="1">
        <f t="array" ref="B12">Teachers!B17&amp;" "&amp;_xlfn.IFS(AND(ISNUMBER(Teachers!D17),Teachers!D17&lt;&gt;9),"Grade "&amp;Teachers!D17,Teachers!D17=9,"Grade 9-12",ISTEXT(Teachers!D17),Teachers!D17)&amp;" "&amp;"Nationwide"&amp;" "&amp;"25-26"</f>
        <v>#N/A</v>
      </c>
      <c r="C12" s="48" t="e">
        <f t="shared" si="0"/>
        <v>#N/A</v>
      </c>
      <c r="E12" s="50" t="s">
        <v>101</v>
      </c>
      <c r="F12" s="48" t="b">
        <f>IF(Teachers!B17&gt;0,"active")</f>
        <v>0</v>
      </c>
      <c r="J12" s="48" t="str">
        <f>"BP-"&amp;"TSWNW-"&amp;IF(ISNUMBER(Teachers!D17),""&amp;Teachers!D17,Teachers!D17)&amp;"-"&amp;"2026"</f>
        <v>BP-TSWNW--2026</v>
      </c>
      <c r="O12" s="49" t="s">
        <v>83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x14ac:dyDescent="0.2">
      <c r="A1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","#",3))+1,1)&amp;"-"&amp;LEFT(Teachers!B18, 3)&amp;"-"&amp;LEFT(Teachers!A18, 3)&amp;"-"&amp;IF(ISNUMBER(Teachers!D18),"G"&amp;Teachers!D18,Teachers!D18)&amp;"-"&amp;"2026"</f>
        <v>CID-NWF----2026</v>
      </c>
      <c r="B13" s="48" t="e" cm="1">
        <f t="array" ref="B13">Teachers!B18&amp;" "&amp;_xlfn.IFS(AND(ISNUMBER(Teachers!D18),Teachers!D18&lt;&gt;9),"Grade "&amp;Teachers!D18,Teachers!D18=9,"Grade 9-12",ISTEXT(Teachers!D18),Teachers!D18)&amp;" "&amp;"Nationwide"&amp;" "&amp;"25-26"</f>
        <v>#N/A</v>
      </c>
      <c r="C13" s="48" t="e">
        <f t="shared" si="0"/>
        <v>#N/A</v>
      </c>
      <c r="E13" s="50" t="s">
        <v>101</v>
      </c>
      <c r="F13" s="48" t="b">
        <f>IF(Teachers!B18&gt;0,"active")</f>
        <v>0</v>
      </c>
      <c r="J13" s="48" t="str">
        <f>"BP-"&amp;"TSWNW-"&amp;IF(ISNUMBER(Teachers!D18),""&amp;Teachers!D18,Teachers!D18)&amp;"-"&amp;"2026"</f>
        <v>BP-TSWNW--2026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x14ac:dyDescent="0.2">
      <c r="A1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","#",3))+1,1)&amp;"-"&amp;LEFT(Teachers!B19, 3)&amp;"-"&amp;LEFT(Teachers!A19, 3)&amp;"-"&amp;IF(ISNUMBER(Teachers!D19),"G"&amp;Teachers!D19,Teachers!D19)&amp;"-"&amp;"2026"</f>
        <v>CID-NWF----2026</v>
      </c>
      <c r="B14" s="48" t="e" cm="1">
        <f t="array" ref="B14">Teachers!B19&amp;" "&amp;_xlfn.IFS(AND(ISNUMBER(Teachers!D19),Teachers!D19&lt;&gt;9),"Grade "&amp;Teachers!D19,Teachers!D19=9,"Grade 9-12",ISTEXT(Teachers!D19),Teachers!D19)&amp;" "&amp;"Nationwide"&amp;" "&amp;"25-26"</f>
        <v>#N/A</v>
      </c>
      <c r="C14" s="48" t="e">
        <f t="shared" si="0"/>
        <v>#N/A</v>
      </c>
      <c r="E14" s="50" t="s">
        <v>101</v>
      </c>
      <c r="F14" s="48" t="b">
        <f>IF(Teachers!B19&gt;0,"active")</f>
        <v>0</v>
      </c>
      <c r="J14" s="48" t="str">
        <f>"BP-"&amp;"TSWNW-"&amp;IF(ISNUMBER(Teachers!D19),""&amp;Teachers!D19,Teachers!D19)&amp;"-"&amp;"2026"</f>
        <v>BP-TSWNW--2026</v>
      </c>
      <c r="O14" s="49" t="s">
        <v>85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x14ac:dyDescent="0.2">
      <c r="A1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","#",3))+1,1)&amp;"-"&amp;LEFT(Teachers!B20, 3)&amp;"-"&amp;LEFT(Teachers!A20, 3)&amp;"-"&amp;IF(ISNUMBER(Teachers!D20),"G"&amp;Teachers!D20,Teachers!D20)&amp;"-"&amp;"2026"</f>
        <v>CID-NWF----2026</v>
      </c>
      <c r="B15" s="48" t="e" cm="1">
        <f t="array" ref="B15">Teachers!B20&amp;" "&amp;_xlfn.IFS(AND(ISNUMBER(Teachers!D20),Teachers!D20&lt;&gt;9),"Grade "&amp;Teachers!D20,Teachers!D20=9,"Grade 9-12",ISTEXT(Teachers!D20),Teachers!D20)&amp;" "&amp;"Nationwide"&amp;" "&amp;"25-26"</f>
        <v>#N/A</v>
      </c>
      <c r="C15" s="48" t="e">
        <f t="shared" si="0"/>
        <v>#N/A</v>
      </c>
      <c r="E15" s="50" t="s">
        <v>101</v>
      </c>
      <c r="F15" s="48" t="b">
        <f>IF(Teachers!B20&gt;0,"active")</f>
        <v>0</v>
      </c>
      <c r="J15" s="48" t="str">
        <f>"BP-"&amp;"TSWNW-"&amp;IF(ISNUMBER(Teachers!D20),""&amp;Teachers!D20,Teachers!D20)&amp;"-"&amp;"2026"</f>
        <v>BP-TSWNW--2026</v>
      </c>
      <c r="O15" s="49" t="s">
        <v>86</v>
      </c>
    </row>
    <row r="16" spans="1:27" x14ac:dyDescent="0.2">
      <c r="A1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","#",3))+1,1)&amp;"-"&amp;LEFT(Teachers!B21, 3)&amp;"-"&amp;LEFT(Teachers!A21, 3)&amp;"-"&amp;IF(ISNUMBER(Teachers!D21),"G"&amp;Teachers!D21,Teachers!D21)&amp;"-"&amp;"2026"</f>
        <v>CID-NWF----2026</v>
      </c>
      <c r="B16" s="48" t="e" cm="1">
        <f t="array" ref="B16">Teachers!B21&amp;" "&amp;_xlfn.IFS(AND(ISNUMBER(Teachers!D21),Teachers!D21&lt;&gt;9),"Grade "&amp;Teachers!D21,Teachers!D21=9,"Grade 9-12",ISTEXT(Teachers!D21),Teachers!D21)&amp;" "&amp;"Nationwide"&amp;" "&amp;"25-26"</f>
        <v>#N/A</v>
      </c>
      <c r="C16" s="48" t="e">
        <f t="shared" si="0"/>
        <v>#N/A</v>
      </c>
      <c r="E16" s="50" t="s">
        <v>101</v>
      </c>
      <c r="F16" s="48" t="b">
        <f>IF(Teachers!B21&gt;0,"active")</f>
        <v>0</v>
      </c>
      <c r="J16" s="48" t="str">
        <f>"BP-"&amp;"TSWNW-"&amp;IF(ISNUMBER(Teachers!D21),""&amp;Teachers!D21,Teachers!D21)&amp;"-"&amp;"2026"</f>
        <v>BP-TSWNW--2026</v>
      </c>
    </row>
    <row r="17" spans="1:10" x14ac:dyDescent="0.2">
      <c r="A1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","#",3))+1,1)&amp;"-"&amp;LEFT(Teachers!B22, 3)&amp;"-"&amp;LEFT(Teachers!A22, 3)&amp;"-"&amp;IF(ISNUMBER(Teachers!D22),"G"&amp;Teachers!D22,Teachers!D22)&amp;"-"&amp;"2026"</f>
        <v>CID-NWF----2026</v>
      </c>
      <c r="B17" s="48" t="e" cm="1">
        <f t="array" ref="B17">Teachers!B22&amp;" "&amp;_xlfn.IFS(AND(ISNUMBER(Teachers!D22),Teachers!D22&lt;&gt;9),"Grade "&amp;Teachers!D22,Teachers!D22=9,"Grade 9-12",ISTEXT(Teachers!D22),Teachers!D22)&amp;" "&amp;"Nationwide"&amp;" "&amp;"25-26"</f>
        <v>#N/A</v>
      </c>
      <c r="C17" s="48" t="e">
        <f t="shared" si="0"/>
        <v>#N/A</v>
      </c>
      <c r="E17" s="50" t="s">
        <v>101</v>
      </c>
      <c r="F17" s="48" t="b">
        <f>IF(Teachers!B22&gt;0,"active")</f>
        <v>0</v>
      </c>
      <c r="J17" s="48" t="str">
        <f>"BP-"&amp;"TSWNW-"&amp;IF(ISNUMBER(Teachers!D22),""&amp;Teachers!D22,Teachers!D22)&amp;"-"&amp;"2026"</f>
        <v>BP-TSWNW--2026</v>
      </c>
    </row>
    <row r="18" spans="1:10" x14ac:dyDescent="0.2">
      <c r="A1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","#",3))+1,1)&amp;"-"&amp;LEFT(Teachers!B23, 3)&amp;"-"&amp;LEFT(Teachers!A23, 3)&amp;"-"&amp;IF(ISNUMBER(Teachers!D23),"G"&amp;Teachers!D23,Teachers!D23)&amp;"-"&amp;"2026"</f>
        <v>CID-NWF----2026</v>
      </c>
      <c r="B18" s="48" t="e" cm="1">
        <f t="array" ref="B18">Teachers!B23&amp;" "&amp;_xlfn.IFS(AND(ISNUMBER(Teachers!D23),Teachers!D23&lt;&gt;9),"Grade "&amp;Teachers!D23,Teachers!D23=9,"Grade 9-12",ISTEXT(Teachers!D23),Teachers!D23)&amp;" "&amp;"Nationwide"&amp;" "&amp;"25-26"</f>
        <v>#N/A</v>
      </c>
      <c r="C18" s="48" t="e">
        <f t="shared" si="0"/>
        <v>#N/A</v>
      </c>
      <c r="E18" s="50" t="s">
        <v>101</v>
      </c>
      <c r="F18" s="48" t="b">
        <f>IF(Teachers!B23&gt;0,"active")</f>
        <v>0</v>
      </c>
      <c r="J18" s="48" t="str">
        <f>"BP-"&amp;"TSWNW-"&amp;IF(ISNUMBER(Teachers!D23),""&amp;Teachers!D23,Teachers!D23)&amp;"-"&amp;"2026"</f>
        <v>BP-TSWNW--2026</v>
      </c>
    </row>
    <row r="19" spans="1:10" x14ac:dyDescent="0.2">
      <c r="A1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","#",3))+1,1)&amp;"-"&amp;LEFT(Teachers!B24, 3)&amp;"-"&amp;LEFT(Teachers!A24, 3)&amp;"-"&amp;IF(ISNUMBER(Teachers!D24),"G"&amp;Teachers!D24,Teachers!D24)&amp;"-"&amp;"2026"</f>
        <v>CID-NWF----2026</v>
      </c>
      <c r="B19" s="48" t="e" cm="1">
        <f t="array" ref="B19">Teachers!B24&amp;" "&amp;_xlfn.IFS(AND(ISNUMBER(Teachers!D24),Teachers!D24&lt;&gt;9),"Grade "&amp;Teachers!D24,Teachers!D24=9,"Grade 9-12",ISTEXT(Teachers!D24),Teachers!D24)&amp;" "&amp;"Nationwide"&amp;" "&amp;"25-26"</f>
        <v>#N/A</v>
      </c>
      <c r="C19" s="48" t="e">
        <f t="shared" si="0"/>
        <v>#N/A</v>
      </c>
      <c r="E19" s="50" t="s">
        <v>101</v>
      </c>
      <c r="F19" s="48" t="b">
        <f>IF(Teachers!B24&gt;0,"active")</f>
        <v>0</v>
      </c>
      <c r="J19" s="48" t="str">
        <f>"BP-"&amp;"TSWNW-"&amp;IF(ISNUMBER(Teachers!D24),""&amp;Teachers!D24,Teachers!D24)&amp;"-"&amp;"2026"</f>
        <v>BP-TSWNW--2026</v>
      </c>
    </row>
    <row r="20" spans="1:10" x14ac:dyDescent="0.2">
      <c r="A2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","#",3))+1,1)&amp;"-"&amp;LEFT(Teachers!B25, 3)&amp;"-"&amp;LEFT(Teachers!A25, 3)&amp;"-"&amp;IF(ISNUMBER(Teachers!D25),"G"&amp;Teachers!D25,Teachers!D25)&amp;"-"&amp;"2026"</f>
        <v>CID-NWF----2026</v>
      </c>
      <c r="B20" s="48" t="e" cm="1">
        <f t="array" ref="B20">Teachers!B25&amp;" "&amp;_xlfn.IFS(AND(ISNUMBER(Teachers!D25),Teachers!D25&lt;&gt;9),"Grade "&amp;Teachers!D25,Teachers!D25=9,"Grade 9-12",ISTEXT(Teachers!D25),Teachers!D25)&amp;" "&amp;"Nationwide"&amp;" "&amp;"25-26"</f>
        <v>#N/A</v>
      </c>
      <c r="C20" s="48" t="e">
        <f t="shared" si="0"/>
        <v>#N/A</v>
      </c>
      <c r="E20" s="50" t="s">
        <v>101</v>
      </c>
      <c r="F20" s="48" t="b">
        <f>IF(Teachers!B25&gt;0,"active")</f>
        <v>0</v>
      </c>
      <c r="J20" s="48" t="str">
        <f>"BP-"&amp;"TSWNW-"&amp;IF(ISNUMBER(Teachers!D25),""&amp;Teachers!D25,Teachers!D25)&amp;"-"&amp;"2026"</f>
        <v>BP-TSWNW--2026</v>
      </c>
    </row>
    <row r="21" spans="1:10" x14ac:dyDescent="0.2">
      <c r="A2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","#",3))+1,1)&amp;"-"&amp;LEFT(Teachers!B26, 3)&amp;"-"&amp;LEFT(Teachers!A26, 3)&amp;"-"&amp;IF(ISNUMBER(Teachers!D26),"G"&amp;Teachers!D26,Teachers!D26)&amp;"-"&amp;"2026"</f>
        <v>CID-NWF----2026</v>
      </c>
      <c r="B21" s="48" t="e" cm="1">
        <f t="array" ref="B21">Teachers!B26&amp;" "&amp;_xlfn.IFS(AND(ISNUMBER(Teachers!D26),Teachers!D26&lt;&gt;9),"Grade "&amp;Teachers!D26,Teachers!D26=9,"Grade 9-12",ISTEXT(Teachers!D26),Teachers!D26)&amp;" "&amp;"Nationwide"&amp;" "&amp;"25-26"</f>
        <v>#N/A</v>
      </c>
      <c r="C21" s="48" t="e">
        <f t="shared" si="0"/>
        <v>#N/A</v>
      </c>
      <c r="E21" s="50" t="s">
        <v>101</v>
      </c>
      <c r="F21" s="48" t="b">
        <f>IF(Teachers!B26&gt;0,"active")</f>
        <v>0</v>
      </c>
      <c r="J21" s="48" t="str">
        <f>"BP-"&amp;"TSWNW-"&amp;IF(ISNUMBER(Teachers!D26),""&amp;Teachers!D26,Teachers!D26)&amp;"-"&amp;"2026"</f>
        <v>BP-TSWNW--2026</v>
      </c>
    </row>
    <row r="22" spans="1:10" x14ac:dyDescent="0.2">
      <c r="A2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","#",3))+1,1)&amp;"-"&amp;LEFT(Teachers!B27, 3)&amp;"-"&amp;LEFT(Teachers!A27, 3)&amp;"-"&amp;IF(ISNUMBER(Teachers!D27),"G"&amp;Teachers!D27,Teachers!D27)&amp;"-"&amp;"2026"</f>
        <v>CID-NWF----2026</v>
      </c>
      <c r="B22" s="48" t="e" cm="1">
        <f t="array" ref="B22">Teachers!B27&amp;" "&amp;_xlfn.IFS(AND(ISNUMBER(Teachers!D27),Teachers!D27&lt;&gt;9),"Grade "&amp;Teachers!D27,Teachers!D27=9,"Grade 9-12",ISTEXT(Teachers!D27),Teachers!D27)&amp;" "&amp;"Nationwide"&amp;" "&amp;"25-26"</f>
        <v>#N/A</v>
      </c>
      <c r="C22" s="48" t="e">
        <f t="shared" si="0"/>
        <v>#N/A</v>
      </c>
      <c r="E22" s="50" t="s">
        <v>101</v>
      </c>
      <c r="F22" s="48" t="b">
        <f>IF(Teachers!B27&gt;0,"active")</f>
        <v>0</v>
      </c>
      <c r="J22" s="48" t="str">
        <f>"BP-"&amp;"TSWNW-"&amp;IF(ISNUMBER(Teachers!D27),""&amp;Teachers!D27,Teachers!D27)&amp;"-"&amp;"2026"</f>
        <v>BP-TSWNW--2026</v>
      </c>
    </row>
    <row r="23" spans="1:10" x14ac:dyDescent="0.2">
      <c r="A2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","#",3))+1,1)&amp;"-"&amp;LEFT(Teachers!B28, 3)&amp;"-"&amp;LEFT(Teachers!A28, 3)&amp;"-"&amp;IF(ISNUMBER(Teachers!D28),"G"&amp;Teachers!D28,Teachers!D28)&amp;"-"&amp;"2026"</f>
        <v>CID-NWF----2026</v>
      </c>
      <c r="B23" s="48" t="e" cm="1">
        <f t="array" ref="B23">Teachers!B28&amp;" "&amp;_xlfn.IFS(AND(ISNUMBER(Teachers!D28),Teachers!D28&lt;&gt;9),"Grade "&amp;Teachers!D28,Teachers!D28=9,"Grade 9-12",ISTEXT(Teachers!D28),Teachers!D28)&amp;" "&amp;"Nationwide"&amp;" "&amp;"25-26"</f>
        <v>#N/A</v>
      </c>
      <c r="C23" s="48" t="e">
        <f t="shared" si="0"/>
        <v>#N/A</v>
      </c>
      <c r="E23" s="50" t="s">
        <v>101</v>
      </c>
      <c r="F23" s="48" t="b">
        <f>IF(Teachers!B28&gt;0,"active")</f>
        <v>0</v>
      </c>
      <c r="J23" s="48" t="str">
        <f>"BP-"&amp;"TSWNW-"&amp;IF(ISNUMBER(Teachers!D28),""&amp;Teachers!D28,Teachers!D28)&amp;"-"&amp;"2026"</f>
        <v>BP-TSWNW--2026</v>
      </c>
    </row>
    <row r="24" spans="1:10" x14ac:dyDescent="0.2">
      <c r="A2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","#",3))+1,1)&amp;"-"&amp;LEFT(Teachers!B29, 3)&amp;"-"&amp;LEFT(Teachers!A29, 3)&amp;"-"&amp;IF(ISNUMBER(Teachers!D29),"G"&amp;Teachers!D29,Teachers!D29)&amp;"-"&amp;"2026"</f>
        <v>CID-NWF----2026</v>
      </c>
      <c r="B24" s="48" t="e" cm="1">
        <f t="array" ref="B24">Teachers!B29&amp;" "&amp;_xlfn.IFS(AND(ISNUMBER(Teachers!D29),Teachers!D29&lt;&gt;9),"Grade "&amp;Teachers!D29,Teachers!D29=9,"Grade 9-12",ISTEXT(Teachers!D29),Teachers!D29)&amp;" "&amp;"Nationwide"&amp;" "&amp;"25-26"</f>
        <v>#N/A</v>
      </c>
      <c r="C24" s="48" t="e">
        <f t="shared" si="0"/>
        <v>#N/A</v>
      </c>
      <c r="E24" s="50" t="s">
        <v>101</v>
      </c>
      <c r="F24" s="48" t="b">
        <f>IF(Teachers!B29&gt;0,"active")</f>
        <v>0</v>
      </c>
      <c r="J24" s="48" t="str">
        <f>"BP-"&amp;"TSWNW-"&amp;IF(ISNUMBER(Teachers!D29),""&amp;Teachers!D29,Teachers!D29)&amp;"-"&amp;"2026"</f>
        <v>BP-TSWNW--2026</v>
      </c>
    </row>
    <row r="25" spans="1:10" x14ac:dyDescent="0.2">
      <c r="A2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","#",3))+1,1)&amp;"-"&amp;LEFT(Teachers!B30, 3)&amp;"-"&amp;LEFT(Teachers!A30, 3)&amp;"-"&amp;IF(ISNUMBER(Teachers!D30),"G"&amp;Teachers!D30,Teachers!D30)&amp;"-"&amp;"2026"</f>
        <v>CID-NWF----2026</v>
      </c>
      <c r="B25" s="48" t="e" cm="1">
        <f t="array" ref="B25">Teachers!B30&amp;" "&amp;_xlfn.IFS(AND(ISNUMBER(Teachers!D30),Teachers!D30&lt;&gt;9),"Grade "&amp;Teachers!D30,Teachers!D30=9,"Grade 9-12",ISTEXT(Teachers!D30),Teachers!D30)&amp;" "&amp;"Nationwide"&amp;" "&amp;"25-26"</f>
        <v>#N/A</v>
      </c>
      <c r="C25" s="48" t="e">
        <f t="shared" si="0"/>
        <v>#N/A</v>
      </c>
      <c r="E25" s="50" t="s">
        <v>101</v>
      </c>
      <c r="F25" s="48" t="b">
        <f>IF(Teachers!B30&gt;0,"active")</f>
        <v>0</v>
      </c>
      <c r="J25" s="48" t="str">
        <f>"BP-"&amp;"TSWNW-"&amp;IF(ISNUMBER(Teachers!D30),""&amp;Teachers!D30,Teachers!D30)&amp;"-"&amp;"2026"</f>
        <v>BP-TSWNW--2026</v>
      </c>
    </row>
    <row r="26" spans="1:10" x14ac:dyDescent="0.2">
      <c r="A2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","#",3))+1,1)&amp;"-"&amp;LEFT(Teachers!B31, 3)&amp;"-"&amp;LEFT(Teachers!A31, 3)&amp;"-"&amp;IF(ISNUMBER(Teachers!D31),"G"&amp;Teachers!D31,Teachers!D31)&amp;"-"&amp;"2026"</f>
        <v>CID-NWF----2026</v>
      </c>
      <c r="B26" s="48" t="e" cm="1">
        <f t="array" ref="B26">Teachers!B31&amp;" "&amp;_xlfn.IFS(AND(ISNUMBER(Teachers!D31),Teachers!D31&lt;&gt;9),"Grade "&amp;Teachers!D31,Teachers!D31=9,"Grade 9-12",ISTEXT(Teachers!D31),Teachers!D31)&amp;" "&amp;"Nationwide"&amp;" "&amp;"25-26"</f>
        <v>#N/A</v>
      </c>
      <c r="C26" s="48" t="e">
        <f t="shared" si="0"/>
        <v>#N/A</v>
      </c>
      <c r="E26" s="50" t="s">
        <v>101</v>
      </c>
      <c r="F26" s="48" t="b">
        <f>IF(Teachers!B31&gt;0,"active")</f>
        <v>0</v>
      </c>
      <c r="J26" s="48" t="str">
        <f>"BP-"&amp;"TSWNW-"&amp;IF(ISNUMBER(Teachers!D31),""&amp;Teachers!D31,Teachers!D31)&amp;"-"&amp;"2026"</f>
        <v>BP-TSWNW--2026</v>
      </c>
    </row>
    <row r="27" spans="1:10" x14ac:dyDescent="0.2">
      <c r="A2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","#",3))+1,1)&amp;"-"&amp;LEFT(Teachers!B32, 3)&amp;"-"&amp;LEFT(Teachers!A32, 3)&amp;"-"&amp;IF(ISNUMBER(Teachers!D32),"G"&amp;Teachers!D32,Teachers!D32)&amp;"-"&amp;"2026"</f>
        <v>CID-NWF----2026</v>
      </c>
      <c r="B27" s="48" t="e" cm="1">
        <f t="array" ref="B27">Teachers!B32&amp;" "&amp;_xlfn.IFS(AND(ISNUMBER(Teachers!D32),Teachers!D32&lt;&gt;9),"Grade "&amp;Teachers!D32,Teachers!D32=9,"Grade 9-12",ISTEXT(Teachers!D32),Teachers!D32)&amp;" "&amp;"Nationwide"&amp;" "&amp;"25-26"</f>
        <v>#N/A</v>
      </c>
      <c r="C27" s="48" t="e">
        <f t="shared" si="0"/>
        <v>#N/A</v>
      </c>
      <c r="E27" s="50" t="s">
        <v>101</v>
      </c>
      <c r="F27" s="48" t="b">
        <f>IF(Teachers!B32&gt;0,"active")</f>
        <v>0</v>
      </c>
      <c r="J27" s="48" t="str">
        <f>"BP-"&amp;"TSWNW-"&amp;IF(ISNUMBER(Teachers!D32),""&amp;Teachers!D32,Teachers!D32)&amp;"-"&amp;"2026"</f>
        <v>BP-TSWNW--2026</v>
      </c>
    </row>
    <row r="28" spans="1:10" x14ac:dyDescent="0.2">
      <c r="A2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","#",3))+1,1)&amp;"-"&amp;LEFT(Teachers!B33, 3)&amp;"-"&amp;LEFT(Teachers!A33, 3)&amp;"-"&amp;IF(ISNUMBER(Teachers!D33),"G"&amp;Teachers!D33,Teachers!D33)&amp;"-"&amp;"2026"</f>
        <v>CID-NWF----2026</v>
      </c>
      <c r="B28" s="48" t="e" cm="1">
        <f t="array" ref="B28">Teachers!B33&amp;" "&amp;_xlfn.IFS(AND(ISNUMBER(Teachers!D33),Teachers!D33&lt;&gt;9),"Grade "&amp;Teachers!D33,Teachers!D33=9,"Grade 9-12",ISTEXT(Teachers!D33),Teachers!D33)&amp;" "&amp;"Nationwide"&amp;" "&amp;"25-26"</f>
        <v>#N/A</v>
      </c>
      <c r="C28" s="48" t="e">
        <f t="shared" si="0"/>
        <v>#N/A</v>
      </c>
      <c r="E28" s="50" t="s">
        <v>101</v>
      </c>
      <c r="F28" s="48" t="b">
        <f>IF(Teachers!B33&gt;0,"active")</f>
        <v>0</v>
      </c>
      <c r="J28" s="48" t="str">
        <f>"BP-"&amp;"TSWNW-"&amp;IF(ISNUMBER(Teachers!D33),""&amp;Teachers!D33,Teachers!D33)&amp;"-"&amp;"2026"</f>
        <v>BP-TSWNW--2026</v>
      </c>
    </row>
    <row r="29" spans="1:10" x14ac:dyDescent="0.2">
      <c r="A2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","#",3))+1,1)&amp;"-"&amp;LEFT(Teachers!B34, 3)&amp;"-"&amp;LEFT(Teachers!A34, 3)&amp;"-"&amp;IF(ISNUMBER(Teachers!D34),"G"&amp;Teachers!D34,Teachers!D34)&amp;"-"&amp;"2026"</f>
        <v>CID-NWF----2026</v>
      </c>
      <c r="B29" s="48" t="e" cm="1">
        <f t="array" ref="B29">Teachers!B34&amp;" "&amp;_xlfn.IFS(AND(ISNUMBER(Teachers!D34),Teachers!D34&lt;&gt;9),"Grade "&amp;Teachers!D34,Teachers!D34=9,"Grade 9-12",ISTEXT(Teachers!D34),Teachers!D34)&amp;" "&amp;"Nationwide"&amp;" "&amp;"25-26"</f>
        <v>#N/A</v>
      </c>
      <c r="C29" s="48" t="e">
        <f t="shared" si="0"/>
        <v>#N/A</v>
      </c>
      <c r="E29" s="50" t="s">
        <v>101</v>
      </c>
      <c r="F29" s="48" t="b">
        <f>IF(Teachers!B34&gt;0,"active")</f>
        <v>0</v>
      </c>
      <c r="J29" s="48" t="str">
        <f>"BP-"&amp;"TSWNW-"&amp;IF(ISNUMBER(Teachers!D34),""&amp;Teachers!D34,Teachers!D34)&amp;"-"&amp;"2026"</f>
        <v>BP-TSWNW--2026</v>
      </c>
    </row>
    <row r="30" spans="1:10" x14ac:dyDescent="0.2">
      <c r="A3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","#",3))+1,1)&amp;"-"&amp;LEFT(Teachers!B35, 3)&amp;"-"&amp;LEFT(Teachers!A35, 3)&amp;"-"&amp;IF(ISNUMBER(Teachers!D35),"G"&amp;Teachers!D35,Teachers!D35)&amp;"-"&amp;"2026"</f>
        <v>CID-NWF----2026</v>
      </c>
      <c r="B30" s="48" t="e" cm="1">
        <f t="array" ref="B30">Teachers!B35&amp;" "&amp;_xlfn.IFS(AND(ISNUMBER(Teachers!D35),Teachers!D35&lt;&gt;9),"Grade "&amp;Teachers!D35,Teachers!D35=9,"Grade 9-12",ISTEXT(Teachers!D35),Teachers!D35)&amp;" "&amp;"Nationwide"&amp;" "&amp;"25-26"</f>
        <v>#N/A</v>
      </c>
      <c r="C30" s="48" t="e">
        <f t="shared" si="0"/>
        <v>#N/A</v>
      </c>
      <c r="E30" s="50" t="s">
        <v>101</v>
      </c>
      <c r="F30" s="48" t="b">
        <f>IF(Teachers!B35&gt;0,"active")</f>
        <v>0</v>
      </c>
      <c r="J30" s="48" t="str">
        <f>"BP-"&amp;"TSWNW-"&amp;IF(ISNUMBER(Teachers!D35),""&amp;Teachers!D35,Teachers!D35)&amp;"-"&amp;"2026"</f>
        <v>BP-TSWNW--2026</v>
      </c>
    </row>
    <row r="31" spans="1:10" x14ac:dyDescent="0.2">
      <c r="A3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","#",3))+1,1)&amp;"-"&amp;LEFT(Teachers!B36, 3)&amp;"-"&amp;LEFT(Teachers!A36, 3)&amp;"-"&amp;IF(ISNUMBER(Teachers!D36),"G"&amp;Teachers!D36,Teachers!D36)&amp;"-"&amp;"2026"</f>
        <v>CID-NWF----2026</v>
      </c>
      <c r="B31" s="48" t="e" cm="1">
        <f t="array" ref="B31">Teachers!B36&amp;" "&amp;_xlfn.IFS(AND(ISNUMBER(Teachers!D36),Teachers!D36&lt;&gt;9),"Grade "&amp;Teachers!D36,Teachers!D36=9,"Grade 9-12",ISTEXT(Teachers!D36),Teachers!D36)&amp;" "&amp;"Nationwide"&amp;" "&amp;"25-26"</f>
        <v>#N/A</v>
      </c>
      <c r="C31" s="48" t="e">
        <f t="shared" si="0"/>
        <v>#N/A</v>
      </c>
      <c r="E31" s="50" t="s">
        <v>101</v>
      </c>
      <c r="F31" s="48" t="b">
        <f>IF(Teachers!B36&gt;0,"active")</f>
        <v>0</v>
      </c>
      <c r="J31" s="48" t="str">
        <f>"BP-"&amp;"TSWNW-"&amp;IF(ISNUMBER(Teachers!D36),""&amp;Teachers!D36,Teachers!D36)&amp;"-"&amp;"2026"</f>
        <v>BP-TSWNW--2026</v>
      </c>
    </row>
    <row r="32" spans="1:10" x14ac:dyDescent="0.2">
      <c r="A3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","#",3))+1,1)&amp;"-"&amp;LEFT(Teachers!B37, 3)&amp;"-"&amp;LEFT(Teachers!A37, 3)&amp;"-"&amp;IF(ISNUMBER(Teachers!D37),"G"&amp;Teachers!D37,Teachers!D37)&amp;"-"&amp;"2026"</f>
        <v>CID-NWF----2026</v>
      </c>
      <c r="B32" s="48" t="e" cm="1">
        <f t="array" ref="B32">Teachers!B37&amp;" "&amp;_xlfn.IFS(AND(ISNUMBER(Teachers!D37),Teachers!D37&lt;&gt;9),"Grade "&amp;Teachers!D37,Teachers!D37=9,"Grade 9-12",ISTEXT(Teachers!D37),Teachers!D37)&amp;" "&amp;"Nationwide"&amp;" "&amp;"25-26"</f>
        <v>#N/A</v>
      </c>
      <c r="C32" s="48" t="e">
        <f t="shared" si="0"/>
        <v>#N/A</v>
      </c>
      <c r="E32" s="50" t="s">
        <v>101</v>
      </c>
      <c r="F32" s="48" t="b">
        <f>IF(Teachers!B37&gt;0,"active")</f>
        <v>0</v>
      </c>
      <c r="J32" s="48" t="str">
        <f>"BP-"&amp;"TSWNW-"&amp;IF(ISNUMBER(Teachers!D37),""&amp;Teachers!D37,Teachers!D37)&amp;"-"&amp;"2026"</f>
        <v>BP-TSWNW--2026</v>
      </c>
    </row>
    <row r="33" spans="1:10" x14ac:dyDescent="0.2">
      <c r="A3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","#",3))+1,1)&amp;"-"&amp;LEFT(Teachers!B38, 3)&amp;"-"&amp;LEFT(Teachers!A38, 3)&amp;"-"&amp;IF(ISNUMBER(Teachers!D38),"G"&amp;Teachers!D38,Teachers!D38)&amp;"-"&amp;"2026"</f>
        <v>CID-NWF----2026</v>
      </c>
      <c r="B33" s="48" t="e" cm="1">
        <f t="array" ref="B33">Teachers!B38&amp;" "&amp;_xlfn.IFS(AND(ISNUMBER(Teachers!D38),Teachers!D38&lt;&gt;9),"Grade "&amp;Teachers!D38,Teachers!D38=9,"Grade 9-12",ISTEXT(Teachers!D38),Teachers!D38)&amp;" "&amp;"Nationwide"&amp;" "&amp;"25-26"</f>
        <v>#N/A</v>
      </c>
      <c r="C33" s="48" t="e">
        <f t="shared" si="0"/>
        <v>#N/A</v>
      </c>
      <c r="E33" s="50" t="s">
        <v>101</v>
      </c>
      <c r="F33" s="48" t="b">
        <f>IF(Teachers!B38&gt;0,"active")</f>
        <v>0</v>
      </c>
      <c r="J33" s="48" t="str">
        <f>"BP-"&amp;"TSWNW-"&amp;IF(ISNUMBER(Teachers!D38),""&amp;Teachers!D38,Teachers!D38)&amp;"-"&amp;"2026"</f>
        <v>BP-TSWNW--2026</v>
      </c>
    </row>
    <row r="34" spans="1:10" x14ac:dyDescent="0.2">
      <c r="A3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","#",3))+1,1)&amp;"-"&amp;LEFT(Teachers!B39, 3)&amp;"-"&amp;LEFT(Teachers!A39, 3)&amp;"-"&amp;IF(ISNUMBER(Teachers!D39),"G"&amp;Teachers!D39,Teachers!D39)&amp;"-"&amp;"2026"</f>
        <v>CID-NWF----2026</v>
      </c>
      <c r="B34" s="48" t="e" cm="1">
        <f t="array" ref="B34">Teachers!B39&amp;" "&amp;_xlfn.IFS(AND(ISNUMBER(Teachers!D39),Teachers!D39&lt;&gt;9),"Grade "&amp;Teachers!D39,Teachers!D39=9,"Grade 9-12",ISTEXT(Teachers!D39),Teachers!D39)&amp;" "&amp;"Nationwide"&amp;" "&amp;"25-26"</f>
        <v>#N/A</v>
      </c>
      <c r="C34" s="48" t="e">
        <f t="shared" si="0"/>
        <v>#N/A</v>
      </c>
      <c r="E34" s="50" t="s">
        <v>101</v>
      </c>
      <c r="F34" s="48" t="b">
        <f>IF(Teachers!B39&gt;0,"active")</f>
        <v>0</v>
      </c>
      <c r="J34" s="48" t="str">
        <f>"BP-"&amp;"TSWNW-"&amp;IF(ISNUMBER(Teachers!D39),""&amp;Teachers!D39,Teachers!D39)&amp;"-"&amp;"2026"</f>
        <v>BP-TSWNW--2026</v>
      </c>
    </row>
    <row r="35" spans="1:10" x14ac:dyDescent="0.2">
      <c r="A3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","#",3))+1,1)&amp;"-"&amp;LEFT(Teachers!B40, 3)&amp;"-"&amp;LEFT(Teachers!A40, 3)&amp;"-"&amp;IF(ISNUMBER(Teachers!D40),"G"&amp;Teachers!D40,Teachers!D40)&amp;"-"&amp;"2026"</f>
        <v>CID-NWF----2026</v>
      </c>
      <c r="B35" s="48" t="e" cm="1">
        <f t="array" ref="B35">Teachers!B40&amp;" "&amp;_xlfn.IFS(AND(ISNUMBER(Teachers!D40),Teachers!D40&lt;&gt;9),"Grade "&amp;Teachers!D40,Teachers!D40=9,"Grade 9-12",ISTEXT(Teachers!D40),Teachers!D40)&amp;" "&amp;"Nationwide"&amp;" "&amp;"25-26"</f>
        <v>#N/A</v>
      </c>
      <c r="C35" s="48" t="e">
        <f t="shared" si="0"/>
        <v>#N/A</v>
      </c>
      <c r="E35" s="50" t="s">
        <v>101</v>
      </c>
      <c r="F35" s="48" t="b">
        <f>IF(Teachers!B40&gt;0,"active")</f>
        <v>0</v>
      </c>
      <c r="J35" s="48" t="str">
        <f>"BP-"&amp;"TSWNW-"&amp;IF(ISNUMBER(Teachers!D40),""&amp;Teachers!D40,Teachers!D40)&amp;"-"&amp;"2026"</f>
        <v>BP-TSWNW--2026</v>
      </c>
    </row>
    <row r="36" spans="1:10" x14ac:dyDescent="0.2">
      <c r="A3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","#",3))+1,1)&amp;"-"&amp;LEFT(Teachers!B41, 3)&amp;"-"&amp;LEFT(Teachers!A41, 3)&amp;"-"&amp;IF(ISNUMBER(Teachers!D41),"G"&amp;Teachers!D41,Teachers!D41)&amp;"-"&amp;"2026"</f>
        <v>CID-NWF----2026</v>
      </c>
      <c r="B36" s="48" t="e" cm="1">
        <f t="array" ref="B36">Teachers!B41&amp;" "&amp;_xlfn.IFS(AND(ISNUMBER(Teachers!D41),Teachers!D41&lt;&gt;9),"Grade "&amp;Teachers!D41,Teachers!D41=9,"Grade 9-12",ISTEXT(Teachers!D41),Teachers!D41)&amp;" "&amp;"Nationwide"&amp;" "&amp;"25-26"</f>
        <v>#N/A</v>
      </c>
      <c r="C36" s="48" t="e">
        <f t="shared" si="0"/>
        <v>#N/A</v>
      </c>
      <c r="E36" s="50" t="s">
        <v>101</v>
      </c>
      <c r="F36" s="48" t="b">
        <f>IF(Teachers!B41&gt;0,"active")</f>
        <v>0</v>
      </c>
      <c r="J36" s="48" t="str">
        <f>"BP-"&amp;"TSWNW-"&amp;IF(ISNUMBER(Teachers!D41),""&amp;Teachers!D41,Teachers!D41)&amp;"-"&amp;"2026"</f>
        <v>BP-TSWNW--2026</v>
      </c>
    </row>
    <row r="37" spans="1:10" x14ac:dyDescent="0.2">
      <c r="A3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","#",3))+1,1)&amp;"-"&amp;LEFT(Teachers!B42, 3)&amp;"-"&amp;LEFT(Teachers!A42, 3)&amp;"-"&amp;IF(ISNUMBER(Teachers!D42),"G"&amp;Teachers!D42,Teachers!D42)&amp;"-"&amp;"2026"</f>
        <v>CID-NWF----2026</v>
      </c>
      <c r="B37" s="48" t="e" cm="1">
        <f t="array" ref="B37">Teachers!B42&amp;" "&amp;_xlfn.IFS(AND(ISNUMBER(Teachers!D42),Teachers!D42&lt;&gt;9),"Grade "&amp;Teachers!D42,Teachers!D42=9,"Grade 9-12",ISTEXT(Teachers!D42),Teachers!D42)&amp;" "&amp;"Nationwide"&amp;" "&amp;"25-26"</f>
        <v>#N/A</v>
      </c>
      <c r="C37" s="48" t="e">
        <f t="shared" si="0"/>
        <v>#N/A</v>
      </c>
      <c r="E37" s="50" t="s">
        <v>101</v>
      </c>
      <c r="F37" s="48" t="b">
        <f>IF(Teachers!B42&gt;0,"active")</f>
        <v>0</v>
      </c>
      <c r="J37" s="48" t="str">
        <f>"BP-"&amp;"TSWNW-"&amp;IF(ISNUMBER(Teachers!D42),""&amp;Teachers!D42,Teachers!D42)&amp;"-"&amp;"2026"</f>
        <v>BP-TSWNW--2026</v>
      </c>
    </row>
    <row r="38" spans="1:10" x14ac:dyDescent="0.2">
      <c r="A3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","#",3))+1,1)&amp;"-"&amp;LEFT(Teachers!B43, 3)&amp;"-"&amp;LEFT(Teachers!A43, 3)&amp;"-"&amp;IF(ISNUMBER(Teachers!D43),"G"&amp;Teachers!D43,Teachers!D43)&amp;"-"&amp;"2026"</f>
        <v>CID-NWF----2026</v>
      </c>
      <c r="B38" s="48" t="e" cm="1">
        <f t="array" ref="B38">Teachers!B43&amp;" "&amp;_xlfn.IFS(AND(ISNUMBER(Teachers!D43),Teachers!D43&lt;&gt;9),"Grade "&amp;Teachers!D43,Teachers!D43=9,"Grade 9-12",ISTEXT(Teachers!D43),Teachers!D43)&amp;" "&amp;"Nationwide"&amp;" "&amp;"25-26"</f>
        <v>#N/A</v>
      </c>
      <c r="C38" s="48" t="e">
        <f t="shared" si="0"/>
        <v>#N/A</v>
      </c>
      <c r="E38" s="50" t="s">
        <v>101</v>
      </c>
      <c r="F38" s="48" t="b">
        <f>IF(Teachers!B43&gt;0,"active")</f>
        <v>0</v>
      </c>
      <c r="J38" s="48" t="str">
        <f>"BP-"&amp;"TSWNW-"&amp;IF(ISNUMBER(Teachers!D43),""&amp;Teachers!D43,Teachers!D43)&amp;"-"&amp;"2026"</f>
        <v>BP-TSWNW--2026</v>
      </c>
    </row>
    <row r="39" spans="1:10" x14ac:dyDescent="0.2">
      <c r="A3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","#",3))+1,1)&amp;"-"&amp;LEFT(Teachers!B44, 3)&amp;"-"&amp;LEFT(Teachers!A44, 3)&amp;"-"&amp;IF(ISNUMBER(Teachers!D44),"G"&amp;Teachers!D44,Teachers!D44)&amp;"-"&amp;"2026"</f>
        <v>CID-NWF----2026</v>
      </c>
      <c r="B39" s="48" t="e" cm="1">
        <f t="array" ref="B39">Teachers!B44&amp;" "&amp;_xlfn.IFS(AND(ISNUMBER(Teachers!D44),Teachers!D44&lt;&gt;9),"Grade "&amp;Teachers!D44,Teachers!D44=9,"Grade 9-12",ISTEXT(Teachers!D44),Teachers!D44)&amp;" "&amp;"Nationwide"&amp;" "&amp;"25-26"</f>
        <v>#N/A</v>
      </c>
      <c r="C39" s="48" t="e">
        <f t="shared" si="0"/>
        <v>#N/A</v>
      </c>
      <c r="E39" s="50" t="s">
        <v>101</v>
      </c>
      <c r="F39" s="48" t="b">
        <f>IF(Teachers!B44&gt;0,"active")</f>
        <v>0</v>
      </c>
      <c r="J39" s="48" t="str">
        <f>"BP-"&amp;"TSWNW-"&amp;IF(ISNUMBER(Teachers!D44),""&amp;Teachers!D44,Teachers!D44)&amp;"-"&amp;"2026"</f>
        <v>BP-TSWNW--2026</v>
      </c>
    </row>
    <row r="40" spans="1:10" x14ac:dyDescent="0.2">
      <c r="A4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","#",3))+1,1)&amp;"-"&amp;LEFT(Teachers!B45, 3)&amp;"-"&amp;LEFT(Teachers!A45, 3)&amp;"-"&amp;IF(ISNUMBER(Teachers!D45),"G"&amp;Teachers!D45,Teachers!D45)&amp;"-"&amp;"2026"</f>
        <v>CID-NWF----2026</v>
      </c>
      <c r="B40" s="48" t="e" cm="1">
        <f t="array" ref="B40">Teachers!B45&amp;" "&amp;_xlfn.IFS(AND(ISNUMBER(Teachers!D45),Teachers!D45&lt;&gt;9),"Grade "&amp;Teachers!D45,Teachers!D45=9,"Grade 9-12",ISTEXT(Teachers!D45),Teachers!D45)&amp;" "&amp;"Nationwide"&amp;" "&amp;"25-26"</f>
        <v>#N/A</v>
      </c>
      <c r="C40" s="48" t="e">
        <f t="shared" si="0"/>
        <v>#N/A</v>
      </c>
      <c r="E40" s="50" t="s">
        <v>101</v>
      </c>
      <c r="F40" s="48" t="b">
        <f>IF(Teachers!B45&gt;0,"active")</f>
        <v>0</v>
      </c>
      <c r="J40" s="48" t="str">
        <f>"BP-"&amp;"TSWNW-"&amp;IF(ISNUMBER(Teachers!D45),""&amp;Teachers!D45,Teachers!D45)&amp;"-"&amp;"2026"</f>
        <v>BP-TSWNW--2026</v>
      </c>
    </row>
    <row r="41" spans="1:10" x14ac:dyDescent="0.2">
      <c r="A4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","#",3))+1,1)&amp;"-"&amp;LEFT(Teachers!B46, 3)&amp;"-"&amp;LEFT(Teachers!A46, 3)&amp;"-"&amp;IF(ISNUMBER(Teachers!D46),"G"&amp;Teachers!D46,Teachers!D46)&amp;"-"&amp;"2026"</f>
        <v>CID-NWF----2026</v>
      </c>
      <c r="B41" s="48" t="e" cm="1">
        <f t="array" ref="B41">Teachers!B46&amp;" "&amp;_xlfn.IFS(AND(ISNUMBER(Teachers!D46),Teachers!D46&lt;&gt;9),"Grade "&amp;Teachers!D46,Teachers!D46=9,"Grade 9-12",ISTEXT(Teachers!D46),Teachers!D46)&amp;" "&amp;"Nationwide"&amp;" "&amp;"25-26"</f>
        <v>#N/A</v>
      </c>
      <c r="C41" s="48" t="e">
        <f t="shared" si="0"/>
        <v>#N/A</v>
      </c>
      <c r="E41" s="50" t="s">
        <v>101</v>
      </c>
      <c r="F41" s="48" t="b">
        <f>IF(Teachers!B46&gt;0,"active")</f>
        <v>0</v>
      </c>
      <c r="J41" s="48" t="str">
        <f>"BP-"&amp;"TSWNW-"&amp;IF(ISNUMBER(Teachers!D46),""&amp;Teachers!D46,Teachers!D46)&amp;"-"&amp;"2026"</f>
        <v>BP-TSWNW--2026</v>
      </c>
    </row>
    <row r="42" spans="1:10" x14ac:dyDescent="0.2">
      <c r="A4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","#",3))+1,1)&amp;"-"&amp;LEFT(Teachers!B47, 3)&amp;"-"&amp;LEFT(Teachers!A47, 3)&amp;"-"&amp;IF(ISNUMBER(Teachers!D47),"G"&amp;Teachers!D47,Teachers!D47)&amp;"-"&amp;"2026"</f>
        <v>CID-NWF----2026</v>
      </c>
      <c r="B42" s="48" t="e" cm="1">
        <f t="array" ref="B42">Teachers!B47&amp;" "&amp;_xlfn.IFS(AND(ISNUMBER(Teachers!D47),Teachers!D47&lt;&gt;9),"Grade "&amp;Teachers!D47,Teachers!D47=9,"Grade 9-12",ISTEXT(Teachers!D47),Teachers!D47)&amp;" "&amp;"Nationwide"&amp;" "&amp;"25-26"</f>
        <v>#N/A</v>
      </c>
      <c r="C42" s="48" t="e">
        <f t="shared" si="0"/>
        <v>#N/A</v>
      </c>
      <c r="E42" s="50" t="s">
        <v>101</v>
      </c>
      <c r="F42" s="48" t="b">
        <f>IF(Teachers!B47&gt;0,"active")</f>
        <v>0</v>
      </c>
      <c r="J42" s="48" t="str">
        <f>"BP-"&amp;"TSWNW-"&amp;IF(ISNUMBER(Teachers!D47),""&amp;Teachers!D47,Teachers!D47)&amp;"-"&amp;"2026"</f>
        <v>BP-TSWNW--2026</v>
      </c>
    </row>
    <row r="43" spans="1:10" x14ac:dyDescent="0.2">
      <c r="A4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","#",3))+1,1)&amp;"-"&amp;LEFT(Teachers!B48, 3)&amp;"-"&amp;LEFT(Teachers!A48, 3)&amp;"-"&amp;IF(ISNUMBER(Teachers!D48),"G"&amp;Teachers!D48,Teachers!D48)&amp;"-"&amp;"2026"</f>
        <v>CID-NWF----2026</v>
      </c>
      <c r="B43" s="48" t="e" cm="1">
        <f t="array" ref="B43">Teachers!B48&amp;" "&amp;_xlfn.IFS(AND(ISNUMBER(Teachers!D48),Teachers!D48&lt;&gt;9),"Grade "&amp;Teachers!D48,Teachers!D48=9,"Grade 9-12",ISTEXT(Teachers!D48),Teachers!D48)&amp;" "&amp;"Nationwide"&amp;" "&amp;"25-26"</f>
        <v>#N/A</v>
      </c>
      <c r="C43" s="48" t="e">
        <f t="shared" si="0"/>
        <v>#N/A</v>
      </c>
      <c r="E43" s="50" t="s">
        <v>101</v>
      </c>
      <c r="F43" s="48" t="b">
        <f>IF(Teachers!B48&gt;0,"active")</f>
        <v>0</v>
      </c>
      <c r="J43" s="48" t="str">
        <f>"BP-"&amp;"TSWNW-"&amp;IF(ISNUMBER(Teachers!D48),""&amp;Teachers!D48,Teachers!D48)&amp;"-"&amp;"2026"</f>
        <v>BP-TSWNW--2026</v>
      </c>
    </row>
    <row r="44" spans="1:10" x14ac:dyDescent="0.2">
      <c r="A4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","#",3))+1,1)&amp;"-"&amp;LEFT(Teachers!B49, 3)&amp;"-"&amp;LEFT(Teachers!A49, 3)&amp;"-"&amp;IF(ISNUMBER(Teachers!D49),"G"&amp;Teachers!D49,Teachers!D49)&amp;"-"&amp;"2026"</f>
        <v>CID-NWF----2026</v>
      </c>
      <c r="B44" s="48" t="e" cm="1">
        <f t="array" ref="B44">Teachers!B49&amp;" "&amp;_xlfn.IFS(AND(ISNUMBER(Teachers!D49),Teachers!D49&lt;&gt;9),"Grade "&amp;Teachers!D49,Teachers!D49=9,"Grade 9-12",ISTEXT(Teachers!D49),Teachers!D49)&amp;" "&amp;"Nationwide"&amp;" "&amp;"25-26"</f>
        <v>#N/A</v>
      </c>
      <c r="C44" s="48" t="e">
        <f t="shared" si="0"/>
        <v>#N/A</v>
      </c>
      <c r="E44" s="50" t="s">
        <v>101</v>
      </c>
      <c r="F44" s="48" t="b">
        <f>IF(Teachers!B49&gt;0,"active")</f>
        <v>0</v>
      </c>
      <c r="J44" s="48" t="str">
        <f>"BP-"&amp;"TSWNW-"&amp;IF(ISNUMBER(Teachers!D49),""&amp;Teachers!D49,Teachers!D49)&amp;"-"&amp;"2026"</f>
        <v>BP-TSWNW--2026</v>
      </c>
    </row>
    <row r="45" spans="1:10" x14ac:dyDescent="0.2">
      <c r="A4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","#",3))+1,1)&amp;"-"&amp;LEFT(Teachers!B50, 3)&amp;"-"&amp;LEFT(Teachers!A50, 3)&amp;"-"&amp;IF(ISNUMBER(Teachers!D50),"G"&amp;Teachers!D50,Teachers!D50)&amp;"-"&amp;"2026"</f>
        <v>CID-NWF----2026</v>
      </c>
      <c r="B45" s="48" t="e" cm="1">
        <f t="array" ref="B45">Teachers!B50&amp;" "&amp;_xlfn.IFS(AND(ISNUMBER(Teachers!D50),Teachers!D50&lt;&gt;9),"Grade "&amp;Teachers!D50,Teachers!D50=9,"Grade 9-12",ISTEXT(Teachers!D50),Teachers!D50)&amp;" "&amp;"Nationwide"&amp;" "&amp;"25-26"</f>
        <v>#N/A</v>
      </c>
      <c r="C45" s="48" t="e">
        <f t="shared" si="0"/>
        <v>#N/A</v>
      </c>
      <c r="E45" s="50" t="s">
        <v>101</v>
      </c>
      <c r="F45" s="48" t="b">
        <f>IF(Teachers!B50&gt;0,"active")</f>
        <v>0</v>
      </c>
      <c r="J45" s="48" t="str">
        <f>"BP-"&amp;"TSWNW-"&amp;IF(ISNUMBER(Teachers!D50),""&amp;Teachers!D50,Teachers!D50)&amp;"-"&amp;"2026"</f>
        <v>BP-TSWNW--2026</v>
      </c>
    </row>
    <row r="46" spans="1:10" x14ac:dyDescent="0.2">
      <c r="A4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","#",3))+1,1)&amp;"-"&amp;LEFT(Teachers!B51, 3)&amp;"-"&amp;LEFT(Teachers!A51, 3)&amp;"-"&amp;IF(ISNUMBER(Teachers!D51),"G"&amp;Teachers!D51,Teachers!D51)&amp;"-"&amp;"2026"</f>
        <v>CID-NWF----2026</v>
      </c>
      <c r="B46" s="48" t="e" cm="1">
        <f t="array" ref="B46">Teachers!B51&amp;" "&amp;_xlfn.IFS(AND(ISNUMBER(Teachers!D51),Teachers!D51&lt;&gt;9),"Grade "&amp;Teachers!D51,Teachers!D51=9,"Grade 9-12",ISTEXT(Teachers!D51),Teachers!D51)&amp;" "&amp;"Nationwide"&amp;" "&amp;"25-26"</f>
        <v>#N/A</v>
      </c>
      <c r="C46" s="48" t="e">
        <f t="shared" si="0"/>
        <v>#N/A</v>
      </c>
      <c r="E46" s="50" t="s">
        <v>101</v>
      </c>
      <c r="F46" s="48" t="b">
        <f>IF(Teachers!B51&gt;0,"active")</f>
        <v>0</v>
      </c>
      <c r="J46" s="48" t="str">
        <f>"BP-"&amp;"TSWNW-"&amp;IF(ISNUMBER(Teachers!D51),""&amp;Teachers!D51,Teachers!D51)&amp;"-"&amp;"2026"</f>
        <v>BP-TSWNW--2026</v>
      </c>
    </row>
    <row r="47" spans="1:10" x14ac:dyDescent="0.2">
      <c r="A4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","#",3))+1,1)&amp;"-"&amp;LEFT(Teachers!B52, 3)&amp;"-"&amp;LEFT(Teachers!A52, 3)&amp;"-"&amp;IF(ISNUMBER(Teachers!D52),"G"&amp;Teachers!D52,Teachers!D52)&amp;"-"&amp;"2026"</f>
        <v>CID-NWF----2026</v>
      </c>
      <c r="B47" s="48" t="e" cm="1">
        <f t="array" ref="B47">Teachers!B52&amp;" "&amp;_xlfn.IFS(AND(ISNUMBER(Teachers!D52),Teachers!D52&lt;&gt;9),"Grade "&amp;Teachers!D52,Teachers!D52=9,"Grade 9-12",ISTEXT(Teachers!D52),Teachers!D52)&amp;" "&amp;"Nationwide"&amp;" "&amp;"25-26"</f>
        <v>#N/A</v>
      </c>
      <c r="C47" s="48" t="e">
        <f t="shared" si="0"/>
        <v>#N/A</v>
      </c>
      <c r="E47" s="50" t="s">
        <v>101</v>
      </c>
      <c r="F47" s="48" t="b">
        <f>IF(Teachers!B52&gt;0,"active")</f>
        <v>0</v>
      </c>
      <c r="J47" s="48" t="str">
        <f>"BP-"&amp;"TSWNW-"&amp;IF(ISNUMBER(Teachers!D52),""&amp;Teachers!D52,Teachers!D52)&amp;"-"&amp;"2026"</f>
        <v>BP-TSWNW--2026</v>
      </c>
    </row>
    <row r="48" spans="1:10" x14ac:dyDescent="0.2">
      <c r="A4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","#",3))+1,1)&amp;"-"&amp;LEFT(Teachers!B53, 3)&amp;"-"&amp;LEFT(Teachers!A53, 3)&amp;"-"&amp;IF(ISNUMBER(Teachers!D53),"G"&amp;Teachers!D53,Teachers!D53)&amp;"-"&amp;"2026"</f>
        <v>CID-NWF----2026</v>
      </c>
      <c r="B48" s="48" t="e" cm="1">
        <f t="array" ref="B48">Teachers!B53&amp;" "&amp;_xlfn.IFS(AND(ISNUMBER(Teachers!D53),Teachers!D53&lt;&gt;9),"Grade "&amp;Teachers!D53,Teachers!D53=9,"Grade 9-12",ISTEXT(Teachers!D53),Teachers!D53)&amp;" "&amp;"Nationwide"&amp;" "&amp;"25-26"</f>
        <v>#N/A</v>
      </c>
      <c r="C48" s="48" t="e">
        <f t="shared" si="0"/>
        <v>#N/A</v>
      </c>
      <c r="E48" s="50" t="s">
        <v>101</v>
      </c>
      <c r="F48" s="48" t="b">
        <f>IF(Teachers!B53&gt;0,"active")</f>
        <v>0</v>
      </c>
      <c r="J48" s="48" t="str">
        <f>"BP-"&amp;"TSWNW-"&amp;IF(ISNUMBER(Teachers!D53),""&amp;Teachers!D53,Teachers!D53)&amp;"-"&amp;"2026"</f>
        <v>BP-TSWNW--2026</v>
      </c>
    </row>
    <row r="49" spans="1:10" x14ac:dyDescent="0.2">
      <c r="A4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","#",3))+1,1)&amp;"-"&amp;LEFT(Teachers!B54, 3)&amp;"-"&amp;LEFT(Teachers!A54, 3)&amp;"-"&amp;IF(ISNUMBER(Teachers!D54),"G"&amp;Teachers!D54,Teachers!D54)&amp;"-"&amp;"2026"</f>
        <v>CID-NWF----2026</v>
      </c>
      <c r="B49" s="48" t="e" cm="1">
        <f t="array" ref="B49">Teachers!B54&amp;" "&amp;_xlfn.IFS(AND(ISNUMBER(Teachers!D54),Teachers!D54&lt;&gt;9),"Grade "&amp;Teachers!D54,Teachers!D54=9,"Grade 9-12",ISTEXT(Teachers!D54),Teachers!D54)&amp;" "&amp;"Nationwide"&amp;" "&amp;"25-26"</f>
        <v>#N/A</v>
      </c>
      <c r="C49" s="48" t="e">
        <f t="shared" si="0"/>
        <v>#N/A</v>
      </c>
      <c r="E49" s="50" t="s">
        <v>101</v>
      </c>
      <c r="F49" s="48" t="b">
        <f>IF(Teachers!B54&gt;0,"active")</f>
        <v>0</v>
      </c>
      <c r="J49" s="48" t="str">
        <f>"BP-"&amp;"TSWNW-"&amp;IF(ISNUMBER(Teachers!D54),""&amp;Teachers!D54,Teachers!D54)&amp;"-"&amp;"2026"</f>
        <v>BP-TSWNW--2026</v>
      </c>
    </row>
    <row r="50" spans="1:10" x14ac:dyDescent="0.2">
      <c r="A5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","#",3))+1,1)&amp;"-"&amp;LEFT(Teachers!B55, 3)&amp;"-"&amp;LEFT(Teachers!A55, 3)&amp;"-"&amp;IF(ISNUMBER(Teachers!D55),"G"&amp;Teachers!D55,Teachers!D55)&amp;"-"&amp;"2026"</f>
        <v>CID-NWF----2026</v>
      </c>
      <c r="B50" s="48" t="e" cm="1">
        <f t="array" ref="B50">Teachers!B55&amp;" "&amp;_xlfn.IFS(AND(ISNUMBER(Teachers!D55),Teachers!D55&lt;&gt;9),"Grade "&amp;Teachers!D55,Teachers!D55=9,"Grade 9-12",ISTEXT(Teachers!D55),Teachers!D55)&amp;" "&amp;"Nationwide"&amp;" "&amp;"25-26"</f>
        <v>#N/A</v>
      </c>
      <c r="C50" s="48" t="e">
        <f t="shared" si="0"/>
        <v>#N/A</v>
      </c>
      <c r="E50" s="50" t="s">
        <v>101</v>
      </c>
      <c r="F50" s="48" t="b">
        <f>IF(Teachers!B55&gt;0,"active")</f>
        <v>0</v>
      </c>
      <c r="J50" s="48" t="str">
        <f>"BP-"&amp;"TSWNW-"&amp;IF(ISNUMBER(Teachers!D55),""&amp;Teachers!D55,Teachers!D55)&amp;"-"&amp;"2026"</f>
        <v>BP-TSWNW--2026</v>
      </c>
    </row>
    <row r="51" spans="1:10" x14ac:dyDescent="0.2">
      <c r="A5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","#",3))+1,1)&amp;"-"&amp;LEFT(Teachers!B56, 3)&amp;"-"&amp;LEFT(Teachers!A56, 3)&amp;"-"&amp;IF(ISNUMBER(Teachers!D56),"G"&amp;Teachers!D56,Teachers!D56)&amp;"-"&amp;"2026"</f>
        <v>CID-NWF----2026</v>
      </c>
      <c r="B51" s="48" t="e" cm="1">
        <f t="array" ref="B51">Teachers!B56&amp;" "&amp;_xlfn.IFS(AND(ISNUMBER(Teachers!D56),Teachers!D56&lt;&gt;9),"Grade "&amp;Teachers!D56,Teachers!D56=9,"Grade 9-12",ISTEXT(Teachers!D56),Teachers!D56)&amp;" "&amp;"Nationwide"&amp;" "&amp;"25-26"</f>
        <v>#N/A</v>
      </c>
      <c r="C51" s="48" t="e">
        <f t="shared" si="0"/>
        <v>#N/A</v>
      </c>
      <c r="E51" s="50" t="s">
        <v>101</v>
      </c>
      <c r="F51" s="48" t="b">
        <f>IF(Teachers!B56&gt;0,"active")</f>
        <v>0</v>
      </c>
      <c r="J51" s="48" t="str">
        <f>"BP-"&amp;"TSWNW-"&amp;IF(ISNUMBER(Teachers!D56),""&amp;Teachers!D56,Teachers!D56)&amp;"-"&amp;"2026"</f>
        <v>BP-TSWNW--2026</v>
      </c>
    </row>
    <row r="52" spans="1:10" x14ac:dyDescent="0.2">
      <c r="A5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","#",3))+1,1)&amp;"-"&amp;LEFT(Teachers!B57, 3)&amp;"-"&amp;LEFT(Teachers!A57, 3)&amp;"-"&amp;IF(ISNUMBER(Teachers!D57),"G"&amp;Teachers!D57,Teachers!D57)&amp;"-"&amp;"2026"</f>
        <v>CID-NWF----2026</v>
      </c>
      <c r="B52" s="48" t="e" cm="1">
        <f t="array" ref="B52">Teachers!B57&amp;" "&amp;_xlfn.IFS(AND(ISNUMBER(Teachers!D57),Teachers!D57&lt;&gt;9),"Grade "&amp;Teachers!D57,Teachers!D57=9,"Grade 9-12",ISTEXT(Teachers!D57),Teachers!D57)&amp;" "&amp;"Nationwide"&amp;" "&amp;"25-26"</f>
        <v>#N/A</v>
      </c>
      <c r="C52" s="48" t="e">
        <f t="shared" si="0"/>
        <v>#N/A</v>
      </c>
      <c r="E52" s="50" t="s">
        <v>101</v>
      </c>
      <c r="F52" s="48" t="b">
        <f>IF(Teachers!B57&gt;0,"active")</f>
        <v>0</v>
      </c>
      <c r="J52" s="48" t="str">
        <f>"BP-"&amp;"TSWNW-"&amp;IF(ISNUMBER(Teachers!D57),""&amp;Teachers!D57,Teachers!D57)&amp;"-"&amp;"2026"</f>
        <v>BP-TSWNW--2026</v>
      </c>
    </row>
    <row r="53" spans="1:10" x14ac:dyDescent="0.2">
      <c r="A5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","#",3))+1,1)&amp;"-"&amp;LEFT(Teachers!B58, 3)&amp;"-"&amp;LEFT(Teachers!A58, 3)&amp;"-"&amp;IF(ISNUMBER(Teachers!D58),"G"&amp;Teachers!D58,Teachers!D58)&amp;"-"&amp;"2026"</f>
        <v>CID-NWF----2026</v>
      </c>
      <c r="B53" s="48" t="e" cm="1">
        <f t="array" ref="B53">Teachers!B58&amp;" "&amp;_xlfn.IFS(AND(ISNUMBER(Teachers!D58),Teachers!D58&lt;&gt;9),"Grade "&amp;Teachers!D58,Teachers!D58=9,"Grade 9-12",ISTEXT(Teachers!D58),Teachers!D58)&amp;" "&amp;"Nationwide"&amp;" "&amp;"25-26"</f>
        <v>#N/A</v>
      </c>
      <c r="C53" s="48" t="e">
        <f t="shared" si="0"/>
        <v>#N/A</v>
      </c>
      <c r="E53" s="50" t="s">
        <v>101</v>
      </c>
      <c r="F53" s="48" t="b">
        <f>IF(Teachers!B58&gt;0,"active")</f>
        <v>0</v>
      </c>
      <c r="J53" s="48" t="str">
        <f>"BP-"&amp;"TSWNW-"&amp;IF(ISNUMBER(Teachers!D58),""&amp;Teachers!D58,Teachers!D58)&amp;"-"&amp;"2026"</f>
        <v>BP-TSWNW--2026</v>
      </c>
    </row>
    <row r="54" spans="1:10" x14ac:dyDescent="0.2">
      <c r="A5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","#",3))+1,1)&amp;"-"&amp;LEFT(Teachers!B59, 3)&amp;"-"&amp;LEFT(Teachers!A59, 3)&amp;"-"&amp;IF(ISNUMBER(Teachers!D59),"G"&amp;Teachers!D59,Teachers!D59)&amp;"-"&amp;"2026"</f>
        <v>CID-NWF----2026</v>
      </c>
      <c r="B54" s="48" t="e" cm="1">
        <f t="array" ref="B54">Teachers!B59&amp;" "&amp;_xlfn.IFS(AND(ISNUMBER(Teachers!D59),Teachers!D59&lt;&gt;9),"Grade "&amp;Teachers!D59,Teachers!D59=9,"Grade 9-12",ISTEXT(Teachers!D59),Teachers!D59)&amp;" "&amp;"Nationwide"&amp;" "&amp;"25-26"</f>
        <v>#N/A</v>
      </c>
      <c r="C54" s="48" t="e">
        <f t="shared" si="0"/>
        <v>#N/A</v>
      </c>
      <c r="E54" s="50" t="s">
        <v>101</v>
      </c>
      <c r="F54" s="48" t="b">
        <f>IF(Teachers!B59&gt;0,"active")</f>
        <v>0</v>
      </c>
      <c r="J54" s="48" t="str">
        <f>"BP-"&amp;"TSWNW-"&amp;IF(ISNUMBER(Teachers!D59),""&amp;Teachers!D59,Teachers!D59)&amp;"-"&amp;"2026"</f>
        <v>BP-TSWNW--2026</v>
      </c>
    </row>
    <row r="55" spans="1:10" x14ac:dyDescent="0.2">
      <c r="A5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","#",3))+1,1)&amp;"-"&amp;LEFT(Teachers!B60, 3)&amp;"-"&amp;LEFT(Teachers!A60, 3)&amp;"-"&amp;IF(ISNUMBER(Teachers!D60),"G"&amp;Teachers!D60,Teachers!D60)&amp;"-"&amp;"2026"</f>
        <v>CID-NWF----2026</v>
      </c>
      <c r="B55" s="48" t="e" cm="1">
        <f t="array" ref="B55">Teachers!B60&amp;" "&amp;_xlfn.IFS(AND(ISNUMBER(Teachers!D60),Teachers!D60&lt;&gt;9),"Grade "&amp;Teachers!D60,Teachers!D60=9,"Grade 9-12",ISTEXT(Teachers!D60),Teachers!D60)&amp;" "&amp;"Nationwide"&amp;" "&amp;"25-26"</f>
        <v>#N/A</v>
      </c>
      <c r="C55" s="48" t="e">
        <f t="shared" si="0"/>
        <v>#N/A</v>
      </c>
      <c r="E55" s="50" t="s">
        <v>101</v>
      </c>
      <c r="F55" s="48" t="b">
        <f>IF(Teachers!B60&gt;0,"active")</f>
        <v>0</v>
      </c>
      <c r="J55" s="48" t="str">
        <f>"BP-"&amp;"TSWNW-"&amp;IF(ISNUMBER(Teachers!D60),""&amp;Teachers!D60,Teachers!D60)&amp;"-"&amp;"2026"</f>
        <v>BP-TSWNW--2026</v>
      </c>
    </row>
    <row r="56" spans="1:10" x14ac:dyDescent="0.2">
      <c r="A5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","#",3))+1,1)&amp;"-"&amp;LEFT(Teachers!B61, 3)&amp;"-"&amp;LEFT(Teachers!A61, 3)&amp;"-"&amp;IF(ISNUMBER(Teachers!D61),"G"&amp;Teachers!D61,Teachers!D61)&amp;"-"&amp;"2026"</f>
        <v>CID-NWF----2026</v>
      </c>
      <c r="B56" s="48" t="e" cm="1">
        <f t="array" ref="B56">Teachers!B61&amp;" "&amp;_xlfn.IFS(AND(ISNUMBER(Teachers!D61),Teachers!D61&lt;&gt;9),"Grade "&amp;Teachers!D61,Teachers!D61=9,"Grade 9-12",ISTEXT(Teachers!D61),Teachers!D61)&amp;" "&amp;"Nationwide"&amp;" "&amp;"25-26"</f>
        <v>#N/A</v>
      </c>
      <c r="C56" s="48" t="e">
        <f t="shared" si="0"/>
        <v>#N/A</v>
      </c>
      <c r="E56" s="50" t="s">
        <v>101</v>
      </c>
      <c r="F56" s="48" t="b">
        <f>IF(Teachers!B61&gt;0,"active")</f>
        <v>0</v>
      </c>
      <c r="J56" s="48" t="str">
        <f>"BP-"&amp;"TSWNW-"&amp;IF(ISNUMBER(Teachers!D61),""&amp;Teachers!D61,Teachers!D61)&amp;"-"&amp;"2026"</f>
        <v>BP-TSWNW--2026</v>
      </c>
    </row>
    <row r="57" spans="1:10" x14ac:dyDescent="0.2">
      <c r="A5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","#",3))+1,1)&amp;"-"&amp;LEFT(Teachers!B62, 3)&amp;"-"&amp;LEFT(Teachers!A62, 3)&amp;"-"&amp;IF(ISNUMBER(Teachers!D62),"G"&amp;Teachers!D62,Teachers!D62)&amp;"-"&amp;"2026"</f>
        <v>CID-NWF----2026</v>
      </c>
      <c r="B57" s="48" t="e" cm="1">
        <f t="array" ref="B57">Teachers!B62&amp;" "&amp;_xlfn.IFS(AND(ISNUMBER(Teachers!D62),Teachers!D62&lt;&gt;9),"Grade "&amp;Teachers!D62,Teachers!D62=9,"Grade 9-12",ISTEXT(Teachers!D62),Teachers!D62)&amp;" "&amp;"Nationwide"&amp;" "&amp;"25-26"</f>
        <v>#N/A</v>
      </c>
      <c r="C57" s="48" t="e">
        <f t="shared" si="0"/>
        <v>#N/A</v>
      </c>
      <c r="E57" s="50" t="s">
        <v>101</v>
      </c>
      <c r="F57" s="48" t="b">
        <f>IF(Teachers!B62&gt;0,"active")</f>
        <v>0</v>
      </c>
      <c r="J57" s="48" t="str">
        <f>"BP-"&amp;"TSWNW-"&amp;IF(ISNUMBER(Teachers!D62),""&amp;Teachers!D62,Teachers!D62)&amp;"-"&amp;"2026"</f>
        <v>BP-TSWNW--2026</v>
      </c>
    </row>
    <row r="58" spans="1:10" x14ac:dyDescent="0.2">
      <c r="A5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","#",3))+1,1)&amp;"-"&amp;LEFT(Teachers!B63, 3)&amp;"-"&amp;LEFT(Teachers!A63, 3)&amp;"-"&amp;IF(ISNUMBER(Teachers!D63),"G"&amp;Teachers!D63,Teachers!D63)&amp;"-"&amp;"2026"</f>
        <v>CID-NWF----2026</v>
      </c>
      <c r="B58" s="48" t="e" cm="1">
        <f t="array" ref="B58">Teachers!B63&amp;" "&amp;_xlfn.IFS(AND(ISNUMBER(Teachers!D63),Teachers!D63&lt;&gt;9),"Grade "&amp;Teachers!D63,Teachers!D63=9,"Grade 9-12",ISTEXT(Teachers!D63),Teachers!D63)&amp;" "&amp;"Nationwide"&amp;" "&amp;"25-26"</f>
        <v>#N/A</v>
      </c>
      <c r="C58" s="48" t="e">
        <f t="shared" si="0"/>
        <v>#N/A</v>
      </c>
      <c r="E58" s="50" t="s">
        <v>101</v>
      </c>
      <c r="F58" s="48" t="b">
        <f>IF(Teachers!B63&gt;0,"active")</f>
        <v>0</v>
      </c>
      <c r="J58" s="48" t="str">
        <f>"BP-"&amp;"TSWNW-"&amp;IF(ISNUMBER(Teachers!D63),""&amp;Teachers!D63,Teachers!D63)&amp;"-"&amp;"2026"</f>
        <v>BP-TSWNW--2026</v>
      </c>
    </row>
    <row r="59" spans="1:10" x14ac:dyDescent="0.2">
      <c r="A5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","#",3))+1,1)&amp;"-"&amp;LEFT(Teachers!B64, 3)&amp;"-"&amp;LEFT(Teachers!A64, 3)&amp;"-"&amp;IF(ISNUMBER(Teachers!D64),"G"&amp;Teachers!D64,Teachers!D64)&amp;"-"&amp;"2026"</f>
        <v>CID-NWF----2026</v>
      </c>
      <c r="B59" s="48" t="e" cm="1">
        <f t="array" ref="B59">Teachers!B64&amp;" "&amp;_xlfn.IFS(AND(ISNUMBER(Teachers!D64),Teachers!D64&lt;&gt;9),"Grade "&amp;Teachers!D64,Teachers!D64=9,"Grade 9-12",ISTEXT(Teachers!D64),Teachers!D64)&amp;" "&amp;"Nationwide"&amp;" "&amp;"25-26"</f>
        <v>#N/A</v>
      </c>
      <c r="C59" s="48" t="e">
        <f t="shared" si="0"/>
        <v>#N/A</v>
      </c>
      <c r="E59" s="50" t="s">
        <v>101</v>
      </c>
      <c r="F59" s="48" t="b">
        <f>IF(Teachers!B64&gt;0,"active")</f>
        <v>0</v>
      </c>
      <c r="J59" s="48" t="str">
        <f>"BP-"&amp;"TSWNW-"&amp;IF(ISNUMBER(Teachers!D64),""&amp;Teachers!D64,Teachers!D64)&amp;"-"&amp;"2026"</f>
        <v>BP-TSWNW--2026</v>
      </c>
    </row>
    <row r="60" spans="1:10" x14ac:dyDescent="0.2">
      <c r="A6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","#",3))+1,1)&amp;"-"&amp;LEFT(Teachers!B65, 3)&amp;"-"&amp;LEFT(Teachers!A65, 3)&amp;"-"&amp;IF(ISNUMBER(Teachers!D65),"G"&amp;Teachers!D65,Teachers!D65)&amp;"-"&amp;"2026"</f>
        <v>CID-NWF----2026</v>
      </c>
      <c r="B60" s="48" t="e" cm="1">
        <f t="array" ref="B60">Teachers!B65&amp;" "&amp;_xlfn.IFS(AND(ISNUMBER(Teachers!D65),Teachers!D65&lt;&gt;9),"Grade "&amp;Teachers!D65,Teachers!D65=9,"Grade 9-12",ISTEXT(Teachers!D65),Teachers!D65)&amp;" "&amp;"Nationwide"&amp;" "&amp;"25-26"</f>
        <v>#N/A</v>
      </c>
      <c r="C60" s="48" t="e">
        <f t="shared" si="0"/>
        <v>#N/A</v>
      </c>
      <c r="E60" s="50" t="s">
        <v>101</v>
      </c>
      <c r="F60" s="48" t="b">
        <f>IF(Teachers!B65&gt;0,"active")</f>
        <v>0</v>
      </c>
      <c r="J60" s="48" t="str">
        <f>"BP-"&amp;"TSWNW-"&amp;IF(ISNUMBER(Teachers!D65),""&amp;Teachers!D65,Teachers!D65)&amp;"-"&amp;"2026"</f>
        <v>BP-TSWNW--2026</v>
      </c>
    </row>
    <row r="61" spans="1:10" x14ac:dyDescent="0.2">
      <c r="A6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","#",3))+1,1)&amp;"-"&amp;LEFT(Teachers!B66, 3)&amp;"-"&amp;LEFT(Teachers!A66, 3)&amp;"-"&amp;IF(ISNUMBER(Teachers!D66),"G"&amp;Teachers!D66,Teachers!D66)&amp;"-"&amp;"2026"</f>
        <v>CID-NWF----2026</v>
      </c>
      <c r="B61" s="48" t="e" cm="1">
        <f t="array" ref="B61">Teachers!B66&amp;" "&amp;_xlfn.IFS(AND(ISNUMBER(Teachers!D66),Teachers!D66&lt;&gt;9),"Grade "&amp;Teachers!D66,Teachers!D66=9,"Grade 9-12",ISTEXT(Teachers!D66),Teachers!D66)&amp;" "&amp;"Nationwide"&amp;" "&amp;"25-26"</f>
        <v>#N/A</v>
      </c>
      <c r="C61" s="48" t="e">
        <f t="shared" si="0"/>
        <v>#N/A</v>
      </c>
      <c r="E61" s="50" t="s">
        <v>101</v>
      </c>
      <c r="F61" s="48" t="b">
        <f>IF(Teachers!B66&gt;0,"active")</f>
        <v>0</v>
      </c>
      <c r="J61" s="48" t="str">
        <f>"BP-"&amp;"TSWNW-"&amp;IF(ISNUMBER(Teachers!D66),""&amp;Teachers!D66,Teachers!D66)&amp;"-"&amp;"2026"</f>
        <v>BP-TSWNW--2026</v>
      </c>
    </row>
    <row r="62" spans="1:10" x14ac:dyDescent="0.2">
      <c r="A6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","#",3))+1,1)&amp;"-"&amp;LEFT(Teachers!B67, 3)&amp;"-"&amp;LEFT(Teachers!A67, 3)&amp;"-"&amp;IF(ISNUMBER(Teachers!D67),"G"&amp;Teachers!D67,Teachers!D67)&amp;"-"&amp;"2026"</f>
        <v>CID-NWF----2026</v>
      </c>
      <c r="B62" s="48" t="e" cm="1">
        <f t="array" ref="B62">Teachers!B67&amp;" "&amp;_xlfn.IFS(AND(ISNUMBER(Teachers!D67),Teachers!D67&lt;&gt;9),"Grade "&amp;Teachers!D67,Teachers!D67=9,"Grade 9-12",ISTEXT(Teachers!D67),Teachers!D67)&amp;" "&amp;"Nationwide"&amp;" "&amp;"25-26"</f>
        <v>#N/A</v>
      </c>
      <c r="C62" s="48" t="e">
        <f t="shared" si="0"/>
        <v>#N/A</v>
      </c>
      <c r="E62" s="50" t="s">
        <v>101</v>
      </c>
      <c r="F62" s="48" t="b">
        <f>IF(Teachers!B67&gt;0,"active")</f>
        <v>0</v>
      </c>
      <c r="J62" s="48" t="str">
        <f>"BP-"&amp;"TSWNW-"&amp;IF(ISNUMBER(Teachers!D67),""&amp;Teachers!D67,Teachers!D67)&amp;"-"&amp;"2026"</f>
        <v>BP-TSWNW--2026</v>
      </c>
    </row>
    <row r="63" spans="1:10" x14ac:dyDescent="0.2">
      <c r="A6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","#",3))+1,1)&amp;"-"&amp;LEFT(Teachers!B68, 3)&amp;"-"&amp;LEFT(Teachers!A68, 3)&amp;"-"&amp;IF(ISNUMBER(Teachers!D68),"G"&amp;Teachers!D68,Teachers!D68)&amp;"-"&amp;"2026"</f>
        <v>CID-NWF----2026</v>
      </c>
      <c r="B63" s="48" t="e" cm="1">
        <f t="array" ref="B63">Teachers!B68&amp;" "&amp;_xlfn.IFS(AND(ISNUMBER(Teachers!D68),Teachers!D68&lt;&gt;9),"Grade "&amp;Teachers!D68,Teachers!D68=9,"Grade 9-12",ISTEXT(Teachers!D68),Teachers!D68)&amp;" "&amp;"Nationwide"&amp;" "&amp;"25-26"</f>
        <v>#N/A</v>
      </c>
      <c r="C63" s="48" t="e">
        <f t="shared" si="0"/>
        <v>#N/A</v>
      </c>
      <c r="E63" s="50" t="s">
        <v>101</v>
      </c>
      <c r="F63" s="48" t="b">
        <f>IF(Teachers!B68&gt;0,"active")</f>
        <v>0</v>
      </c>
      <c r="J63" s="48" t="str">
        <f>"BP-"&amp;"TSWNW-"&amp;IF(ISNUMBER(Teachers!D68),""&amp;Teachers!D68,Teachers!D68)&amp;"-"&amp;"2026"</f>
        <v>BP-TSWNW--2026</v>
      </c>
    </row>
    <row r="64" spans="1:10" x14ac:dyDescent="0.2">
      <c r="A6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","#",3))+1,1)&amp;"-"&amp;LEFT(Teachers!B69, 3)&amp;"-"&amp;LEFT(Teachers!A69, 3)&amp;"-"&amp;IF(ISNUMBER(Teachers!D69),"G"&amp;Teachers!D69,Teachers!D69)&amp;"-"&amp;"2026"</f>
        <v>CID-NWF----2026</v>
      </c>
      <c r="B64" s="48" t="e" cm="1">
        <f t="array" ref="B64">Teachers!B69&amp;" "&amp;_xlfn.IFS(AND(ISNUMBER(Teachers!D69),Teachers!D69&lt;&gt;9),"Grade "&amp;Teachers!D69,Teachers!D69=9,"Grade 9-12",ISTEXT(Teachers!D69),Teachers!D69)&amp;" "&amp;"Nationwide"&amp;" "&amp;"25-26"</f>
        <v>#N/A</v>
      </c>
      <c r="C64" s="48" t="e">
        <f t="shared" si="0"/>
        <v>#N/A</v>
      </c>
      <c r="E64" s="50" t="s">
        <v>101</v>
      </c>
      <c r="F64" s="48" t="b">
        <f>IF(Teachers!B69&gt;0,"active")</f>
        <v>0</v>
      </c>
      <c r="J64" s="48" t="str">
        <f>"BP-"&amp;"TSWNW-"&amp;IF(ISNUMBER(Teachers!D69),""&amp;Teachers!D69,Teachers!D69)&amp;"-"&amp;"2026"</f>
        <v>BP-TSWNW--2026</v>
      </c>
    </row>
    <row r="65" spans="1:10" x14ac:dyDescent="0.2">
      <c r="A6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","#",3))+1,1)&amp;"-"&amp;LEFT(Teachers!B70, 3)&amp;"-"&amp;LEFT(Teachers!A70, 3)&amp;"-"&amp;IF(ISNUMBER(Teachers!D70),"G"&amp;Teachers!D70,Teachers!D70)&amp;"-"&amp;"2026"</f>
        <v>CID-NWF----2026</v>
      </c>
      <c r="B65" s="48" t="e" cm="1">
        <f t="array" ref="B65">Teachers!B70&amp;" "&amp;_xlfn.IFS(AND(ISNUMBER(Teachers!D70),Teachers!D70&lt;&gt;9),"Grade "&amp;Teachers!D70,Teachers!D70=9,"Grade 9-12",ISTEXT(Teachers!D70),Teachers!D70)&amp;" "&amp;"Nationwide"&amp;" "&amp;"25-26"</f>
        <v>#N/A</v>
      </c>
      <c r="C65" s="48" t="e">
        <f t="shared" si="0"/>
        <v>#N/A</v>
      </c>
      <c r="E65" s="50" t="s">
        <v>101</v>
      </c>
      <c r="F65" s="48" t="b">
        <f>IF(Teachers!B70&gt;0,"active")</f>
        <v>0</v>
      </c>
      <c r="J65" s="48" t="str">
        <f>"BP-"&amp;"TSWNW-"&amp;IF(ISNUMBER(Teachers!D70),""&amp;Teachers!D70,Teachers!D70)&amp;"-"&amp;"2026"</f>
        <v>BP-TSWNW--2026</v>
      </c>
    </row>
    <row r="66" spans="1:10" x14ac:dyDescent="0.2">
      <c r="A6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","#",3))+1,1)&amp;"-"&amp;LEFT(Teachers!B71, 3)&amp;"-"&amp;LEFT(Teachers!A71, 3)&amp;"-"&amp;IF(ISNUMBER(Teachers!D71),"G"&amp;Teachers!D71,Teachers!D71)&amp;"-"&amp;"2026"</f>
        <v>CID-NWF----2026</v>
      </c>
      <c r="B66" s="48" t="e" cm="1">
        <f t="array" ref="B66">Teachers!B71&amp;" "&amp;_xlfn.IFS(AND(ISNUMBER(Teachers!D71),Teachers!D71&lt;&gt;9),"Grade "&amp;Teachers!D71,Teachers!D71=9,"Grade 9-12",ISTEXT(Teachers!D71),Teachers!D71)&amp;" "&amp;"Nationwide"&amp;" "&amp;"25-26"</f>
        <v>#N/A</v>
      </c>
      <c r="C66" s="48" t="e">
        <f t="shared" si="0"/>
        <v>#N/A</v>
      </c>
      <c r="E66" s="50" t="s">
        <v>101</v>
      </c>
      <c r="F66" s="48" t="b">
        <f>IF(Teachers!B71&gt;0,"active")</f>
        <v>0</v>
      </c>
      <c r="J66" s="48" t="str">
        <f>"BP-"&amp;"TSWNW-"&amp;IF(ISNUMBER(Teachers!D71),""&amp;Teachers!D71,Teachers!D71)&amp;"-"&amp;"2026"</f>
        <v>BP-TSWNW--2026</v>
      </c>
    </row>
    <row r="67" spans="1:10" x14ac:dyDescent="0.2">
      <c r="A6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","#",3))+1,1)&amp;"-"&amp;LEFT(Teachers!B72, 3)&amp;"-"&amp;LEFT(Teachers!A72, 3)&amp;"-"&amp;IF(ISNUMBER(Teachers!D72),"G"&amp;Teachers!D72,Teachers!D72)&amp;"-"&amp;"2026"</f>
        <v>CID-NWF----2026</v>
      </c>
      <c r="B67" s="48" t="e" cm="1">
        <f t="array" ref="B67">Teachers!B72&amp;" "&amp;_xlfn.IFS(AND(ISNUMBER(Teachers!D72),Teachers!D72&lt;&gt;9),"Grade "&amp;Teachers!D72,Teachers!D72=9,"Grade 9-12",ISTEXT(Teachers!D72),Teachers!D72)&amp;" "&amp;"Nationwide"&amp;" "&amp;"25-26"</f>
        <v>#N/A</v>
      </c>
      <c r="C67" s="48" t="e">
        <f t="shared" ref="C67:C100" si="1">B67</f>
        <v>#N/A</v>
      </c>
      <c r="E67" s="50" t="s">
        <v>101</v>
      </c>
      <c r="F67" s="48" t="b">
        <f>IF(Teachers!B72&gt;0,"active")</f>
        <v>0</v>
      </c>
      <c r="J67" s="48" t="str">
        <f>"BP-"&amp;"TSWNW-"&amp;IF(ISNUMBER(Teachers!D72),""&amp;Teachers!D72,Teachers!D72)&amp;"-"&amp;"2026"</f>
        <v>BP-TSWNW--2026</v>
      </c>
    </row>
    <row r="68" spans="1:10" x14ac:dyDescent="0.2">
      <c r="A6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","#",3))+1,1)&amp;"-"&amp;LEFT(Teachers!B73, 3)&amp;"-"&amp;LEFT(Teachers!A73, 3)&amp;"-"&amp;IF(ISNUMBER(Teachers!D73),"G"&amp;Teachers!D73,Teachers!D73)&amp;"-"&amp;"2026"</f>
        <v>CID-NWF----2026</v>
      </c>
      <c r="B68" s="48" t="e" cm="1">
        <f t="array" ref="B68">Teachers!B73&amp;" "&amp;_xlfn.IFS(AND(ISNUMBER(Teachers!D73),Teachers!D73&lt;&gt;9),"Grade "&amp;Teachers!D73,Teachers!D73=9,"Grade 9-12",ISTEXT(Teachers!D73),Teachers!D73)&amp;" "&amp;"Nationwide"&amp;" "&amp;"25-26"</f>
        <v>#N/A</v>
      </c>
      <c r="C68" s="48" t="e">
        <f t="shared" si="1"/>
        <v>#N/A</v>
      </c>
      <c r="E68" s="50" t="s">
        <v>101</v>
      </c>
      <c r="F68" s="48" t="b">
        <f>IF(Teachers!B73&gt;0,"active")</f>
        <v>0</v>
      </c>
      <c r="J68" s="48" t="str">
        <f>"BP-"&amp;"TSWNW-"&amp;IF(ISNUMBER(Teachers!D73),""&amp;Teachers!D73,Teachers!D73)&amp;"-"&amp;"2026"</f>
        <v>BP-TSWNW--2026</v>
      </c>
    </row>
    <row r="69" spans="1:10" x14ac:dyDescent="0.2">
      <c r="A6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","#",3))+1,1)&amp;"-"&amp;LEFT(Teachers!B74, 3)&amp;"-"&amp;LEFT(Teachers!A74, 3)&amp;"-"&amp;IF(ISNUMBER(Teachers!D74),"G"&amp;Teachers!D74,Teachers!D74)&amp;"-"&amp;"2026"</f>
        <v>CID-NWF----2026</v>
      </c>
      <c r="B69" s="48" t="e" cm="1">
        <f t="array" ref="B69">Teachers!B74&amp;" "&amp;_xlfn.IFS(AND(ISNUMBER(Teachers!D74),Teachers!D74&lt;&gt;9),"Grade "&amp;Teachers!D74,Teachers!D74=9,"Grade 9-12",ISTEXT(Teachers!D74),Teachers!D74)&amp;" "&amp;"Nationwide"&amp;" "&amp;"25-26"</f>
        <v>#N/A</v>
      </c>
      <c r="C69" s="48" t="e">
        <f t="shared" si="1"/>
        <v>#N/A</v>
      </c>
      <c r="E69" s="50" t="s">
        <v>101</v>
      </c>
      <c r="F69" s="48" t="b">
        <f>IF(Teachers!B74&gt;0,"active")</f>
        <v>0</v>
      </c>
      <c r="J69" s="48" t="str">
        <f>"BP-"&amp;"TSWNW-"&amp;IF(ISNUMBER(Teachers!D74),""&amp;Teachers!D74,Teachers!D74)&amp;"-"&amp;"2026"</f>
        <v>BP-TSWNW--2026</v>
      </c>
    </row>
    <row r="70" spans="1:10" x14ac:dyDescent="0.2">
      <c r="A7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","#",3))+1,1)&amp;"-"&amp;LEFT(Teachers!B75, 3)&amp;"-"&amp;LEFT(Teachers!A75, 3)&amp;"-"&amp;IF(ISNUMBER(Teachers!D75),"G"&amp;Teachers!D75,Teachers!D75)&amp;"-"&amp;"2026"</f>
        <v>CID-NWF----2026</v>
      </c>
      <c r="B70" s="48" t="e" cm="1">
        <f t="array" ref="B70">Teachers!B75&amp;" "&amp;_xlfn.IFS(AND(ISNUMBER(Teachers!D75),Teachers!D75&lt;&gt;9),"Grade "&amp;Teachers!D75,Teachers!D75=9,"Grade 9-12",ISTEXT(Teachers!D75),Teachers!D75)&amp;" "&amp;"Nationwide"&amp;" "&amp;"25-26"</f>
        <v>#N/A</v>
      </c>
      <c r="C70" s="48" t="e">
        <f t="shared" si="1"/>
        <v>#N/A</v>
      </c>
      <c r="E70" s="50" t="s">
        <v>101</v>
      </c>
      <c r="F70" s="48" t="b">
        <f>IF(Teachers!B75&gt;0,"active")</f>
        <v>0</v>
      </c>
      <c r="J70" s="48" t="str">
        <f>"BP-"&amp;"TSWNW-"&amp;IF(ISNUMBER(Teachers!D75),""&amp;Teachers!D75,Teachers!D75)&amp;"-"&amp;"2026"</f>
        <v>BP-TSWNW--2026</v>
      </c>
    </row>
    <row r="71" spans="1:10" x14ac:dyDescent="0.2">
      <c r="A7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","#",3))+1,1)&amp;"-"&amp;LEFT(Teachers!B76, 3)&amp;"-"&amp;LEFT(Teachers!A76, 3)&amp;"-"&amp;IF(ISNUMBER(Teachers!D76),"G"&amp;Teachers!D76,Teachers!D76)&amp;"-"&amp;"2026"</f>
        <v>CID-NWF----2026</v>
      </c>
      <c r="B71" s="48" t="e" cm="1">
        <f t="array" ref="B71">Teachers!B76&amp;" "&amp;_xlfn.IFS(AND(ISNUMBER(Teachers!D76),Teachers!D76&lt;&gt;9),"Grade "&amp;Teachers!D76,Teachers!D76=9,"Grade 9-12",ISTEXT(Teachers!D76),Teachers!D76)&amp;" "&amp;"Nationwide"&amp;" "&amp;"25-26"</f>
        <v>#N/A</v>
      </c>
      <c r="C71" s="48" t="e">
        <f t="shared" si="1"/>
        <v>#N/A</v>
      </c>
      <c r="E71" s="50" t="s">
        <v>101</v>
      </c>
      <c r="F71" s="48" t="b">
        <f>IF(Teachers!B76&gt;0,"active")</f>
        <v>0</v>
      </c>
      <c r="J71" s="48" t="str">
        <f>"BP-"&amp;"TSWNW-"&amp;IF(ISNUMBER(Teachers!D76),""&amp;Teachers!D76,Teachers!D76)&amp;"-"&amp;"2026"</f>
        <v>BP-TSWNW--2026</v>
      </c>
    </row>
    <row r="72" spans="1:10" x14ac:dyDescent="0.2">
      <c r="A7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","#",3))+1,1)&amp;"-"&amp;LEFT(Teachers!B77, 3)&amp;"-"&amp;LEFT(Teachers!A77, 3)&amp;"-"&amp;IF(ISNUMBER(Teachers!D77),"G"&amp;Teachers!D77,Teachers!D77)&amp;"-"&amp;"2026"</f>
        <v>CID-NWF----2026</v>
      </c>
      <c r="B72" s="48" t="e" cm="1">
        <f t="array" ref="B72">Teachers!B77&amp;" "&amp;_xlfn.IFS(AND(ISNUMBER(Teachers!D77),Teachers!D77&lt;&gt;9),"Grade "&amp;Teachers!D77,Teachers!D77=9,"Grade 9-12",ISTEXT(Teachers!D77),Teachers!D77)&amp;" "&amp;"Nationwide"&amp;" "&amp;"25-26"</f>
        <v>#N/A</v>
      </c>
      <c r="C72" s="48" t="e">
        <f t="shared" si="1"/>
        <v>#N/A</v>
      </c>
      <c r="E72" s="50" t="s">
        <v>101</v>
      </c>
      <c r="F72" s="48" t="b">
        <f>IF(Teachers!B77&gt;0,"active")</f>
        <v>0</v>
      </c>
      <c r="J72" s="48" t="str">
        <f>"BP-"&amp;"TSWNW-"&amp;IF(ISNUMBER(Teachers!D77),""&amp;Teachers!D77,Teachers!D77)&amp;"-"&amp;"2026"</f>
        <v>BP-TSWNW--2026</v>
      </c>
    </row>
    <row r="73" spans="1:10" x14ac:dyDescent="0.2">
      <c r="A7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","#",3))+1,1)&amp;"-"&amp;LEFT(Teachers!B78, 3)&amp;"-"&amp;LEFT(Teachers!A78, 3)&amp;"-"&amp;IF(ISNUMBER(Teachers!D78),"G"&amp;Teachers!D78,Teachers!D78)&amp;"-"&amp;"2026"</f>
        <v>CID-NWF----2026</v>
      </c>
      <c r="B73" s="48" t="e" cm="1">
        <f t="array" ref="B73">Teachers!B78&amp;" "&amp;_xlfn.IFS(AND(ISNUMBER(Teachers!D78),Teachers!D78&lt;&gt;9),"Grade "&amp;Teachers!D78,Teachers!D78=9,"Grade 9-12",ISTEXT(Teachers!D78),Teachers!D78)&amp;" "&amp;"Nationwide"&amp;" "&amp;"25-26"</f>
        <v>#N/A</v>
      </c>
      <c r="C73" s="48" t="e">
        <f t="shared" si="1"/>
        <v>#N/A</v>
      </c>
      <c r="E73" s="50" t="s">
        <v>101</v>
      </c>
      <c r="F73" s="48" t="b">
        <f>IF(Teachers!B78&gt;0,"active")</f>
        <v>0</v>
      </c>
      <c r="J73" s="48" t="str">
        <f>"BP-"&amp;"TSWNW-"&amp;IF(ISNUMBER(Teachers!D78),""&amp;Teachers!D78,Teachers!D78)&amp;"-"&amp;"2026"</f>
        <v>BP-TSWNW--2026</v>
      </c>
    </row>
    <row r="74" spans="1:10" x14ac:dyDescent="0.2">
      <c r="A7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","#",3))+1,1)&amp;"-"&amp;LEFT(Teachers!B79, 3)&amp;"-"&amp;LEFT(Teachers!A79, 3)&amp;"-"&amp;IF(ISNUMBER(Teachers!D79),"G"&amp;Teachers!D79,Teachers!D79)&amp;"-"&amp;"2026"</f>
        <v>CID-NWF----2026</v>
      </c>
      <c r="B74" s="48" t="e" cm="1">
        <f t="array" ref="B74">Teachers!B79&amp;" "&amp;_xlfn.IFS(AND(ISNUMBER(Teachers!D79),Teachers!D79&lt;&gt;9),"Grade "&amp;Teachers!D79,Teachers!D79=9,"Grade 9-12",ISTEXT(Teachers!D79),Teachers!D79)&amp;" "&amp;"Nationwide"&amp;" "&amp;"25-26"</f>
        <v>#N/A</v>
      </c>
      <c r="C74" s="48" t="e">
        <f t="shared" si="1"/>
        <v>#N/A</v>
      </c>
      <c r="E74" s="50" t="s">
        <v>101</v>
      </c>
      <c r="F74" s="48" t="b">
        <f>IF(Teachers!B79&gt;0,"active")</f>
        <v>0</v>
      </c>
      <c r="J74" s="48" t="str">
        <f>"BP-"&amp;"TSWNW-"&amp;IF(ISNUMBER(Teachers!D79),""&amp;Teachers!D79,Teachers!D79)&amp;"-"&amp;"2026"</f>
        <v>BP-TSWNW--2026</v>
      </c>
    </row>
    <row r="75" spans="1:10" x14ac:dyDescent="0.2">
      <c r="A7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","#",3))+1,1)&amp;"-"&amp;LEFT(Teachers!B80, 3)&amp;"-"&amp;LEFT(Teachers!A80, 3)&amp;"-"&amp;IF(ISNUMBER(Teachers!D80),"G"&amp;Teachers!D80,Teachers!D80)&amp;"-"&amp;"2026"</f>
        <v>CID-NWF----2026</v>
      </c>
      <c r="B75" s="48" t="e" cm="1">
        <f t="array" ref="B75">Teachers!B80&amp;" "&amp;_xlfn.IFS(AND(ISNUMBER(Teachers!D80),Teachers!D80&lt;&gt;9),"Grade "&amp;Teachers!D80,Teachers!D80=9,"Grade 9-12",ISTEXT(Teachers!D80),Teachers!D80)&amp;" "&amp;"Nationwide"&amp;" "&amp;"25-26"</f>
        <v>#N/A</v>
      </c>
      <c r="C75" s="48" t="e">
        <f t="shared" si="1"/>
        <v>#N/A</v>
      </c>
      <c r="E75" s="50" t="s">
        <v>101</v>
      </c>
      <c r="F75" s="48" t="b">
        <f>IF(Teachers!B80&gt;0,"active")</f>
        <v>0</v>
      </c>
      <c r="J75" s="48" t="str">
        <f>"BP-"&amp;"TSWNW-"&amp;IF(ISNUMBER(Teachers!D80),""&amp;Teachers!D80,Teachers!D80)&amp;"-"&amp;"2026"</f>
        <v>BP-TSWNW--2026</v>
      </c>
    </row>
    <row r="76" spans="1:10" x14ac:dyDescent="0.2">
      <c r="A7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","#",3))+1,1)&amp;"-"&amp;LEFT(Teachers!B81, 3)&amp;"-"&amp;LEFT(Teachers!A81, 3)&amp;"-"&amp;IF(ISNUMBER(Teachers!D81),"G"&amp;Teachers!D81,Teachers!D81)&amp;"-"&amp;"2026"</f>
        <v>CID-NWF----2026</v>
      </c>
      <c r="B76" s="48" t="e" cm="1">
        <f t="array" ref="B76">Teachers!B81&amp;" "&amp;_xlfn.IFS(AND(ISNUMBER(Teachers!D81),Teachers!D81&lt;&gt;9),"Grade "&amp;Teachers!D81,Teachers!D81=9,"Grade 9-12",ISTEXT(Teachers!D81),Teachers!D81)&amp;" "&amp;"Nationwide"&amp;" "&amp;"25-26"</f>
        <v>#N/A</v>
      </c>
      <c r="C76" s="48" t="e">
        <f t="shared" si="1"/>
        <v>#N/A</v>
      </c>
      <c r="E76" s="50" t="s">
        <v>101</v>
      </c>
      <c r="F76" s="48" t="b">
        <f>IF(Teachers!B81&gt;0,"active")</f>
        <v>0</v>
      </c>
      <c r="J76" s="48" t="str">
        <f>"BP-"&amp;"TSWNW-"&amp;IF(ISNUMBER(Teachers!D81),""&amp;Teachers!D81,Teachers!D81)&amp;"-"&amp;"2026"</f>
        <v>BP-TSWNW--2026</v>
      </c>
    </row>
    <row r="77" spans="1:10" x14ac:dyDescent="0.2">
      <c r="A7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","#",3))+1,1)&amp;"-"&amp;LEFT(Teachers!B82, 3)&amp;"-"&amp;LEFT(Teachers!A82, 3)&amp;"-"&amp;IF(ISNUMBER(Teachers!D82),"G"&amp;Teachers!D82,Teachers!D82)&amp;"-"&amp;"2026"</f>
        <v>CID-NWF----2026</v>
      </c>
      <c r="B77" s="48" t="e" cm="1">
        <f t="array" ref="B77">Teachers!B82&amp;" "&amp;_xlfn.IFS(AND(ISNUMBER(Teachers!D82),Teachers!D82&lt;&gt;9),"Grade "&amp;Teachers!D82,Teachers!D82=9,"Grade 9-12",ISTEXT(Teachers!D82),Teachers!D82)&amp;" "&amp;"Nationwide"&amp;" "&amp;"25-26"</f>
        <v>#N/A</v>
      </c>
      <c r="C77" s="48" t="e">
        <f t="shared" si="1"/>
        <v>#N/A</v>
      </c>
      <c r="E77" s="50" t="s">
        <v>101</v>
      </c>
      <c r="F77" s="48" t="b">
        <f>IF(Teachers!B82&gt;0,"active")</f>
        <v>0</v>
      </c>
      <c r="J77" s="48" t="str">
        <f>"BP-"&amp;"TSWNW-"&amp;IF(ISNUMBER(Teachers!D82),""&amp;Teachers!D82,Teachers!D82)&amp;"-"&amp;"2026"</f>
        <v>BP-TSWNW--2026</v>
      </c>
    </row>
    <row r="78" spans="1:10" x14ac:dyDescent="0.2">
      <c r="A7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","#",3))+1,1)&amp;"-"&amp;LEFT(Teachers!B83, 3)&amp;"-"&amp;LEFT(Teachers!A83, 3)&amp;"-"&amp;IF(ISNUMBER(Teachers!D83),"G"&amp;Teachers!D83,Teachers!D83)&amp;"-"&amp;"2026"</f>
        <v>CID-NWF----2026</v>
      </c>
      <c r="B78" s="48" t="e" cm="1">
        <f t="array" ref="B78">Teachers!B83&amp;" "&amp;_xlfn.IFS(AND(ISNUMBER(Teachers!D83),Teachers!D83&lt;&gt;9),"Grade "&amp;Teachers!D83,Teachers!D83=9,"Grade 9-12",ISTEXT(Teachers!D83),Teachers!D83)&amp;" "&amp;"Nationwide"&amp;" "&amp;"25-26"</f>
        <v>#N/A</v>
      </c>
      <c r="C78" s="48" t="e">
        <f t="shared" si="1"/>
        <v>#N/A</v>
      </c>
      <c r="E78" s="50" t="s">
        <v>101</v>
      </c>
      <c r="F78" s="48" t="b">
        <f>IF(Teachers!B83&gt;0,"active")</f>
        <v>0</v>
      </c>
      <c r="J78" s="48" t="str">
        <f>"BP-"&amp;"TSWNW-"&amp;IF(ISNUMBER(Teachers!D83),""&amp;Teachers!D83,Teachers!D83)&amp;"-"&amp;"2026"</f>
        <v>BP-TSWNW--2026</v>
      </c>
    </row>
    <row r="79" spans="1:10" x14ac:dyDescent="0.2">
      <c r="A7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","#",3))+1,1)&amp;"-"&amp;LEFT(Teachers!B84, 3)&amp;"-"&amp;LEFT(Teachers!A84, 3)&amp;"-"&amp;IF(ISNUMBER(Teachers!D84),"G"&amp;Teachers!D84,Teachers!D84)&amp;"-"&amp;"2026"</f>
        <v>CID-NWF----2026</v>
      </c>
      <c r="B79" s="48" t="e" cm="1">
        <f t="array" ref="B79">Teachers!B84&amp;" "&amp;_xlfn.IFS(AND(ISNUMBER(Teachers!D84),Teachers!D84&lt;&gt;9),"Grade "&amp;Teachers!D84,Teachers!D84=9,"Grade 9-12",ISTEXT(Teachers!D84),Teachers!D84)&amp;" "&amp;"Nationwide"&amp;" "&amp;"25-26"</f>
        <v>#N/A</v>
      </c>
      <c r="C79" s="48" t="e">
        <f t="shared" si="1"/>
        <v>#N/A</v>
      </c>
      <c r="E79" s="50" t="s">
        <v>101</v>
      </c>
      <c r="F79" s="48" t="b">
        <f>IF(Teachers!B84&gt;0,"active")</f>
        <v>0</v>
      </c>
      <c r="J79" s="48" t="str">
        <f>"BP-"&amp;"TSWNW-"&amp;IF(ISNUMBER(Teachers!D84),""&amp;Teachers!D84,Teachers!D84)&amp;"-"&amp;"2026"</f>
        <v>BP-TSWNW--2026</v>
      </c>
    </row>
    <row r="80" spans="1:10" x14ac:dyDescent="0.2">
      <c r="A8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","#",3))+1,1)&amp;"-"&amp;LEFT(Teachers!B85, 3)&amp;"-"&amp;LEFT(Teachers!A85, 3)&amp;"-"&amp;IF(ISNUMBER(Teachers!D85),"G"&amp;Teachers!D85,Teachers!D85)&amp;"-"&amp;"2026"</f>
        <v>CID-NWF----2026</v>
      </c>
      <c r="B80" s="48" t="e" cm="1">
        <f t="array" ref="B80">Teachers!B85&amp;" "&amp;_xlfn.IFS(AND(ISNUMBER(Teachers!D85),Teachers!D85&lt;&gt;9),"Grade "&amp;Teachers!D85,Teachers!D85=9,"Grade 9-12",ISTEXT(Teachers!D85),Teachers!D85)&amp;" "&amp;"Nationwide"&amp;" "&amp;"25-26"</f>
        <v>#N/A</v>
      </c>
      <c r="C80" s="48" t="e">
        <f t="shared" si="1"/>
        <v>#N/A</v>
      </c>
      <c r="E80" s="50" t="s">
        <v>101</v>
      </c>
      <c r="F80" s="48" t="b">
        <f>IF(Teachers!B85&gt;0,"active")</f>
        <v>0</v>
      </c>
      <c r="J80" s="48" t="str">
        <f>"BP-"&amp;"TSWNW-"&amp;IF(ISNUMBER(Teachers!D85),""&amp;Teachers!D85,Teachers!D85)&amp;"-"&amp;"2026"</f>
        <v>BP-TSWNW--2026</v>
      </c>
    </row>
    <row r="81" spans="1:10" x14ac:dyDescent="0.2">
      <c r="A8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","#",3))+1,1)&amp;"-"&amp;LEFT(Teachers!B86, 3)&amp;"-"&amp;LEFT(Teachers!A86, 3)&amp;"-"&amp;IF(ISNUMBER(Teachers!D86),"G"&amp;Teachers!D86,Teachers!D86)&amp;"-"&amp;"2026"</f>
        <v>CID-NWF----2026</v>
      </c>
      <c r="B81" s="48" t="e" cm="1">
        <f t="array" ref="B81">Teachers!B86&amp;" "&amp;_xlfn.IFS(AND(ISNUMBER(Teachers!D86),Teachers!D86&lt;&gt;9),"Grade "&amp;Teachers!D86,Teachers!D86=9,"Grade 9-12",ISTEXT(Teachers!D86),Teachers!D86)&amp;" "&amp;"Nationwide"&amp;" "&amp;"25-26"</f>
        <v>#N/A</v>
      </c>
      <c r="C81" s="48" t="e">
        <f t="shared" si="1"/>
        <v>#N/A</v>
      </c>
      <c r="E81" s="50" t="s">
        <v>101</v>
      </c>
      <c r="F81" s="48" t="b">
        <f>IF(Teachers!B86&gt;0,"active")</f>
        <v>0</v>
      </c>
      <c r="J81" s="48" t="str">
        <f>"BP-"&amp;"TSWNW-"&amp;IF(ISNUMBER(Teachers!D86),""&amp;Teachers!D86,Teachers!D86)&amp;"-"&amp;"2026"</f>
        <v>BP-TSWNW--2026</v>
      </c>
    </row>
    <row r="82" spans="1:10" x14ac:dyDescent="0.2">
      <c r="A8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","#",3))+1,1)&amp;"-"&amp;LEFT(Teachers!B87, 3)&amp;"-"&amp;LEFT(Teachers!A87, 3)&amp;"-"&amp;IF(ISNUMBER(Teachers!D87),"G"&amp;Teachers!D87,Teachers!D87)&amp;"-"&amp;"2026"</f>
        <v>CID-NWF----2026</v>
      </c>
      <c r="B82" s="48" t="e" cm="1">
        <f t="array" ref="B82">Teachers!B87&amp;" "&amp;_xlfn.IFS(AND(ISNUMBER(Teachers!D87),Teachers!D87&lt;&gt;9),"Grade "&amp;Teachers!D87,Teachers!D87=9,"Grade 9-12",ISTEXT(Teachers!D87),Teachers!D87)&amp;" "&amp;"Nationwide"&amp;" "&amp;"25-26"</f>
        <v>#N/A</v>
      </c>
      <c r="C82" s="48" t="e">
        <f t="shared" si="1"/>
        <v>#N/A</v>
      </c>
      <c r="E82" s="50" t="s">
        <v>101</v>
      </c>
      <c r="F82" s="48" t="b">
        <f>IF(Teachers!B87&gt;0,"active")</f>
        <v>0</v>
      </c>
      <c r="J82" s="48" t="str">
        <f>"BP-"&amp;"TSWNW-"&amp;IF(ISNUMBER(Teachers!D87),""&amp;Teachers!D87,Teachers!D87)&amp;"-"&amp;"2026"</f>
        <v>BP-TSWNW--2026</v>
      </c>
    </row>
    <row r="83" spans="1:10" x14ac:dyDescent="0.2">
      <c r="A8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","#",3))+1,1)&amp;"-"&amp;LEFT(Teachers!B88, 3)&amp;"-"&amp;LEFT(Teachers!A88, 3)&amp;"-"&amp;IF(ISNUMBER(Teachers!D88),"G"&amp;Teachers!D88,Teachers!D88)&amp;"-"&amp;"2026"</f>
        <v>CID-NWF----2026</v>
      </c>
      <c r="B83" s="48" t="e" cm="1">
        <f t="array" ref="B83">Teachers!B88&amp;" "&amp;_xlfn.IFS(AND(ISNUMBER(Teachers!D88),Teachers!D88&lt;&gt;9),"Grade "&amp;Teachers!D88,Teachers!D88=9,"Grade 9-12",ISTEXT(Teachers!D88),Teachers!D88)&amp;" "&amp;"Nationwide"&amp;" "&amp;"25-26"</f>
        <v>#N/A</v>
      </c>
      <c r="C83" s="48" t="e">
        <f t="shared" si="1"/>
        <v>#N/A</v>
      </c>
      <c r="E83" s="50" t="s">
        <v>101</v>
      </c>
      <c r="F83" s="48" t="b">
        <f>IF(Teachers!B88&gt;0,"active")</f>
        <v>0</v>
      </c>
      <c r="J83" s="48" t="str">
        <f>"BP-"&amp;"TSWNW-"&amp;IF(ISNUMBER(Teachers!D88),""&amp;Teachers!D88,Teachers!D88)&amp;"-"&amp;"2026"</f>
        <v>BP-TSWNW--2026</v>
      </c>
    </row>
    <row r="84" spans="1:10" x14ac:dyDescent="0.2">
      <c r="A8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","#",3))+1,1)&amp;"-"&amp;LEFT(Teachers!B89, 3)&amp;"-"&amp;LEFT(Teachers!A89, 3)&amp;"-"&amp;IF(ISNUMBER(Teachers!D89),"G"&amp;Teachers!D89,Teachers!D89)&amp;"-"&amp;"2026"</f>
        <v>CID-NWF----2026</v>
      </c>
      <c r="B84" s="48" t="e" cm="1">
        <f t="array" ref="B84">Teachers!B89&amp;" "&amp;_xlfn.IFS(AND(ISNUMBER(Teachers!D89),Teachers!D89&lt;&gt;9),"Grade "&amp;Teachers!D89,Teachers!D89=9,"Grade 9-12",ISTEXT(Teachers!D89),Teachers!D89)&amp;" "&amp;"Nationwide"&amp;" "&amp;"25-26"</f>
        <v>#N/A</v>
      </c>
      <c r="C84" s="48" t="e">
        <f t="shared" si="1"/>
        <v>#N/A</v>
      </c>
      <c r="E84" s="50" t="s">
        <v>101</v>
      </c>
      <c r="F84" s="48" t="b">
        <f>IF(Teachers!B89&gt;0,"active")</f>
        <v>0</v>
      </c>
      <c r="J84" s="48" t="str">
        <f>"BP-"&amp;"TSWNW-"&amp;IF(ISNUMBER(Teachers!D89),""&amp;Teachers!D89,Teachers!D89)&amp;"-"&amp;"2026"</f>
        <v>BP-TSWNW--2026</v>
      </c>
    </row>
    <row r="85" spans="1:10" x14ac:dyDescent="0.2">
      <c r="A8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","#",3))+1,1)&amp;"-"&amp;LEFT(Teachers!B90, 3)&amp;"-"&amp;LEFT(Teachers!A90, 3)&amp;"-"&amp;IF(ISNUMBER(Teachers!D90),"G"&amp;Teachers!D90,Teachers!D90)&amp;"-"&amp;"2026"</f>
        <v>CID-NWF----2026</v>
      </c>
      <c r="B85" s="48" t="e" cm="1">
        <f t="array" ref="B85">Teachers!B90&amp;" "&amp;_xlfn.IFS(AND(ISNUMBER(Teachers!D90),Teachers!D90&lt;&gt;9),"Grade "&amp;Teachers!D90,Teachers!D90=9,"Grade 9-12",ISTEXT(Teachers!D90),Teachers!D90)&amp;" "&amp;"Nationwide"&amp;" "&amp;"25-26"</f>
        <v>#N/A</v>
      </c>
      <c r="C85" s="48" t="e">
        <f t="shared" si="1"/>
        <v>#N/A</v>
      </c>
      <c r="E85" s="50" t="s">
        <v>101</v>
      </c>
      <c r="F85" s="48" t="b">
        <f>IF(Teachers!B90&gt;0,"active")</f>
        <v>0</v>
      </c>
      <c r="J85" s="48" t="str">
        <f>"BP-"&amp;"TSWNW-"&amp;IF(ISNUMBER(Teachers!D90),""&amp;Teachers!D90,Teachers!D90)&amp;"-"&amp;"2026"</f>
        <v>BP-TSWNW--2026</v>
      </c>
    </row>
    <row r="86" spans="1:10" x14ac:dyDescent="0.2">
      <c r="A8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","#",3))+1,1)&amp;"-"&amp;LEFT(Teachers!B91, 3)&amp;"-"&amp;LEFT(Teachers!A91, 3)&amp;"-"&amp;IF(ISNUMBER(Teachers!D91),"G"&amp;Teachers!D91,Teachers!D91)&amp;"-"&amp;"2026"</f>
        <v>CID-NWF----2026</v>
      </c>
      <c r="B86" s="48" t="e" cm="1">
        <f t="array" ref="B86">Teachers!B91&amp;" "&amp;_xlfn.IFS(AND(ISNUMBER(Teachers!D91),Teachers!D91&lt;&gt;9),"Grade "&amp;Teachers!D91,Teachers!D91=9,"Grade 9-12",ISTEXT(Teachers!D91),Teachers!D91)&amp;" "&amp;"Nationwide"&amp;" "&amp;"25-26"</f>
        <v>#N/A</v>
      </c>
      <c r="C86" s="48" t="e">
        <f t="shared" si="1"/>
        <v>#N/A</v>
      </c>
      <c r="E86" s="50" t="s">
        <v>101</v>
      </c>
      <c r="F86" s="48" t="b">
        <f>IF(Teachers!B91&gt;0,"active")</f>
        <v>0</v>
      </c>
      <c r="J86" s="48" t="str">
        <f>"BP-"&amp;"TSWNW-"&amp;IF(ISNUMBER(Teachers!D91),""&amp;Teachers!D91,Teachers!D91)&amp;"-"&amp;"2026"</f>
        <v>BP-TSWNW--2026</v>
      </c>
    </row>
    <row r="87" spans="1:10" x14ac:dyDescent="0.2">
      <c r="A8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","#",3))+1,1)&amp;"-"&amp;LEFT(Teachers!B92, 3)&amp;"-"&amp;LEFT(Teachers!A92, 3)&amp;"-"&amp;IF(ISNUMBER(Teachers!D92),"G"&amp;Teachers!D92,Teachers!D92)&amp;"-"&amp;"2026"</f>
        <v>CID-NWF----2026</v>
      </c>
      <c r="B87" s="48" t="e" cm="1">
        <f t="array" ref="B87">Teachers!B92&amp;" "&amp;_xlfn.IFS(AND(ISNUMBER(Teachers!D92),Teachers!D92&lt;&gt;9),"Grade "&amp;Teachers!D92,Teachers!D92=9,"Grade 9-12",ISTEXT(Teachers!D92),Teachers!D92)&amp;" "&amp;"Nationwide"&amp;" "&amp;"25-26"</f>
        <v>#N/A</v>
      </c>
      <c r="C87" s="48" t="e">
        <f t="shared" si="1"/>
        <v>#N/A</v>
      </c>
      <c r="E87" s="50" t="s">
        <v>101</v>
      </c>
      <c r="F87" s="48" t="b">
        <f>IF(Teachers!B92&gt;0,"active")</f>
        <v>0</v>
      </c>
      <c r="J87" s="48" t="str">
        <f>"BP-"&amp;"TSWNW-"&amp;IF(ISNUMBER(Teachers!D92),""&amp;Teachers!D92,Teachers!D92)&amp;"-"&amp;"2026"</f>
        <v>BP-TSWNW--2026</v>
      </c>
    </row>
    <row r="88" spans="1:10" x14ac:dyDescent="0.2">
      <c r="A8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","#",3))+1,1)&amp;"-"&amp;LEFT(Teachers!B93, 3)&amp;"-"&amp;LEFT(Teachers!A93, 3)&amp;"-"&amp;IF(ISNUMBER(Teachers!D93),"G"&amp;Teachers!D93,Teachers!D93)&amp;"-"&amp;"2026"</f>
        <v>CID-NWF----2026</v>
      </c>
      <c r="B88" s="48" t="e" cm="1">
        <f t="array" ref="B88">Teachers!B93&amp;" "&amp;_xlfn.IFS(AND(ISNUMBER(Teachers!D93),Teachers!D93&lt;&gt;9),"Grade "&amp;Teachers!D93,Teachers!D93=9,"Grade 9-12",ISTEXT(Teachers!D93),Teachers!D93)&amp;" "&amp;"Nationwide"&amp;" "&amp;"25-26"</f>
        <v>#N/A</v>
      </c>
      <c r="C88" s="48" t="e">
        <f t="shared" si="1"/>
        <v>#N/A</v>
      </c>
      <c r="E88" s="50" t="s">
        <v>101</v>
      </c>
      <c r="F88" s="48" t="b">
        <f>IF(Teachers!B93&gt;0,"active")</f>
        <v>0</v>
      </c>
      <c r="J88" s="48" t="str">
        <f>"BP-"&amp;"TSWNW-"&amp;IF(ISNUMBER(Teachers!D93),""&amp;Teachers!D93,Teachers!D93)&amp;"-"&amp;"2026"</f>
        <v>BP-TSWNW--2026</v>
      </c>
    </row>
    <row r="89" spans="1:10" x14ac:dyDescent="0.2">
      <c r="A8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","#",3))+1,1)&amp;"-"&amp;LEFT(Teachers!B94, 3)&amp;"-"&amp;LEFT(Teachers!A94, 3)&amp;"-"&amp;IF(ISNUMBER(Teachers!D94),"G"&amp;Teachers!D94,Teachers!D94)&amp;"-"&amp;"2026"</f>
        <v>CID-NWF----2026</v>
      </c>
      <c r="B89" s="48" t="e" cm="1">
        <f t="array" ref="B89">Teachers!B94&amp;" "&amp;_xlfn.IFS(AND(ISNUMBER(Teachers!D94),Teachers!D94&lt;&gt;9),"Grade "&amp;Teachers!D94,Teachers!D94=9,"Grade 9-12",ISTEXT(Teachers!D94),Teachers!D94)&amp;" "&amp;"Nationwide"&amp;" "&amp;"25-26"</f>
        <v>#N/A</v>
      </c>
      <c r="C89" s="48" t="e">
        <f t="shared" si="1"/>
        <v>#N/A</v>
      </c>
      <c r="E89" s="50" t="s">
        <v>101</v>
      </c>
      <c r="F89" s="48" t="b">
        <f>IF(Teachers!B94&gt;0,"active")</f>
        <v>0</v>
      </c>
      <c r="J89" s="48" t="str">
        <f>"BP-"&amp;"TSWNW-"&amp;IF(ISNUMBER(Teachers!D94),""&amp;Teachers!D94,Teachers!D94)&amp;"-"&amp;"2026"</f>
        <v>BP-TSWNW--2026</v>
      </c>
    </row>
    <row r="90" spans="1:10" x14ac:dyDescent="0.2">
      <c r="A9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","#",3))+1,1)&amp;"-"&amp;LEFT(Teachers!B95, 3)&amp;"-"&amp;LEFT(Teachers!A95, 3)&amp;"-"&amp;IF(ISNUMBER(Teachers!D95),"G"&amp;Teachers!D95,Teachers!D95)&amp;"-"&amp;"2026"</f>
        <v>CID-NWF----2026</v>
      </c>
      <c r="B90" s="48" t="e" cm="1">
        <f t="array" ref="B90">Teachers!B95&amp;" "&amp;_xlfn.IFS(AND(ISNUMBER(Teachers!D95),Teachers!D95&lt;&gt;9),"Grade "&amp;Teachers!D95,Teachers!D95=9,"Grade 9-12",ISTEXT(Teachers!D95),Teachers!D95)&amp;" "&amp;"Nationwide"&amp;" "&amp;"25-26"</f>
        <v>#N/A</v>
      </c>
      <c r="C90" s="48" t="e">
        <f t="shared" si="1"/>
        <v>#N/A</v>
      </c>
      <c r="E90" s="50" t="s">
        <v>101</v>
      </c>
      <c r="F90" s="48" t="b">
        <f>IF(Teachers!B95&gt;0,"active")</f>
        <v>0</v>
      </c>
      <c r="J90" s="48" t="str">
        <f>"BP-"&amp;"TSWNW-"&amp;IF(ISNUMBER(Teachers!D95),""&amp;Teachers!D95,Teachers!D95)&amp;"-"&amp;"2026"</f>
        <v>BP-TSWNW--2026</v>
      </c>
    </row>
    <row r="91" spans="1:10" x14ac:dyDescent="0.2">
      <c r="A9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","#",3))+1,1)&amp;"-"&amp;LEFT(Teachers!B96, 3)&amp;"-"&amp;LEFT(Teachers!A96, 3)&amp;"-"&amp;IF(ISNUMBER(Teachers!D96),"G"&amp;Teachers!D96,Teachers!D96)&amp;"-"&amp;"2026"</f>
        <v>CID-NWF----2026</v>
      </c>
      <c r="B91" s="48" t="e" cm="1">
        <f t="array" ref="B91">Teachers!B96&amp;" "&amp;_xlfn.IFS(AND(ISNUMBER(Teachers!D96),Teachers!D96&lt;&gt;9),"Grade "&amp;Teachers!D96,Teachers!D96=9,"Grade 9-12",ISTEXT(Teachers!D96),Teachers!D96)&amp;" "&amp;"Nationwide"&amp;" "&amp;"25-26"</f>
        <v>#N/A</v>
      </c>
      <c r="C91" s="48" t="e">
        <f t="shared" si="1"/>
        <v>#N/A</v>
      </c>
      <c r="E91" s="50" t="s">
        <v>101</v>
      </c>
      <c r="F91" s="48" t="b">
        <f>IF(Teachers!B96&gt;0,"active")</f>
        <v>0</v>
      </c>
      <c r="J91" s="48" t="str">
        <f>"BP-"&amp;"TSWNW-"&amp;IF(ISNUMBER(Teachers!D96),""&amp;Teachers!D96,Teachers!D96)&amp;"-"&amp;"2026"</f>
        <v>BP-TSWNW--2026</v>
      </c>
    </row>
    <row r="92" spans="1:10" x14ac:dyDescent="0.2">
      <c r="A9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","#",3))+1,1)&amp;"-"&amp;LEFT(Teachers!B97, 3)&amp;"-"&amp;LEFT(Teachers!A97, 3)&amp;"-"&amp;IF(ISNUMBER(Teachers!D97),"G"&amp;Teachers!D97,Teachers!D97)&amp;"-"&amp;"2026"</f>
        <v>CID-NWF----2026</v>
      </c>
      <c r="B92" s="48" t="e" cm="1">
        <f t="array" ref="B92">Teachers!B97&amp;" "&amp;_xlfn.IFS(AND(ISNUMBER(Teachers!D97),Teachers!D97&lt;&gt;9),"Grade "&amp;Teachers!D97,Teachers!D97=9,"Grade 9-12",ISTEXT(Teachers!D97),Teachers!D97)&amp;" "&amp;"Nationwide"&amp;" "&amp;"25-26"</f>
        <v>#N/A</v>
      </c>
      <c r="C92" s="48" t="e">
        <f t="shared" si="1"/>
        <v>#N/A</v>
      </c>
      <c r="E92" s="50" t="s">
        <v>101</v>
      </c>
      <c r="F92" s="48" t="b">
        <f>IF(Teachers!B97&gt;0,"active")</f>
        <v>0</v>
      </c>
      <c r="J92" s="48" t="str">
        <f>"BP-"&amp;"TSWNW-"&amp;IF(ISNUMBER(Teachers!D97),""&amp;Teachers!D97,Teachers!D97)&amp;"-"&amp;"2026"</f>
        <v>BP-TSWNW--2026</v>
      </c>
    </row>
    <row r="93" spans="1:10" x14ac:dyDescent="0.2">
      <c r="A9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","#",3))+1,1)&amp;"-"&amp;LEFT(Teachers!B98, 3)&amp;"-"&amp;LEFT(Teachers!A98, 3)&amp;"-"&amp;IF(ISNUMBER(Teachers!D98),"G"&amp;Teachers!D98,Teachers!D98)&amp;"-"&amp;"2026"</f>
        <v>CID-NWF----2026</v>
      </c>
      <c r="B93" s="48" t="e" cm="1">
        <f t="array" ref="B93">Teachers!B98&amp;" "&amp;_xlfn.IFS(AND(ISNUMBER(Teachers!D98),Teachers!D98&lt;&gt;9),"Grade "&amp;Teachers!D98,Teachers!D98=9,"Grade 9-12",ISTEXT(Teachers!D98),Teachers!D98)&amp;" "&amp;"Nationwide"&amp;" "&amp;"25-26"</f>
        <v>#N/A</v>
      </c>
      <c r="C93" s="48" t="e">
        <f t="shared" si="1"/>
        <v>#N/A</v>
      </c>
      <c r="E93" s="50" t="s">
        <v>101</v>
      </c>
      <c r="F93" s="48" t="b">
        <f>IF(Teachers!B98&gt;0,"active")</f>
        <v>0</v>
      </c>
      <c r="J93" s="48" t="str">
        <f>"BP-"&amp;"TSWNW-"&amp;IF(ISNUMBER(Teachers!D98),""&amp;Teachers!D98,Teachers!D98)&amp;"-"&amp;"2026"</f>
        <v>BP-TSWNW--2026</v>
      </c>
    </row>
    <row r="94" spans="1:10" x14ac:dyDescent="0.2">
      <c r="A9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","#",3))+1,1)&amp;"-"&amp;LEFT(Teachers!B99, 3)&amp;"-"&amp;LEFT(Teachers!A99, 3)&amp;"-"&amp;IF(ISNUMBER(Teachers!D99),"G"&amp;Teachers!D99,Teachers!D99)&amp;"-"&amp;"2026"</f>
        <v>CID-NWF----2026</v>
      </c>
      <c r="B94" s="48" t="e" cm="1">
        <f t="array" ref="B94">Teachers!B99&amp;" "&amp;_xlfn.IFS(AND(ISNUMBER(Teachers!D99),Teachers!D99&lt;&gt;9),"Grade "&amp;Teachers!D99,Teachers!D99=9,"Grade 9-12",ISTEXT(Teachers!D99),Teachers!D99)&amp;" "&amp;"Nationwide"&amp;" "&amp;"25-26"</f>
        <v>#N/A</v>
      </c>
      <c r="C94" s="48" t="e">
        <f t="shared" si="1"/>
        <v>#N/A</v>
      </c>
      <c r="E94" s="50" t="s">
        <v>101</v>
      </c>
      <c r="F94" s="48" t="b">
        <f>IF(Teachers!B99&gt;0,"active")</f>
        <v>0</v>
      </c>
      <c r="J94" s="48" t="str">
        <f>"BP-"&amp;"TSWNW-"&amp;IF(ISNUMBER(Teachers!D99),""&amp;Teachers!D99,Teachers!D99)&amp;"-"&amp;"2026"</f>
        <v>BP-TSWNW--2026</v>
      </c>
    </row>
    <row r="95" spans="1:10" x14ac:dyDescent="0.2">
      <c r="A9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","#",3))+1,1)&amp;"-"&amp;LEFT(Teachers!B100, 3)&amp;"-"&amp;LEFT(Teachers!A100, 3)&amp;"-"&amp;IF(ISNUMBER(Teachers!D100),"G"&amp;Teachers!D100,Teachers!D100)&amp;"-"&amp;"2026"</f>
        <v>CID-NWF----2026</v>
      </c>
      <c r="B95" s="48" t="e" cm="1">
        <f t="array" ref="B95">Teachers!B100&amp;" "&amp;_xlfn.IFS(AND(ISNUMBER(Teachers!D100),Teachers!D100&lt;&gt;9),"Grade "&amp;Teachers!D100,Teachers!D100=9,"Grade 9-12",ISTEXT(Teachers!D100),Teachers!D100)&amp;" "&amp;"Nationwide"&amp;" "&amp;"25-26"</f>
        <v>#N/A</v>
      </c>
      <c r="C95" s="48" t="e">
        <f t="shared" si="1"/>
        <v>#N/A</v>
      </c>
      <c r="E95" s="50" t="s">
        <v>101</v>
      </c>
      <c r="F95" s="48" t="b">
        <f>IF(Teachers!B100&gt;0,"active")</f>
        <v>0</v>
      </c>
      <c r="J95" s="48" t="str">
        <f>"BP-"&amp;"TSWNW-"&amp;IF(ISNUMBER(Teachers!D100),""&amp;Teachers!D100,Teachers!D100)&amp;"-"&amp;"2026"</f>
        <v>BP-TSWNW--2026</v>
      </c>
    </row>
    <row r="96" spans="1:10" x14ac:dyDescent="0.2">
      <c r="A9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","#",3))+1,1)&amp;"-"&amp;LEFT(Teachers!B101, 3)&amp;"-"&amp;LEFT(Teachers!A101, 3)&amp;"-"&amp;IF(ISNUMBER(Teachers!D101),"G"&amp;Teachers!D101,Teachers!D101)&amp;"-"&amp;"2026"</f>
        <v>CID-NWF----2026</v>
      </c>
      <c r="B96" s="48" t="e" cm="1">
        <f t="array" ref="B96">Teachers!B101&amp;" "&amp;_xlfn.IFS(AND(ISNUMBER(Teachers!D101),Teachers!D101&lt;&gt;9),"Grade "&amp;Teachers!D101,Teachers!D101=9,"Grade 9-12",ISTEXT(Teachers!D101),Teachers!D101)&amp;" "&amp;"Nationwide"&amp;" "&amp;"25-26"</f>
        <v>#N/A</v>
      </c>
      <c r="C96" s="48" t="e">
        <f t="shared" si="1"/>
        <v>#N/A</v>
      </c>
      <c r="E96" s="50" t="s">
        <v>101</v>
      </c>
      <c r="F96" s="48" t="b">
        <f>IF(Teachers!B101&gt;0,"active")</f>
        <v>0</v>
      </c>
      <c r="J96" s="48" t="str">
        <f>"BP-"&amp;"TSWNW-"&amp;IF(ISNUMBER(Teachers!D101),""&amp;Teachers!D101,Teachers!D101)&amp;"-"&amp;"2026"</f>
        <v>BP-TSWNW--2026</v>
      </c>
    </row>
    <row r="97" spans="1:10" x14ac:dyDescent="0.2">
      <c r="A9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","#",3))+1,1)&amp;"-"&amp;LEFT(Teachers!B102, 3)&amp;"-"&amp;LEFT(Teachers!A102, 3)&amp;"-"&amp;IF(ISNUMBER(Teachers!D102),"G"&amp;Teachers!D102,Teachers!D102)&amp;"-"&amp;"2026"</f>
        <v>CID-NWF----2026</v>
      </c>
      <c r="B97" s="48" t="e" cm="1">
        <f t="array" ref="B97">Teachers!B102&amp;" "&amp;_xlfn.IFS(AND(ISNUMBER(Teachers!D102),Teachers!D102&lt;&gt;9),"Grade "&amp;Teachers!D102,Teachers!D102=9,"Grade 9-12",ISTEXT(Teachers!D102),Teachers!D102)&amp;" "&amp;"Nationwide"&amp;" "&amp;"25-26"</f>
        <v>#N/A</v>
      </c>
      <c r="C97" s="48" t="e">
        <f t="shared" si="1"/>
        <v>#N/A</v>
      </c>
      <c r="E97" s="50" t="s">
        <v>101</v>
      </c>
      <c r="F97" s="48" t="b">
        <f>IF(Teachers!B102&gt;0,"active")</f>
        <v>0</v>
      </c>
      <c r="J97" s="48" t="str">
        <f>"BP-"&amp;"TSWNW-"&amp;IF(ISNUMBER(Teachers!D102),""&amp;Teachers!D102,Teachers!D102)&amp;"-"&amp;"2026"</f>
        <v>BP-TSWNW--2026</v>
      </c>
    </row>
    <row r="98" spans="1:10" x14ac:dyDescent="0.2">
      <c r="A9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","#",3))+1,1)&amp;"-"&amp;LEFT(Teachers!B103, 3)&amp;"-"&amp;LEFT(Teachers!A103, 3)&amp;"-"&amp;IF(ISNUMBER(Teachers!D103),"G"&amp;Teachers!D103,Teachers!D103)&amp;"-"&amp;"2026"</f>
        <v>CID-NWF----2026</v>
      </c>
      <c r="B98" s="48" t="e" cm="1">
        <f t="array" ref="B98">Teachers!B103&amp;" "&amp;_xlfn.IFS(AND(ISNUMBER(Teachers!D103),Teachers!D103&lt;&gt;9),"Grade "&amp;Teachers!D103,Teachers!D103=9,"Grade 9-12",ISTEXT(Teachers!D103),Teachers!D103)&amp;" "&amp;"Nationwide"&amp;" "&amp;"25-26"</f>
        <v>#N/A</v>
      </c>
      <c r="C98" s="48" t="e">
        <f t="shared" si="1"/>
        <v>#N/A</v>
      </c>
      <c r="E98" s="50" t="s">
        <v>101</v>
      </c>
      <c r="F98" s="48" t="b">
        <f>IF(Teachers!B103&gt;0,"active")</f>
        <v>0</v>
      </c>
      <c r="J98" s="48" t="str">
        <f>"BP-"&amp;"TSWNW-"&amp;IF(ISNUMBER(Teachers!D103),""&amp;Teachers!D103,Teachers!D103)&amp;"-"&amp;"2026"</f>
        <v>BP-TSWNW--2026</v>
      </c>
    </row>
    <row r="99" spans="1:10" x14ac:dyDescent="0.2">
      <c r="A9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","#",3))+1,1)&amp;"-"&amp;LEFT(Teachers!B104, 3)&amp;"-"&amp;LEFT(Teachers!A104, 3)&amp;"-"&amp;IF(ISNUMBER(Teachers!D104),"G"&amp;Teachers!D104,Teachers!D104)&amp;"-"&amp;"2026"</f>
        <v>CID-NWF----2026</v>
      </c>
      <c r="B99" s="48" t="e" cm="1">
        <f t="array" ref="B99">Teachers!B104&amp;" "&amp;_xlfn.IFS(AND(ISNUMBER(Teachers!D104),Teachers!D104&lt;&gt;9),"Grade "&amp;Teachers!D104,Teachers!D104=9,"Grade 9-12",ISTEXT(Teachers!D104),Teachers!D104)&amp;" "&amp;"Nationwide"&amp;" "&amp;"25-26"</f>
        <v>#N/A</v>
      </c>
      <c r="C99" s="48" t="e">
        <f t="shared" si="1"/>
        <v>#N/A</v>
      </c>
      <c r="E99" s="50" t="s">
        <v>101</v>
      </c>
      <c r="F99" s="48" t="b">
        <f>IF(Teachers!B104&gt;0,"active")</f>
        <v>0</v>
      </c>
      <c r="J99" s="48" t="str">
        <f>"BP-"&amp;"TSWNW-"&amp;IF(ISNUMBER(Teachers!D104),""&amp;Teachers!D104,Teachers!D104)&amp;"-"&amp;"2026"</f>
        <v>BP-TSWNW--2026</v>
      </c>
    </row>
    <row r="100" spans="1:10" x14ac:dyDescent="0.2">
      <c r="A10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","#",3))+1,1)&amp;"-"&amp;LEFT(Teachers!B105, 3)&amp;"-"&amp;LEFT(Teachers!A105, 3)&amp;"-"&amp;IF(ISNUMBER(Teachers!D105),"G"&amp;Teachers!D105,Teachers!D105)&amp;"-"&amp;"2026"</f>
        <v>CID-NWF----2026</v>
      </c>
      <c r="B100" s="48" t="e" cm="1">
        <f t="array" ref="B100">Teachers!B105&amp;" "&amp;_xlfn.IFS(AND(ISNUMBER(Teachers!D105),Teachers!D105&lt;&gt;9),"Grade "&amp;Teachers!D105,Teachers!D105=9,"Grade 9-12",ISTEXT(Teachers!D105),Teachers!D105)&amp;" "&amp;"Nationwide"&amp;" "&amp;"25-26"</f>
        <v>#N/A</v>
      </c>
      <c r="C100" s="48" t="e">
        <f t="shared" si="1"/>
        <v>#N/A</v>
      </c>
      <c r="E100" s="50" t="s">
        <v>101</v>
      </c>
      <c r="F100" s="48" t="b">
        <f>IF(Teachers!B105&gt;0,"active")</f>
        <v>0</v>
      </c>
      <c r="J100" s="48" t="str">
        <f>"BP-"&amp;"TSWNW-"&amp;IF(ISNUMBER(Teachers!D105),""&amp;Teachers!D105,Teachers!D105)&amp;"-"&amp;"2026"</f>
        <v>BP-TSWNW--2026</v>
      </c>
    </row>
    <row r="101" spans="1:10" x14ac:dyDescent="0.2">
      <c r="A10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","#",3))+1,1)&amp;"-"&amp;LEFT(Teachers!B106, 3)&amp;"-"&amp;LEFT(Teachers!A106, 3)&amp;"-"&amp;IF(ISNUMBER(Teachers!D106),"G"&amp;Teachers!D106,Teachers!D106)&amp;"-"&amp;"2026"</f>
        <v>CID-NWF----2026</v>
      </c>
      <c r="B101" s="48" t="e" cm="1">
        <f t="array" ref="B101">Teachers!B106&amp;" "&amp;_xlfn.IFS(AND(ISNUMBER(Teachers!D106),Teachers!D106&lt;&gt;9),"Grade "&amp;Teachers!D106,Teachers!D106=9,"Grade 9-12",ISTEXT(Teachers!D106),Teachers!D106)&amp;" "&amp;"Nationwide"&amp;" "&amp;"25-26"</f>
        <v>#N/A</v>
      </c>
      <c r="C101" s="48" t="e">
        <f t="shared" ref="C101:C123" si="2">B101</f>
        <v>#N/A</v>
      </c>
      <c r="E101" s="50" t="s">
        <v>101</v>
      </c>
      <c r="F101" s="48" t="b">
        <f>IF(Teachers!B106&gt;0,"active")</f>
        <v>0</v>
      </c>
      <c r="J101" s="48" t="str">
        <f>"BP-"&amp;"TSWNW-"&amp;IF(ISNUMBER(Teachers!D106),""&amp;Teachers!D106,Teachers!D106)&amp;"-"&amp;"2026"</f>
        <v>BP-TSWNW--2026</v>
      </c>
    </row>
    <row r="102" spans="1:10" x14ac:dyDescent="0.2">
      <c r="A10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","#",3))+1,1)&amp;"-"&amp;LEFT(Teachers!B107, 3)&amp;"-"&amp;LEFT(Teachers!A107, 3)&amp;"-"&amp;IF(ISNUMBER(Teachers!D107),"G"&amp;Teachers!D107,Teachers!D107)&amp;"-"&amp;"2026"</f>
        <v>CID-NWF----2026</v>
      </c>
      <c r="B102" s="48" t="e" cm="1">
        <f t="array" ref="B102">Teachers!B107&amp;" "&amp;_xlfn.IFS(AND(ISNUMBER(Teachers!D107),Teachers!D107&lt;&gt;9),"Grade "&amp;Teachers!D107,Teachers!D107=9,"Grade 9-12",ISTEXT(Teachers!D107),Teachers!D107)&amp;" "&amp;"Nationwide"&amp;" "&amp;"25-26"</f>
        <v>#N/A</v>
      </c>
      <c r="C102" s="48" t="e">
        <f t="shared" si="2"/>
        <v>#N/A</v>
      </c>
      <c r="E102" s="50" t="s">
        <v>101</v>
      </c>
      <c r="F102" s="48" t="b">
        <f>IF(Teachers!B107&gt;0,"active")</f>
        <v>0</v>
      </c>
      <c r="J102" s="48" t="str">
        <f>"BP-"&amp;"TSWNW-"&amp;IF(ISNUMBER(Teachers!D107),""&amp;Teachers!D107,Teachers!D107)&amp;"-"&amp;"2026"</f>
        <v>BP-TSWNW--2026</v>
      </c>
    </row>
    <row r="103" spans="1:10" x14ac:dyDescent="0.2">
      <c r="A10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","#",3))+1,1)&amp;"-"&amp;LEFT(Teachers!B108, 3)&amp;"-"&amp;LEFT(Teachers!A108, 3)&amp;"-"&amp;IF(ISNUMBER(Teachers!D108),"G"&amp;Teachers!D108,Teachers!D108)&amp;"-"&amp;"2026"</f>
        <v>CID-NWF----2026</v>
      </c>
      <c r="B103" s="48" t="e" cm="1">
        <f t="array" ref="B103">Teachers!B108&amp;" "&amp;_xlfn.IFS(AND(ISNUMBER(Teachers!D108),Teachers!D108&lt;&gt;9),"Grade "&amp;Teachers!D108,Teachers!D108=9,"Grade 9-12",ISTEXT(Teachers!D108),Teachers!D108)&amp;" "&amp;"Nationwide"&amp;" "&amp;"25-26"</f>
        <v>#N/A</v>
      </c>
      <c r="C103" s="48" t="e">
        <f t="shared" si="2"/>
        <v>#N/A</v>
      </c>
      <c r="E103" s="50" t="s">
        <v>101</v>
      </c>
      <c r="F103" s="48" t="b">
        <f>IF(Teachers!B108&gt;0,"active")</f>
        <v>0</v>
      </c>
      <c r="J103" s="48" t="str">
        <f>"BP-"&amp;"TSWNW-"&amp;IF(ISNUMBER(Teachers!D108),""&amp;Teachers!D108,Teachers!D108)&amp;"-"&amp;"2026"</f>
        <v>BP-TSWNW--2026</v>
      </c>
    </row>
    <row r="104" spans="1:10" x14ac:dyDescent="0.2">
      <c r="A10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","#",3))+1,1)&amp;"-"&amp;LEFT(Teachers!B109, 3)&amp;"-"&amp;LEFT(Teachers!A109, 3)&amp;"-"&amp;IF(ISNUMBER(Teachers!D109),"G"&amp;Teachers!D109,Teachers!D109)&amp;"-"&amp;"2026"</f>
        <v>CID-NWF----2026</v>
      </c>
      <c r="B104" s="48" t="e" cm="1">
        <f t="array" ref="B104">Teachers!B109&amp;" "&amp;_xlfn.IFS(AND(ISNUMBER(Teachers!D109),Teachers!D109&lt;&gt;9),"Grade "&amp;Teachers!D109,Teachers!D109=9,"Grade 9-12",ISTEXT(Teachers!D109),Teachers!D109)&amp;" "&amp;"Nationwide"&amp;" "&amp;"25-26"</f>
        <v>#N/A</v>
      </c>
      <c r="C104" s="48" t="e">
        <f t="shared" si="2"/>
        <v>#N/A</v>
      </c>
      <c r="E104" s="50" t="s">
        <v>101</v>
      </c>
      <c r="F104" s="48" t="b">
        <f>IF(Teachers!B109&gt;0,"active")</f>
        <v>0</v>
      </c>
      <c r="J104" s="48" t="str">
        <f>"BP-"&amp;"TSWNW-"&amp;IF(ISNUMBER(Teachers!D109),""&amp;Teachers!D109,Teachers!D109)&amp;"-"&amp;"2026"</f>
        <v>BP-TSWNW--2026</v>
      </c>
    </row>
    <row r="105" spans="1:10" x14ac:dyDescent="0.2">
      <c r="A10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","#",3))+1,1)&amp;"-"&amp;LEFT(Teachers!B110, 3)&amp;"-"&amp;LEFT(Teachers!A110, 3)&amp;"-"&amp;IF(ISNUMBER(Teachers!D110),"G"&amp;Teachers!D110,Teachers!D110)&amp;"-"&amp;"2026"</f>
        <v>CID-NWF----2026</v>
      </c>
      <c r="B105" s="48" t="e" cm="1">
        <f t="array" ref="B105">Teachers!B110&amp;" "&amp;_xlfn.IFS(AND(ISNUMBER(Teachers!D110),Teachers!D110&lt;&gt;9),"Grade "&amp;Teachers!D110,Teachers!D110=9,"Grade 9-12",ISTEXT(Teachers!D110),Teachers!D110)&amp;" "&amp;"Nationwide"&amp;" "&amp;"25-26"</f>
        <v>#N/A</v>
      </c>
      <c r="C105" s="48" t="e">
        <f t="shared" si="2"/>
        <v>#N/A</v>
      </c>
      <c r="E105" s="50" t="s">
        <v>101</v>
      </c>
      <c r="F105" s="48" t="b">
        <f>IF(Teachers!B110&gt;0,"active")</f>
        <v>0</v>
      </c>
      <c r="J105" s="48" t="str">
        <f>"BP-"&amp;"TSWNW-"&amp;IF(ISNUMBER(Teachers!D110),""&amp;Teachers!D110,Teachers!D110)&amp;"-"&amp;"2026"</f>
        <v>BP-TSWNW--2026</v>
      </c>
    </row>
    <row r="106" spans="1:10" x14ac:dyDescent="0.2">
      <c r="A10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","#",3))+1,1)&amp;"-"&amp;LEFT(Teachers!B111, 3)&amp;"-"&amp;LEFT(Teachers!A111, 3)&amp;"-"&amp;IF(ISNUMBER(Teachers!D111),"G"&amp;Teachers!D111,Teachers!D111)&amp;"-"&amp;"2026"</f>
        <v>CID-NWF----2026</v>
      </c>
      <c r="B106" s="48" t="e" cm="1">
        <f t="array" ref="B106">Teachers!B111&amp;" "&amp;_xlfn.IFS(AND(ISNUMBER(Teachers!D111),Teachers!D111&lt;&gt;9),"Grade "&amp;Teachers!D111,Teachers!D111=9,"Grade 9-12",ISTEXT(Teachers!D111),Teachers!D111)&amp;" "&amp;"Nationwide"&amp;" "&amp;"25-26"</f>
        <v>#N/A</v>
      </c>
      <c r="C106" s="48" t="e">
        <f t="shared" si="2"/>
        <v>#N/A</v>
      </c>
      <c r="E106" s="50" t="s">
        <v>101</v>
      </c>
      <c r="F106" s="48" t="b">
        <f>IF(Teachers!B111&gt;0,"active")</f>
        <v>0</v>
      </c>
      <c r="J106" s="48" t="str">
        <f>"BP-"&amp;"TSWNW-"&amp;IF(ISNUMBER(Teachers!D111),""&amp;Teachers!D111,Teachers!D111)&amp;"-"&amp;"2026"</f>
        <v>BP-TSWNW--2026</v>
      </c>
    </row>
    <row r="107" spans="1:10" x14ac:dyDescent="0.2">
      <c r="A10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","#",3))+1,1)&amp;"-"&amp;LEFT(Teachers!B112, 3)&amp;"-"&amp;LEFT(Teachers!A112, 3)&amp;"-"&amp;IF(ISNUMBER(Teachers!D112),"G"&amp;Teachers!D112,Teachers!D112)&amp;"-"&amp;"2026"</f>
        <v>CID-NWF----2026</v>
      </c>
      <c r="B107" s="48" t="e" cm="1">
        <f t="array" ref="B107">Teachers!B112&amp;" "&amp;_xlfn.IFS(AND(ISNUMBER(Teachers!D112),Teachers!D112&lt;&gt;9),"Grade "&amp;Teachers!D112,Teachers!D112=9,"Grade 9-12",ISTEXT(Teachers!D112),Teachers!D112)&amp;" "&amp;"Nationwide"&amp;" "&amp;"25-26"</f>
        <v>#N/A</v>
      </c>
      <c r="C107" s="48" t="e">
        <f t="shared" si="2"/>
        <v>#N/A</v>
      </c>
      <c r="E107" s="50" t="s">
        <v>101</v>
      </c>
      <c r="F107" s="48" t="b">
        <f>IF(Teachers!B112&gt;0,"active")</f>
        <v>0</v>
      </c>
      <c r="J107" s="48" t="str">
        <f>"BP-"&amp;"TSWNW-"&amp;IF(ISNUMBER(Teachers!D112),""&amp;Teachers!D112,Teachers!D112)&amp;"-"&amp;"2026"</f>
        <v>BP-TSWNW--2026</v>
      </c>
    </row>
    <row r="108" spans="1:10" x14ac:dyDescent="0.2">
      <c r="A10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","#",3))+1,1)&amp;"-"&amp;LEFT(Teachers!B113, 3)&amp;"-"&amp;LEFT(Teachers!A113, 3)&amp;"-"&amp;IF(ISNUMBER(Teachers!D113),"G"&amp;Teachers!D113,Teachers!D113)&amp;"-"&amp;"2026"</f>
        <v>CID-NWF----2026</v>
      </c>
      <c r="B108" s="48" t="e" cm="1">
        <f t="array" ref="B108">Teachers!B113&amp;" "&amp;_xlfn.IFS(AND(ISNUMBER(Teachers!D113),Teachers!D113&lt;&gt;9),"Grade "&amp;Teachers!D113,Teachers!D113=9,"Grade 9-12",ISTEXT(Teachers!D113),Teachers!D113)&amp;" "&amp;"Nationwide"&amp;" "&amp;"25-26"</f>
        <v>#N/A</v>
      </c>
      <c r="C108" s="48" t="e">
        <f t="shared" si="2"/>
        <v>#N/A</v>
      </c>
      <c r="E108" s="50" t="s">
        <v>101</v>
      </c>
      <c r="F108" s="48" t="b">
        <f>IF(Teachers!B113&gt;0,"active")</f>
        <v>0</v>
      </c>
      <c r="J108" s="48" t="str">
        <f>"BP-"&amp;"TSWNW-"&amp;IF(ISNUMBER(Teachers!D113),""&amp;Teachers!D113,Teachers!D113)&amp;"-"&amp;"2026"</f>
        <v>BP-TSWNW--2026</v>
      </c>
    </row>
    <row r="109" spans="1:10" x14ac:dyDescent="0.2">
      <c r="A10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","#",3))+1,1)&amp;"-"&amp;LEFT(Teachers!B114, 3)&amp;"-"&amp;LEFT(Teachers!A114, 3)&amp;"-"&amp;IF(ISNUMBER(Teachers!D114),"G"&amp;Teachers!D114,Teachers!D114)&amp;"-"&amp;"2026"</f>
        <v>CID-NWF----2026</v>
      </c>
      <c r="B109" s="48" t="e" cm="1">
        <f t="array" ref="B109">Teachers!B114&amp;" "&amp;_xlfn.IFS(AND(ISNUMBER(Teachers!D114),Teachers!D114&lt;&gt;9),"Grade "&amp;Teachers!D114,Teachers!D114=9,"Grade 9-12",ISTEXT(Teachers!D114),Teachers!D114)&amp;" "&amp;"Nationwide"&amp;" "&amp;"25-26"</f>
        <v>#N/A</v>
      </c>
      <c r="C109" s="48" t="e">
        <f t="shared" si="2"/>
        <v>#N/A</v>
      </c>
      <c r="E109" s="50" t="s">
        <v>101</v>
      </c>
      <c r="F109" s="48" t="b">
        <f>IF(Teachers!B114&gt;0,"active")</f>
        <v>0</v>
      </c>
      <c r="J109" s="48" t="str">
        <f>"BP-"&amp;"TSWNW-"&amp;IF(ISNUMBER(Teachers!D114),""&amp;Teachers!D114,Teachers!D114)&amp;"-"&amp;"2026"</f>
        <v>BP-TSWNW--2026</v>
      </c>
    </row>
    <row r="110" spans="1:10" x14ac:dyDescent="0.2">
      <c r="A11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","#",3))+1,1)&amp;"-"&amp;LEFT(Teachers!B115, 3)&amp;"-"&amp;LEFT(Teachers!A115, 3)&amp;"-"&amp;IF(ISNUMBER(Teachers!D115),"G"&amp;Teachers!D115,Teachers!D115)&amp;"-"&amp;"2026"</f>
        <v>CID-NWF----2026</v>
      </c>
      <c r="B110" s="48" t="e" cm="1">
        <f t="array" ref="B110">Teachers!B115&amp;" "&amp;_xlfn.IFS(AND(ISNUMBER(Teachers!D115),Teachers!D115&lt;&gt;9),"Grade "&amp;Teachers!D115,Teachers!D115=9,"Grade 9-12",ISTEXT(Teachers!D115),Teachers!D115)&amp;" "&amp;"Nationwide"&amp;" "&amp;"25-26"</f>
        <v>#N/A</v>
      </c>
      <c r="C110" s="48" t="e">
        <f t="shared" si="2"/>
        <v>#N/A</v>
      </c>
      <c r="E110" s="50" t="s">
        <v>101</v>
      </c>
      <c r="F110" s="48" t="b">
        <f>IF(Teachers!B115&gt;0,"active")</f>
        <v>0</v>
      </c>
      <c r="J110" s="48" t="str">
        <f>"BP-"&amp;"TSWNW-"&amp;IF(ISNUMBER(Teachers!D115),""&amp;Teachers!D115,Teachers!D115)&amp;"-"&amp;"2026"</f>
        <v>BP-TSWNW--2026</v>
      </c>
    </row>
    <row r="111" spans="1:10" x14ac:dyDescent="0.2">
      <c r="A11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","#",3))+1,1)&amp;"-"&amp;LEFT(Teachers!B116, 3)&amp;"-"&amp;LEFT(Teachers!A116, 3)&amp;"-"&amp;IF(ISNUMBER(Teachers!D116),"G"&amp;Teachers!D116,Teachers!D116)&amp;"-"&amp;"2026"</f>
        <v>CID-NWF----2026</v>
      </c>
      <c r="B111" s="48" t="e" cm="1">
        <f t="array" ref="B111">Teachers!B116&amp;" "&amp;_xlfn.IFS(AND(ISNUMBER(Teachers!D116),Teachers!D116&lt;&gt;9),"Grade "&amp;Teachers!D116,Teachers!D116=9,"Grade 9-12",ISTEXT(Teachers!D116),Teachers!D116)&amp;" "&amp;"Nationwide"&amp;" "&amp;"25-26"</f>
        <v>#N/A</v>
      </c>
      <c r="C111" s="48" t="e">
        <f t="shared" si="2"/>
        <v>#N/A</v>
      </c>
      <c r="E111" s="50" t="s">
        <v>101</v>
      </c>
      <c r="F111" s="48" t="b">
        <f>IF(Teachers!B116&gt;0,"active")</f>
        <v>0</v>
      </c>
      <c r="J111" s="48" t="str">
        <f>"BP-"&amp;"TSWNW-"&amp;IF(ISNUMBER(Teachers!D116),""&amp;Teachers!D116,Teachers!D116)&amp;"-"&amp;"2026"</f>
        <v>BP-TSWNW--2026</v>
      </c>
    </row>
    <row r="112" spans="1:10" x14ac:dyDescent="0.2">
      <c r="A11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","#",3))+1,1)&amp;"-"&amp;LEFT(Teachers!B117, 3)&amp;"-"&amp;LEFT(Teachers!A117, 3)&amp;"-"&amp;IF(ISNUMBER(Teachers!D117),"G"&amp;Teachers!D117,Teachers!D117)&amp;"-"&amp;"2026"</f>
        <v>CID-NWF----2026</v>
      </c>
      <c r="B112" s="48" t="e" cm="1">
        <f t="array" ref="B112">Teachers!B117&amp;" "&amp;_xlfn.IFS(AND(ISNUMBER(Teachers!D117),Teachers!D117&lt;&gt;9),"Grade "&amp;Teachers!D117,Teachers!D117=9,"Grade 9-12",ISTEXT(Teachers!D117),Teachers!D117)&amp;" "&amp;"Nationwide"&amp;" "&amp;"25-26"</f>
        <v>#N/A</v>
      </c>
      <c r="C112" s="48" t="e">
        <f t="shared" si="2"/>
        <v>#N/A</v>
      </c>
      <c r="E112" s="50" t="s">
        <v>101</v>
      </c>
      <c r="F112" s="48" t="b">
        <f>IF(Teachers!B117&gt;0,"active")</f>
        <v>0</v>
      </c>
      <c r="J112" s="48" t="str">
        <f>"BP-"&amp;"TSWNW-"&amp;IF(ISNUMBER(Teachers!D117),""&amp;Teachers!D117,Teachers!D117)&amp;"-"&amp;"2026"</f>
        <v>BP-TSWNW--2026</v>
      </c>
    </row>
    <row r="113" spans="1:10" x14ac:dyDescent="0.2">
      <c r="A11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","#",3))+1,1)&amp;"-"&amp;LEFT(Teachers!B118, 3)&amp;"-"&amp;LEFT(Teachers!A118, 3)&amp;"-"&amp;IF(ISNUMBER(Teachers!D118),"G"&amp;Teachers!D118,Teachers!D118)&amp;"-"&amp;"2026"</f>
        <v>CID-NWF----2026</v>
      </c>
      <c r="B113" s="48" t="e" cm="1">
        <f t="array" ref="B113">Teachers!B118&amp;" "&amp;_xlfn.IFS(AND(ISNUMBER(Teachers!D118),Teachers!D118&lt;&gt;9),"Grade "&amp;Teachers!D118,Teachers!D118=9,"Grade 9-12",ISTEXT(Teachers!D118),Teachers!D118)&amp;" "&amp;"Nationwide"&amp;" "&amp;"25-26"</f>
        <v>#N/A</v>
      </c>
      <c r="C113" s="48" t="e">
        <f t="shared" si="2"/>
        <v>#N/A</v>
      </c>
      <c r="E113" s="50" t="s">
        <v>101</v>
      </c>
      <c r="F113" s="48" t="b">
        <f>IF(Teachers!B118&gt;0,"active")</f>
        <v>0</v>
      </c>
      <c r="J113" s="48" t="str">
        <f>"BP-"&amp;"TSWNW-"&amp;IF(ISNUMBER(Teachers!D118),""&amp;Teachers!D118,Teachers!D118)&amp;"-"&amp;"2026"</f>
        <v>BP-TSWNW--2026</v>
      </c>
    </row>
    <row r="114" spans="1:10" x14ac:dyDescent="0.2">
      <c r="A11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","#",3))+1,1)&amp;"-"&amp;LEFT(Teachers!B119, 3)&amp;"-"&amp;LEFT(Teachers!A119, 3)&amp;"-"&amp;IF(ISNUMBER(Teachers!D119),"G"&amp;Teachers!D119,Teachers!D119)&amp;"-"&amp;"2026"</f>
        <v>CID-NWF----2026</v>
      </c>
      <c r="B114" s="48" t="e" cm="1">
        <f t="array" ref="B114">Teachers!B119&amp;" "&amp;_xlfn.IFS(AND(ISNUMBER(Teachers!D119),Teachers!D119&lt;&gt;9),"Grade "&amp;Teachers!D119,Teachers!D119=9,"Grade 9-12",ISTEXT(Teachers!D119),Teachers!D119)&amp;" "&amp;"Nationwide"&amp;" "&amp;"25-26"</f>
        <v>#N/A</v>
      </c>
      <c r="C114" s="48" t="e">
        <f t="shared" si="2"/>
        <v>#N/A</v>
      </c>
      <c r="E114" s="50" t="s">
        <v>101</v>
      </c>
      <c r="F114" s="48" t="b">
        <f>IF(Teachers!B119&gt;0,"active")</f>
        <v>0</v>
      </c>
      <c r="J114" s="48" t="str">
        <f>"BP-"&amp;"TSWNW-"&amp;IF(ISNUMBER(Teachers!D119),""&amp;Teachers!D119,Teachers!D119)&amp;"-"&amp;"2026"</f>
        <v>BP-TSWNW--2026</v>
      </c>
    </row>
    <row r="115" spans="1:10" x14ac:dyDescent="0.2">
      <c r="A11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","#",3))+1,1)&amp;"-"&amp;LEFT(Teachers!B120, 3)&amp;"-"&amp;LEFT(Teachers!A120, 3)&amp;"-"&amp;IF(ISNUMBER(Teachers!D120),"G"&amp;Teachers!D120,Teachers!D120)&amp;"-"&amp;"2026"</f>
        <v>CID-NWF----2026</v>
      </c>
      <c r="B115" s="48" t="e" cm="1">
        <f t="array" ref="B115">Teachers!B120&amp;" "&amp;_xlfn.IFS(AND(ISNUMBER(Teachers!D120),Teachers!D120&lt;&gt;9),"Grade "&amp;Teachers!D120,Teachers!D120=9,"Grade 9-12",ISTEXT(Teachers!D120),Teachers!D120)&amp;" "&amp;"Nationwide"&amp;" "&amp;"25-26"</f>
        <v>#N/A</v>
      </c>
      <c r="C115" s="48" t="e">
        <f t="shared" si="2"/>
        <v>#N/A</v>
      </c>
      <c r="E115" s="50" t="s">
        <v>101</v>
      </c>
      <c r="F115" s="48" t="b">
        <f>IF(Teachers!B120&gt;0,"active")</f>
        <v>0</v>
      </c>
      <c r="J115" s="48" t="str">
        <f>"BP-"&amp;"TSWNW-"&amp;IF(ISNUMBER(Teachers!D120),""&amp;Teachers!D120,Teachers!D120)&amp;"-"&amp;"2026"</f>
        <v>BP-TSWNW--2026</v>
      </c>
    </row>
    <row r="116" spans="1:10" x14ac:dyDescent="0.2">
      <c r="A11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","#",3))+1,1)&amp;"-"&amp;LEFT(Teachers!B121, 3)&amp;"-"&amp;LEFT(Teachers!A121, 3)&amp;"-"&amp;IF(ISNUMBER(Teachers!D121),"G"&amp;Teachers!D121,Teachers!D121)&amp;"-"&amp;"2026"</f>
        <v>CID-NWF----2026</v>
      </c>
      <c r="B116" s="48" t="e" cm="1">
        <f t="array" ref="B116">Teachers!B121&amp;" "&amp;_xlfn.IFS(AND(ISNUMBER(Teachers!D121),Teachers!D121&lt;&gt;9),"Grade "&amp;Teachers!D121,Teachers!D121=9,"Grade 9-12",ISTEXT(Teachers!D121),Teachers!D121)&amp;" "&amp;"Nationwide"&amp;" "&amp;"25-26"</f>
        <v>#N/A</v>
      </c>
      <c r="C116" s="48" t="e">
        <f t="shared" si="2"/>
        <v>#N/A</v>
      </c>
      <c r="E116" s="50" t="s">
        <v>101</v>
      </c>
      <c r="F116" s="48" t="b">
        <f>IF(Teachers!B121&gt;0,"active")</f>
        <v>0</v>
      </c>
      <c r="J116" s="48" t="str">
        <f>"BP-"&amp;"TSWNW-"&amp;IF(ISNUMBER(Teachers!D121),""&amp;Teachers!D121,Teachers!D121)&amp;"-"&amp;"2026"</f>
        <v>BP-TSWNW--2026</v>
      </c>
    </row>
    <row r="117" spans="1:10" x14ac:dyDescent="0.2">
      <c r="A11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","#",3))+1,1)&amp;"-"&amp;LEFT(Teachers!B122, 3)&amp;"-"&amp;LEFT(Teachers!A122, 3)&amp;"-"&amp;IF(ISNUMBER(Teachers!D122),"G"&amp;Teachers!D122,Teachers!D122)&amp;"-"&amp;"2026"</f>
        <v>CID-NWF----2026</v>
      </c>
      <c r="B117" s="48" t="e" cm="1">
        <f t="array" ref="B117">Teachers!B122&amp;" "&amp;_xlfn.IFS(AND(ISNUMBER(Teachers!D122),Teachers!D122&lt;&gt;9),"Grade "&amp;Teachers!D122,Teachers!D122=9,"Grade 9-12",ISTEXT(Teachers!D122),Teachers!D122)&amp;" "&amp;"Nationwide"&amp;" "&amp;"25-26"</f>
        <v>#N/A</v>
      </c>
      <c r="C117" s="48" t="e">
        <f t="shared" si="2"/>
        <v>#N/A</v>
      </c>
      <c r="E117" s="50" t="s">
        <v>101</v>
      </c>
      <c r="F117" s="48" t="b">
        <f>IF(Teachers!B122&gt;0,"active")</f>
        <v>0</v>
      </c>
      <c r="J117" s="48" t="str">
        <f>"BP-"&amp;"TSWNW-"&amp;IF(ISNUMBER(Teachers!D122),""&amp;Teachers!D122,Teachers!D122)&amp;"-"&amp;"2026"</f>
        <v>BP-TSWNW--2026</v>
      </c>
    </row>
    <row r="118" spans="1:10" x14ac:dyDescent="0.2">
      <c r="A11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","#",3))+1,1)&amp;"-"&amp;LEFT(Teachers!B123, 3)&amp;"-"&amp;LEFT(Teachers!A123, 3)&amp;"-"&amp;IF(ISNUMBER(Teachers!D123),"G"&amp;Teachers!D123,Teachers!D123)&amp;"-"&amp;"2026"</f>
        <v>CID-NWF----2026</v>
      </c>
      <c r="B118" s="48" t="e" cm="1">
        <f t="array" ref="B118">Teachers!B123&amp;" "&amp;_xlfn.IFS(AND(ISNUMBER(Teachers!D123),Teachers!D123&lt;&gt;9),"Grade "&amp;Teachers!D123,Teachers!D123=9,"Grade 9-12",ISTEXT(Teachers!D123),Teachers!D123)&amp;" "&amp;"Nationwide"&amp;" "&amp;"25-26"</f>
        <v>#N/A</v>
      </c>
      <c r="C118" s="48" t="e">
        <f t="shared" si="2"/>
        <v>#N/A</v>
      </c>
      <c r="E118" s="50" t="s">
        <v>101</v>
      </c>
      <c r="F118" s="48" t="b">
        <f>IF(Teachers!B123&gt;0,"active")</f>
        <v>0</v>
      </c>
      <c r="J118" s="48" t="str">
        <f>"BP-"&amp;"TSWNW-"&amp;IF(ISNUMBER(Teachers!D123),""&amp;Teachers!D123,Teachers!D123)&amp;"-"&amp;"2026"</f>
        <v>BP-TSWNW--2026</v>
      </c>
    </row>
    <row r="119" spans="1:10" x14ac:dyDescent="0.2">
      <c r="A11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","#",3))+1,1)&amp;"-"&amp;LEFT(Teachers!B124, 3)&amp;"-"&amp;LEFT(Teachers!A124, 3)&amp;"-"&amp;IF(ISNUMBER(Teachers!D124),"G"&amp;Teachers!D124,Teachers!D124)&amp;"-"&amp;"2026"</f>
        <v>CID-NWF----2026</v>
      </c>
      <c r="B119" s="48" t="e" cm="1">
        <f t="array" ref="B119">Teachers!B124&amp;" "&amp;_xlfn.IFS(AND(ISNUMBER(Teachers!D124),Teachers!D124&lt;&gt;9),"Grade "&amp;Teachers!D124,Teachers!D124=9,"Grade 9-12",ISTEXT(Teachers!D124),Teachers!D124)&amp;" "&amp;"Nationwide"&amp;" "&amp;"25-26"</f>
        <v>#N/A</v>
      </c>
      <c r="C119" s="48" t="e">
        <f t="shared" si="2"/>
        <v>#N/A</v>
      </c>
      <c r="E119" s="50" t="s">
        <v>101</v>
      </c>
      <c r="F119" s="48" t="b">
        <f>IF(Teachers!B124&gt;0,"active")</f>
        <v>0</v>
      </c>
      <c r="J119" s="48" t="str">
        <f>"BP-"&amp;"TSWNW-"&amp;IF(ISNUMBER(Teachers!D124),""&amp;Teachers!D124,Teachers!D124)&amp;"-"&amp;"2026"</f>
        <v>BP-TSWNW--2026</v>
      </c>
    </row>
    <row r="120" spans="1:10" x14ac:dyDescent="0.2">
      <c r="A12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","#",3))+1,1)&amp;"-"&amp;LEFT(Teachers!B125, 3)&amp;"-"&amp;LEFT(Teachers!A125, 3)&amp;"-"&amp;IF(ISNUMBER(Teachers!D125),"G"&amp;Teachers!D125,Teachers!D125)&amp;"-"&amp;"2026"</f>
        <v>CID-NWF----2026</v>
      </c>
      <c r="B120" s="48" t="e" cm="1">
        <f t="array" ref="B120">Teachers!B125&amp;" "&amp;_xlfn.IFS(AND(ISNUMBER(Teachers!D125),Teachers!D125&lt;&gt;9),"Grade "&amp;Teachers!D125,Teachers!D125=9,"Grade 9-12",ISTEXT(Teachers!D125),Teachers!D125)&amp;" "&amp;"Nationwide"&amp;" "&amp;"25-26"</f>
        <v>#N/A</v>
      </c>
      <c r="C120" s="48" t="e">
        <f t="shared" si="2"/>
        <v>#N/A</v>
      </c>
      <c r="E120" s="50" t="s">
        <v>101</v>
      </c>
      <c r="F120" s="48" t="b">
        <f>IF(Teachers!B125&gt;0,"active")</f>
        <v>0</v>
      </c>
      <c r="J120" s="48" t="str">
        <f>"BP-"&amp;"TSWNW-"&amp;IF(ISNUMBER(Teachers!D125),""&amp;Teachers!D125,Teachers!D125)&amp;"-"&amp;"2026"</f>
        <v>BP-TSWNW--2026</v>
      </c>
    </row>
    <row r="121" spans="1:10" x14ac:dyDescent="0.2">
      <c r="A12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","#",3))+1,1)&amp;"-"&amp;LEFT(Teachers!B126, 3)&amp;"-"&amp;LEFT(Teachers!A126, 3)&amp;"-"&amp;IF(ISNUMBER(Teachers!D126),"G"&amp;Teachers!D126,Teachers!D126)&amp;"-"&amp;"2026"</f>
        <v>CID-NWF----2026</v>
      </c>
      <c r="B121" s="48" t="e" cm="1">
        <f t="array" ref="B121">Teachers!B126&amp;" "&amp;_xlfn.IFS(AND(ISNUMBER(Teachers!D126),Teachers!D126&lt;&gt;9),"Grade "&amp;Teachers!D126,Teachers!D126=9,"Grade 9-12",ISTEXT(Teachers!D126),Teachers!D126)&amp;" "&amp;"Nationwide"&amp;" "&amp;"25-26"</f>
        <v>#N/A</v>
      </c>
      <c r="C121" s="48" t="e">
        <f t="shared" si="2"/>
        <v>#N/A</v>
      </c>
      <c r="E121" s="50" t="s">
        <v>101</v>
      </c>
      <c r="F121" s="48" t="b">
        <f>IF(Teachers!B126&gt;0,"active")</f>
        <v>0</v>
      </c>
      <c r="J121" s="48" t="str">
        <f>"BP-"&amp;"TSWNW-"&amp;IF(ISNUMBER(Teachers!D126),""&amp;Teachers!D126,Teachers!D126)&amp;"-"&amp;"2026"</f>
        <v>BP-TSWNW--2026</v>
      </c>
    </row>
    <row r="122" spans="1:10" x14ac:dyDescent="0.2">
      <c r="A12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","#",3))+1,1)&amp;"-"&amp;LEFT(Teachers!B127, 3)&amp;"-"&amp;LEFT(Teachers!A127, 3)&amp;"-"&amp;IF(ISNUMBER(Teachers!D127),"G"&amp;Teachers!D127,Teachers!D127)&amp;"-"&amp;"2026"</f>
        <v>CID-NWF----2026</v>
      </c>
      <c r="B122" s="48" t="e" cm="1">
        <f t="array" ref="B122">Teachers!B127&amp;" "&amp;_xlfn.IFS(AND(ISNUMBER(Teachers!D127),Teachers!D127&lt;&gt;9),"Grade "&amp;Teachers!D127,Teachers!D127=9,"Grade 9-12",ISTEXT(Teachers!D127),Teachers!D127)&amp;" "&amp;"Nationwide"&amp;" "&amp;"25-26"</f>
        <v>#N/A</v>
      </c>
      <c r="C122" s="48" t="e">
        <f t="shared" si="2"/>
        <v>#N/A</v>
      </c>
      <c r="E122" s="50" t="s">
        <v>101</v>
      </c>
      <c r="F122" s="48" t="b">
        <f>IF(Teachers!B127&gt;0,"active")</f>
        <v>0</v>
      </c>
      <c r="J122" s="48" t="str">
        <f>"BP-"&amp;"TSWNW-"&amp;IF(ISNUMBER(Teachers!D127),""&amp;Teachers!D127,Teachers!D127)&amp;"-"&amp;"2026"</f>
        <v>BP-TSWNW--2026</v>
      </c>
    </row>
    <row r="123" spans="1:10" x14ac:dyDescent="0.2">
      <c r="A12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","#",3))+1,1)&amp;"-"&amp;LEFT(Teachers!B128, 3)&amp;"-"&amp;LEFT(Teachers!A128, 3)&amp;"-"&amp;IF(ISNUMBER(Teachers!D128),"G"&amp;Teachers!D128,Teachers!D128)&amp;"-"&amp;"2026"</f>
        <v>CID-NWF----2026</v>
      </c>
      <c r="B123" s="48" t="e" cm="1">
        <f t="array" ref="B123">Teachers!B128&amp;" "&amp;_xlfn.IFS(AND(ISNUMBER(Teachers!D128),Teachers!D128&lt;&gt;9),"Grade "&amp;Teachers!D128,Teachers!D128=9,"Grade 9-12",ISTEXT(Teachers!D128),Teachers!D128)&amp;" "&amp;"Nationwide"&amp;" "&amp;"25-26"</f>
        <v>#N/A</v>
      </c>
      <c r="C123" s="48" t="e">
        <f t="shared" si="2"/>
        <v>#N/A</v>
      </c>
      <c r="E123" s="50" t="s">
        <v>101</v>
      </c>
      <c r="F123" s="48" t="b">
        <f>IF(Teachers!B128&gt;0,"active")</f>
        <v>0</v>
      </c>
      <c r="J123" s="48" t="str">
        <f>"BP-"&amp;"TSWNW-"&amp;IF(ISNUMBER(Teachers!D128),""&amp;Teachers!D128,Teachers!D128)&amp;"-"&amp;"2026"</f>
        <v>BP-TSWNW--2026</v>
      </c>
    </row>
  </sheetData>
  <conditionalFormatting sqref="F1:F1048576">
    <cfRule type="cellIs" dxfId="1" priority="1" operator="equal">
      <formula>"active"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4682-29E1-4D0D-93DA-DD8062301F7D}">
  <dimension ref="A1:P117"/>
  <sheetViews>
    <sheetView workbookViewId="0">
      <selection activeCell="B19" sqref="B19"/>
    </sheetView>
  </sheetViews>
  <sheetFormatPr baseColWidth="10" defaultColWidth="9" defaultRowHeight="16" x14ac:dyDescent="0.2"/>
  <cols>
    <col min="1" max="1" width="31.6640625" style="48" customWidth="1"/>
    <col min="2" max="2" width="35.33203125" style="48" customWidth="1"/>
    <col min="3" max="3" width="31.6640625" style="48" customWidth="1"/>
    <col min="4" max="4" width="7.33203125" style="48" bestFit="1" customWidth="1"/>
    <col min="5" max="5" width="6.83203125" style="48" bestFit="1" customWidth="1"/>
    <col min="6" max="6" width="9.6640625" style="48" bestFit="1" customWidth="1"/>
    <col min="7" max="7" width="6" style="48" bestFit="1" customWidth="1"/>
    <col min="8" max="8" width="17.1640625" style="48" bestFit="1" customWidth="1"/>
    <col min="9" max="9" width="21.33203125" style="48" bestFit="1" customWidth="1"/>
    <col min="10" max="11" width="9" style="48"/>
    <col min="12" max="12" width="35.83203125" style="48" bestFit="1" customWidth="1"/>
    <col min="13" max="16384" width="9" style="48"/>
  </cols>
  <sheetData>
    <row r="1" spans="1:16" s="47" customFormat="1" x14ac:dyDescent="0.2">
      <c r="A1" s="47" t="s">
        <v>61</v>
      </c>
      <c r="B1" s="47" t="s">
        <v>69</v>
      </c>
      <c r="C1" s="47" t="s">
        <v>50</v>
      </c>
      <c r="D1" s="47" t="s">
        <v>70</v>
      </c>
      <c r="E1" s="47" t="s">
        <v>71</v>
      </c>
      <c r="F1" s="47" t="s">
        <v>72</v>
      </c>
      <c r="G1" s="47" t="s">
        <v>60</v>
      </c>
      <c r="H1" s="47" t="s">
        <v>73</v>
      </c>
      <c r="I1" s="47" t="s">
        <v>74</v>
      </c>
      <c r="L1" s="49"/>
      <c r="M1" s="49"/>
      <c r="N1" s="49"/>
      <c r="O1" s="49"/>
    </row>
    <row r="2" spans="1:16" x14ac:dyDescent="0.2">
      <c r="A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","#",3))+1,1)&amp;"-"&amp;LEFT(Teachers!B7, 3)&amp;"-"&amp;LEFT(Teachers!A7, 3)&amp;"-"&amp;IF(ISNUMBER(Teachers!D7),"G"&amp;Teachers!D7,Teachers!D7)&amp;"-"&amp;"2026"</f>
        <v>CID-NWF-Str-Mon-G8-2026</v>
      </c>
      <c r="B2" s="48" t="str">
        <f>IF(Teachers!A7&gt;0,"topscorewriting.instructure.com")</f>
        <v>topscorewriting.instructure.com</v>
      </c>
      <c r="C2" s="48" t="str">
        <f>Users!A2</f>
        <v>UID-NWF-Str-Mon-2026</v>
      </c>
      <c r="D2" s="48" t="str">
        <f>"Teacher"</f>
        <v>Teacher</v>
      </c>
      <c r="G2" s="48" t="str">
        <f>IF(Teachers!B7&gt;0,"active")</f>
        <v>active</v>
      </c>
      <c r="L2" s="49" t="s">
        <v>96</v>
      </c>
      <c r="M2" s="49"/>
      <c r="N2" s="49"/>
      <c r="O2" s="49"/>
      <c r="P2" s="47"/>
    </row>
    <row r="3" spans="1:16" x14ac:dyDescent="0.2">
      <c r="A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","#",3))+1,1)&amp;"-"&amp;LEFT(Teachers!B8, 3)&amp;"-"&amp;LEFT(Teachers!A8, 3)&amp;"-"&amp;IF(ISNUMBER(Teachers!D8),"G"&amp;Teachers!D8,Teachers!D8)&amp;"-"&amp;"2026"</f>
        <v>CID-NWF----2026</v>
      </c>
      <c r="B3" s="48" t="b">
        <f>IF(Teachers!A8&gt;0,"topscorewriting.instructure.com")</f>
        <v>0</v>
      </c>
      <c r="C3" s="48" t="str">
        <f>Users!A3</f>
        <v>UID-NWF---2026</v>
      </c>
      <c r="D3" s="48" t="str">
        <f t="shared" ref="D3:D66" si="0">"Teacher"</f>
        <v>Teacher</v>
      </c>
      <c r="G3" s="48" t="b">
        <f>IF(Teachers!B8&gt;0,"active")</f>
        <v>0</v>
      </c>
      <c r="L3" s="49" t="s">
        <v>87</v>
      </c>
      <c r="M3" s="49"/>
      <c r="N3" s="49"/>
      <c r="O3" s="49"/>
      <c r="P3" s="47"/>
    </row>
    <row r="4" spans="1:16" x14ac:dyDescent="0.2">
      <c r="A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","#",3))+1,1)&amp;"-"&amp;LEFT(Teachers!B9, 3)&amp;"-"&amp;LEFT(Teachers!A9, 3)&amp;"-"&amp;IF(ISNUMBER(Teachers!D9),"G"&amp;Teachers!D9,Teachers!D9)&amp;"-"&amp;"2026"</f>
        <v>CID-NWF----2026</v>
      </c>
      <c r="B4" s="48" t="b">
        <f>IF(Teachers!A9&gt;0,"topscorewriting.instructure.com")</f>
        <v>0</v>
      </c>
      <c r="C4" s="48" t="str">
        <f>Users!A4</f>
        <v>UID-NWF---2026</v>
      </c>
      <c r="D4" s="48" t="str">
        <f t="shared" si="0"/>
        <v>Teacher</v>
      </c>
      <c r="G4" s="48" t="b">
        <f>IF(Teachers!B9&gt;0,"active")</f>
        <v>0</v>
      </c>
      <c r="L4" s="49"/>
      <c r="M4" s="49"/>
      <c r="N4" s="49"/>
      <c r="O4" s="49"/>
      <c r="P4" s="47"/>
    </row>
    <row r="5" spans="1:16" x14ac:dyDescent="0.2">
      <c r="A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","#",3))+1,1)&amp;"-"&amp;LEFT(Teachers!B10, 3)&amp;"-"&amp;LEFT(Teachers!A10, 3)&amp;"-"&amp;IF(ISNUMBER(Teachers!D10),"G"&amp;Teachers!D10,Teachers!D10)&amp;"-"&amp;"2026"</f>
        <v>CID-NWF----2026</v>
      </c>
      <c r="B5" s="48" t="b">
        <f>IF(Teachers!A10&gt;0,"topscorewriting.instructure.com")</f>
        <v>0</v>
      </c>
      <c r="C5" s="48" t="str">
        <f>Users!A5</f>
        <v>UID-NWF---2026</v>
      </c>
      <c r="D5" s="48" t="str">
        <f t="shared" si="0"/>
        <v>Teacher</v>
      </c>
      <c r="G5" s="48" t="b">
        <f>IF(Teachers!B10&gt;0,"active")</f>
        <v>0</v>
      </c>
      <c r="L5" s="49" t="s">
        <v>88</v>
      </c>
      <c r="M5" s="49"/>
      <c r="N5" s="49"/>
      <c r="O5" s="49"/>
      <c r="P5" s="47"/>
    </row>
    <row r="6" spans="1:16" x14ac:dyDescent="0.2">
      <c r="A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","#",3))+1,1)&amp;"-"&amp;LEFT(Teachers!B11, 3)&amp;"-"&amp;LEFT(Teachers!A11, 3)&amp;"-"&amp;IF(ISNUMBER(Teachers!D11),"G"&amp;Teachers!D11,Teachers!D11)&amp;"-"&amp;"2026"</f>
        <v>CID-NWF----2026</v>
      </c>
      <c r="B6" s="48" t="b">
        <f>IF(Teachers!A11&gt;0,"topscorewriting.instructure.com")</f>
        <v>0</v>
      </c>
      <c r="C6" s="48" t="str">
        <f>Users!A6</f>
        <v>UID-NWF---2026</v>
      </c>
      <c r="D6" s="48" t="str">
        <f t="shared" si="0"/>
        <v>Teacher</v>
      </c>
      <c r="G6" s="48" t="b">
        <f>IF(Teachers!B11&gt;0,"active")</f>
        <v>0</v>
      </c>
      <c r="L6" s="49" t="s">
        <v>89</v>
      </c>
      <c r="M6" s="49"/>
      <c r="N6" s="49"/>
      <c r="O6" s="49"/>
      <c r="P6" s="47"/>
    </row>
    <row r="7" spans="1:16" x14ac:dyDescent="0.2">
      <c r="A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","#",3))+1,1)&amp;"-"&amp;LEFT(Teachers!B12, 3)&amp;"-"&amp;LEFT(Teachers!A12, 3)&amp;"-"&amp;IF(ISNUMBER(Teachers!D12),"G"&amp;Teachers!D12,Teachers!D12)&amp;"-"&amp;"2026"</f>
        <v>CID-NWF----2026</v>
      </c>
      <c r="B7" s="48" t="b">
        <f>IF(Teachers!A12&gt;0,"topscorewriting.instructure.com")</f>
        <v>0</v>
      </c>
      <c r="C7" s="48" t="str">
        <f>Users!A7</f>
        <v>UID-NWF---2026</v>
      </c>
      <c r="D7" s="48" t="str">
        <f t="shared" si="0"/>
        <v>Teacher</v>
      </c>
      <c r="G7" s="48" t="b">
        <f>IF(Teachers!B12&gt;0,"active")</f>
        <v>0</v>
      </c>
      <c r="L7" s="49"/>
      <c r="M7" s="49"/>
      <c r="N7" s="49"/>
      <c r="O7" s="49"/>
      <c r="P7" s="47"/>
    </row>
    <row r="8" spans="1:16" x14ac:dyDescent="0.2">
      <c r="A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","#",3))+1,1)&amp;"-"&amp;LEFT(Teachers!B13, 3)&amp;"-"&amp;LEFT(Teachers!A13, 3)&amp;"-"&amp;IF(ISNUMBER(Teachers!D13),"G"&amp;Teachers!D13,Teachers!D13)&amp;"-"&amp;"2026"</f>
        <v>CID-NWF----2026</v>
      </c>
      <c r="B8" s="48" t="b">
        <f>IF(Teachers!A13&gt;0,"topscorewriting.instructure.com")</f>
        <v>0</v>
      </c>
      <c r="C8" s="48" t="str">
        <f>Users!A8</f>
        <v>UID-NWF---2026</v>
      </c>
      <c r="D8" s="48" t="str">
        <f t="shared" si="0"/>
        <v>Teacher</v>
      </c>
      <c r="G8" s="48" t="b">
        <f>IF(Teachers!B13&gt;0,"active")</f>
        <v>0</v>
      </c>
      <c r="L8" s="49" t="s">
        <v>90</v>
      </c>
      <c r="M8" s="49"/>
      <c r="N8" s="49"/>
      <c r="O8" s="49"/>
      <c r="P8" s="47"/>
    </row>
    <row r="9" spans="1:16" x14ac:dyDescent="0.2">
      <c r="A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","#",3))+1,1)&amp;"-"&amp;LEFT(Teachers!B14, 3)&amp;"-"&amp;LEFT(Teachers!A14, 3)&amp;"-"&amp;IF(ISNUMBER(Teachers!D14),"G"&amp;Teachers!D14,Teachers!D14)&amp;"-"&amp;"2026"</f>
        <v>CID-NWF----2026</v>
      </c>
      <c r="B9" s="48" t="b">
        <f>IF(Teachers!A14&gt;0,"topscorewriting.instructure.com")</f>
        <v>0</v>
      </c>
      <c r="C9" s="48" t="str">
        <f>Users!A9</f>
        <v>UID-NWF---2026</v>
      </c>
      <c r="D9" s="48" t="str">
        <f t="shared" si="0"/>
        <v>Teacher</v>
      </c>
      <c r="G9" s="48" t="b">
        <f>IF(Teachers!B14&gt;0,"active")</f>
        <v>0</v>
      </c>
      <c r="L9" s="49" t="s">
        <v>91</v>
      </c>
      <c r="M9" s="49"/>
      <c r="N9" s="49"/>
      <c r="O9" s="49"/>
      <c r="P9" s="47"/>
    </row>
    <row r="10" spans="1:16" x14ac:dyDescent="0.2">
      <c r="A1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","#",3))+1,1)&amp;"-"&amp;LEFT(Teachers!B15, 3)&amp;"-"&amp;LEFT(Teachers!A15, 3)&amp;"-"&amp;IF(ISNUMBER(Teachers!D15),"G"&amp;Teachers!D15,Teachers!D15)&amp;"-"&amp;"2026"</f>
        <v>CID-NWF----2026</v>
      </c>
      <c r="B10" s="48" t="b">
        <f>IF(Teachers!A15&gt;0,"topscorewriting.instructure.com")</f>
        <v>0</v>
      </c>
      <c r="C10" s="48" t="str">
        <f>Users!A10</f>
        <v>UID-NWF---2026</v>
      </c>
      <c r="D10" s="48" t="str">
        <f t="shared" si="0"/>
        <v>Teacher</v>
      </c>
      <c r="G10" s="48" t="b">
        <f>IF(Teachers!B15&gt;0,"active")</f>
        <v>0</v>
      </c>
      <c r="L10" s="49"/>
      <c r="M10" s="49"/>
      <c r="N10" s="49"/>
      <c r="O10" s="49"/>
      <c r="P10" s="47"/>
    </row>
    <row r="11" spans="1:16" x14ac:dyDescent="0.2">
      <c r="A1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","#",3))+1,1)&amp;"-"&amp;LEFT(Teachers!B16, 3)&amp;"-"&amp;LEFT(Teachers!A16, 3)&amp;"-"&amp;IF(ISNUMBER(Teachers!D16),"G"&amp;Teachers!D16,Teachers!D16)&amp;"-"&amp;"2026"</f>
        <v>CID-NWF----2026</v>
      </c>
      <c r="B11" s="48" t="b">
        <f>IF(Teachers!A16&gt;0,"topscorewriting.instructure.com")</f>
        <v>0</v>
      </c>
      <c r="C11" s="48" t="str">
        <f>Users!A11</f>
        <v>UID-NWF---2026</v>
      </c>
      <c r="D11" s="48" t="str">
        <f t="shared" si="0"/>
        <v>Teacher</v>
      </c>
      <c r="G11" s="48" t="b">
        <f>IF(Teachers!B16&gt;0,"active")</f>
        <v>0</v>
      </c>
      <c r="L11" s="49" t="s">
        <v>92</v>
      </c>
      <c r="M11" s="49"/>
      <c r="N11" s="49"/>
      <c r="O11" s="49"/>
      <c r="P11" s="47"/>
    </row>
    <row r="12" spans="1:16" x14ac:dyDescent="0.2">
      <c r="A1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","#",3))+1,1)&amp;"-"&amp;LEFT(Teachers!B17, 3)&amp;"-"&amp;LEFT(Teachers!A17, 3)&amp;"-"&amp;IF(ISNUMBER(Teachers!D17),"G"&amp;Teachers!D17,Teachers!D17)&amp;"-"&amp;"2026"</f>
        <v>CID-NWF----2026</v>
      </c>
      <c r="B12" s="48" t="b">
        <f>IF(Teachers!A17&gt;0,"topscorewriting.instructure.com")</f>
        <v>0</v>
      </c>
      <c r="C12" s="48" t="str">
        <f>Users!A12</f>
        <v>UID-NWF---2026</v>
      </c>
      <c r="D12" s="48" t="str">
        <f t="shared" si="0"/>
        <v>Teacher</v>
      </c>
      <c r="G12" s="48" t="b">
        <f>IF(Teachers!B17&gt;0,"active")</f>
        <v>0</v>
      </c>
      <c r="L12" s="49"/>
      <c r="M12" s="49"/>
      <c r="N12" s="49"/>
      <c r="O12" s="49"/>
      <c r="P12" s="47"/>
    </row>
    <row r="13" spans="1:16" x14ac:dyDescent="0.2">
      <c r="A1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","#",3))+1,1)&amp;"-"&amp;LEFT(Teachers!B18, 3)&amp;"-"&amp;LEFT(Teachers!A18, 3)&amp;"-"&amp;IF(ISNUMBER(Teachers!D18),"G"&amp;Teachers!D18,Teachers!D18)&amp;"-"&amp;"2026"</f>
        <v>CID-NWF----2026</v>
      </c>
      <c r="B13" s="48" t="b">
        <f>IF(Teachers!A18&gt;0,"topscorewriting.instructure.com")</f>
        <v>0</v>
      </c>
      <c r="C13" s="48" t="str">
        <f>Users!A13</f>
        <v>UID-NWF---2026</v>
      </c>
      <c r="D13" s="48" t="str">
        <f t="shared" si="0"/>
        <v>Teacher</v>
      </c>
      <c r="G13" s="48" t="b">
        <f>IF(Teachers!B18&gt;0,"active")</f>
        <v>0</v>
      </c>
      <c r="L13" s="49" t="s">
        <v>93</v>
      </c>
      <c r="M13" s="49"/>
      <c r="N13" s="49"/>
      <c r="O13" s="49"/>
      <c r="P13" s="47"/>
    </row>
    <row r="14" spans="1:16" x14ac:dyDescent="0.2">
      <c r="A1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","#",3))+1,1)&amp;"-"&amp;LEFT(Teachers!B19, 3)&amp;"-"&amp;LEFT(Teachers!A19, 3)&amp;"-"&amp;IF(ISNUMBER(Teachers!D19),"G"&amp;Teachers!D19,Teachers!D19)&amp;"-"&amp;"2026"</f>
        <v>CID-NWF----2026</v>
      </c>
      <c r="B14" s="48" t="b">
        <f>IF(Teachers!A19&gt;0,"topscorewriting.instructure.com")</f>
        <v>0</v>
      </c>
      <c r="C14" s="48" t="str">
        <f>Users!A14</f>
        <v>UID-NWF---2026</v>
      </c>
      <c r="D14" s="48" t="str">
        <f t="shared" si="0"/>
        <v>Teacher</v>
      </c>
      <c r="G14" s="48" t="b">
        <f>IF(Teachers!B19&gt;0,"active")</f>
        <v>0</v>
      </c>
      <c r="L14" s="49" t="s">
        <v>94</v>
      </c>
      <c r="M14" s="49"/>
      <c r="N14" s="49"/>
      <c r="O14" s="49"/>
      <c r="P14" s="47"/>
    </row>
    <row r="15" spans="1:16" x14ac:dyDescent="0.2">
      <c r="A1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","#",3))+1,1)&amp;"-"&amp;LEFT(Teachers!B20, 3)&amp;"-"&amp;LEFT(Teachers!A20, 3)&amp;"-"&amp;IF(ISNUMBER(Teachers!D20),"G"&amp;Teachers!D20,Teachers!D20)&amp;"-"&amp;"2026"</f>
        <v>CID-NWF----2026</v>
      </c>
      <c r="B15" s="48" t="b">
        <f>IF(Teachers!A20&gt;0,"topscorewriting.instructure.com")</f>
        <v>0</v>
      </c>
      <c r="C15" s="48" t="str">
        <f>Users!A15</f>
        <v>UID-NWF---2026</v>
      </c>
      <c r="D15" s="48" t="str">
        <f t="shared" si="0"/>
        <v>Teacher</v>
      </c>
      <c r="G15" s="48" t="b">
        <f>IF(Teachers!B20&gt;0,"active")</f>
        <v>0</v>
      </c>
    </row>
    <row r="16" spans="1:16" x14ac:dyDescent="0.2">
      <c r="A1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","#",3))+1,1)&amp;"-"&amp;LEFT(Teachers!B21, 3)&amp;"-"&amp;LEFT(Teachers!A21, 3)&amp;"-"&amp;IF(ISNUMBER(Teachers!D21),"G"&amp;Teachers!D21,Teachers!D21)&amp;"-"&amp;"2026"</f>
        <v>CID-NWF----2026</v>
      </c>
      <c r="B16" s="48" t="b">
        <f>IF(Teachers!A21&gt;0,"topscorewriting.instructure.com")</f>
        <v>0</v>
      </c>
      <c r="C16" s="48" t="str">
        <f>Users!A16</f>
        <v>UID-NWF---2026</v>
      </c>
      <c r="D16" s="48" t="str">
        <f t="shared" si="0"/>
        <v>Teacher</v>
      </c>
      <c r="G16" s="48" t="b">
        <f>IF(Teachers!B21&gt;0,"active")</f>
        <v>0</v>
      </c>
    </row>
    <row r="17" spans="1:7" x14ac:dyDescent="0.2">
      <c r="A1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","#",3))+1,1)&amp;"-"&amp;LEFT(Teachers!B22, 3)&amp;"-"&amp;LEFT(Teachers!A22, 3)&amp;"-"&amp;IF(ISNUMBER(Teachers!D22),"G"&amp;Teachers!D22,Teachers!D22)&amp;"-"&amp;"2026"</f>
        <v>CID-NWF----2026</v>
      </c>
      <c r="B17" s="48" t="b">
        <f>IF(Teachers!A22&gt;0,"topscorewriting.instructure.com")</f>
        <v>0</v>
      </c>
      <c r="C17" s="48" t="str">
        <f>Users!A17</f>
        <v>UID-NWF---2026</v>
      </c>
      <c r="D17" s="48" t="str">
        <f t="shared" si="0"/>
        <v>Teacher</v>
      </c>
      <c r="G17" s="48" t="b">
        <f>IF(Teachers!B22&gt;0,"active")</f>
        <v>0</v>
      </c>
    </row>
    <row r="18" spans="1:7" x14ac:dyDescent="0.2">
      <c r="A1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","#",3))+1,1)&amp;"-"&amp;LEFT(Teachers!B23, 3)&amp;"-"&amp;LEFT(Teachers!A23, 3)&amp;"-"&amp;IF(ISNUMBER(Teachers!D23),"G"&amp;Teachers!D23,Teachers!D23)&amp;"-"&amp;"2026"</f>
        <v>CID-NWF----2026</v>
      </c>
      <c r="B18" s="48" t="b">
        <f>IF(Teachers!A23&gt;0,"topscorewriting.instructure.com")</f>
        <v>0</v>
      </c>
      <c r="C18" s="48" t="str">
        <f>Users!A18</f>
        <v>UID-NWF---2026</v>
      </c>
      <c r="D18" s="48" t="str">
        <f t="shared" si="0"/>
        <v>Teacher</v>
      </c>
      <c r="G18" s="48" t="b">
        <f>IF(Teachers!B23&gt;0,"active")</f>
        <v>0</v>
      </c>
    </row>
    <row r="19" spans="1:7" x14ac:dyDescent="0.2">
      <c r="A1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","#",3))+1,1)&amp;"-"&amp;LEFT(Teachers!B24, 3)&amp;"-"&amp;LEFT(Teachers!A24, 3)&amp;"-"&amp;IF(ISNUMBER(Teachers!D24),"G"&amp;Teachers!D24,Teachers!D24)&amp;"-"&amp;"2026"</f>
        <v>CID-NWF----2026</v>
      </c>
      <c r="B19" s="48" t="b">
        <f>IF(Teachers!A24&gt;0,"topscorewriting.instructure.com")</f>
        <v>0</v>
      </c>
      <c r="C19" s="48" t="str">
        <f>Users!A19</f>
        <v>UID-NWF---2026</v>
      </c>
      <c r="D19" s="48" t="str">
        <f t="shared" si="0"/>
        <v>Teacher</v>
      </c>
      <c r="G19" s="48" t="b">
        <f>IF(Teachers!B24&gt;0,"active")</f>
        <v>0</v>
      </c>
    </row>
    <row r="20" spans="1:7" x14ac:dyDescent="0.2">
      <c r="A2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","#",3))+1,1)&amp;"-"&amp;LEFT(Teachers!B25, 3)&amp;"-"&amp;LEFT(Teachers!A25, 3)&amp;"-"&amp;IF(ISNUMBER(Teachers!D25),"G"&amp;Teachers!D25,Teachers!D25)&amp;"-"&amp;"2026"</f>
        <v>CID-NWF----2026</v>
      </c>
      <c r="B20" s="48" t="b">
        <f>IF(Teachers!A25&gt;0,"topscorewriting.instructure.com")</f>
        <v>0</v>
      </c>
      <c r="C20" s="48" t="str">
        <f>Users!A20</f>
        <v>UID-NWF---2026</v>
      </c>
      <c r="D20" s="48" t="str">
        <f t="shared" si="0"/>
        <v>Teacher</v>
      </c>
      <c r="G20" s="48" t="b">
        <f>IF(Teachers!B25&gt;0,"active")</f>
        <v>0</v>
      </c>
    </row>
    <row r="21" spans="1:7" x14ac:dyDescent="0.2">
      <c r="A2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","#",3))+1,1)&amp;"-"&amp;LEFT(Teachers!B26, 3)&amp;"-"&amp;LEFT(Teachers!A26, 3)&amp;"-"&amp;IF(ISNUMBER(Teachers!D26),"G"&amp;Teachers!D26,Teachers!D26)&amp;"-"&amp;"2026"</f>
        <v>CID-NWF----2026</v>
      </c>
      <c r="B21" s="48" t="b">
        <f>IF(Teachers!A26&gt;0,"topscorewriting.instructure.com")</f>
        <v>0</v>
      </c>
      <c r="C21" s="48" t="str">
        <f>Users!A21</f>
        <v>UID-NWF---2026</v>
      </c>
      <c r="D21" s="48" t="str">
        <f t="shared" si="0"/>
        <v>Teacher</v>
      </c>
      <c r="G21" s="48" t="b">
        <f>IF(Teachers!B26&gt;0,"active")</f>
        <v>0</v>
      </c>
    </row>
    <row r="22" spans="1:7" x14ac:dyDescent="0.2">
      <c r="A2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","#",3))+1,1)&amp;"-"&amp;LEFT(Teachers!B27, 3)&amp;"-"&amp;LEFT(Teachers!A27, 3)&amp;"-"&amp;IF(ISNUMBER(Teachers!D27),"G"&amp;Teachers!D27,Teachers!D27)&amp;"-"&amp;"2026"</f>
        <v>CID-NWF----2026</v>
      </c>
      <c r="B22" s="48" t="b">
        <f>IF(Teachers!A27&gt;0,"topscorewriting.instructure.com")</f>
        <v>0</v>
      </c>
      <c r="C22" s="48" t="str">
        <f>Users!A22</f>
        <v>UID-NWF---2026</v>
      </c>
      <c r="D22" s="48" t="str">
        <f t="shared" si="0"/>
        <v>Teacher</v>
      </c>
      <c r="G22" s="48" t="b">
        <f>IF(Teachers!B27&gt;0,"active")</f>
        <v>0</v>
      </c>
    </row>
    <row r="23" spans="1:7" x14ac:dyDescent="0.2">
      <c r="A2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","#",3))+1,1)&amp;"-"&amp;LEFT(Teachers!B28, 3)&amp;"-"&amp;LEFT(Teachers!A28, 3)&amp;"-"&amp;IF(ISNUMBER(Teachers!D28),"G"&amp;Teachers!D28,Teachers!D28)&amp;"-"&amp;"2026"</f>
        <v>CID-NWF----2026</v>
      </c>
      <c r="B23" s="48" t="b">
        <f>IF(Teachers!A28&gt;0,"topscorewriting.instructure.com")</f>
        <v>0</v>
      </c>
      <c r="C23" s="48" t="str">
        <f>Users!A23</f>
        <v>UID-NWF---2026</v>
      </c>
      <c r="D23" s="48" t="str">
        <f t="shared" si="0"/>
        <v>Teacher</v>
      </c>
      <c r="G23" s="48" t="b">
        <f>IF(Teachers!B28&gt;0,"active")</f>
        <v>0</v>
      </c>
    </row>
    <row r="24" spans="1:7" x14ac:dyDescent="0.2">
      <c r="A2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","#",3))+1,1)&amp;"-"&amp;LEFT(Teachers!B29, 3)&amp;"-"&amp;LEFT(Teachers!A29, 3)&amp;"-"&amp;IF(ISNUMBER(Teachers!D29),"G"&amp;Teachers!D29,Teachers!D29)&amp;"-"&amp;"2026"</f>
        <v>CID-NWF----2026</v>
      </c>
      <c r="B24" s="48" t="b">
        <f>IF(Teachers!A29&gt;0,"topscorewriting.instructure.com")</f>
        <v>0</v>
      </c>
      <c r="C24" s="48" t="str">
        <f>Users!A24</f>
        <v>UID-NWF---2026</v>
      </c>
      <c r="D24" s="48" t="str">
        <f t="shared" si="0"/>
        <v>Teacher</v>
      </c>
      <c r="G24" s="48" t="b">
        <f>IF(Teachers!B29&gt;0,"active")</f>
        <v>0</v>
      </c>
    </row>
    <row r="25" spans="1:7" x14ac:dyDescent="0.2">
      <c r="A2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","#",3))+1,1)&amp;"-"&amp;LEFT(Teachers!B30, 3)&amp;"-"&amp;LEFT(Teachers!A30, 3)&amp;"-"&amp;IF(ISNUMBER(Teachers!D30),"G"&amp;Teachers!D30,Teachers!D30)&amp;"-"&amp;"2026"</f>
        <v>CID-NWF----2026</v>
      </c>
      <c r="B25" s="48" t="b">
        <f>IF(Teachers!A30&gt;0,"topscorewriting.instructure.com")</f>
        <v>0</v>
      </c>
      <c r="C25" s="48" t="str">
        <f>Users!A25</f>
        <v>UID-NWF---2026</v>
      </c>
      <c r="D25" s="48" t="str">
        <f t="shared" si="0"/>
        <v>Teacher</v>
      </c>
      <c r="G25" s="48" t="b">
        <f>IF(Teachers!B30&gt;0,"active")</f>
        <v>0</v>
      </c>
    </row>
    <row r="26" spans="1:7" x14ac:dyDescent="0.2">
      <c r="A2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","#",3))+1,1)&amp;"-"&amp;LEFT(Teachers!B31, 3)&amp;"-"&amp;LEFT(Teachers!A31, 3)&amp;"-"&amp;IF(ISNUMBER(Teachers!D31),"G"&amp;Teachers!D31,Teachers!D31)&amp;"-"&amp;"2026"</f>
        <v>CID-NWF----2026</v>
      </c>
      <c r="B26" s="48" t="b">
        <f>IF(Teachers!A31&gt;0,"topscorewriting.instructure.com")</f>
        <v>0</v>
      </c>
      <c r="C26" s="48" t="str">
        <f>Users!A26</f>
        <v>UID-NWF---2026</v>
      </c>
      <c r="D26" s="48" t="str">
        <f t="shared" si="0"/>
        <v>Teacher</v>
      </c>
      <c r="G26" s="48" t="b">
        <f>IF(Teachers!B31&gt;0,"active")</f>
        <v>0</v>
      </c>
    </row>
    <row r="27" spans="1:7" x14ac:dyDescent="0.2">
      <c r="A2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","#",3))+1,1)&amp;"-"&amp;LEFT(Teachers!B32, 3)&amp;"-"&amp;LEFT(Teachers!A32, 3)&amp;"-"&amp;IF(ISNUMBER(Teachers!D32),"G"&amp;Teachers!D32,Teachers!D32)&amp;"-"&amp;"2026"</f>
        <v>CID-NWF----2026</v>
      </c>
      <c r="B27" s="48" t="b">
        <f>IF(Teachers!A32&gt;0,"topscorewriting.instructure.com")</f>
        <v>0</v>
      </c>
      <c r="C27" s="48" t="str">
        <f>Users!A27</f>
        <v>UID-NWF---2026</v>
      </c>
      <c r="D27" s="48" t="str">
        <f t="shared" si="0"/>
        <v>Teacher</v>
      </c>
      <c r="G27" s="48" t="b">
        <f>IF(Teachers!B32&gt;0,"active")</f>
        <v>0</v>
      </c>
    </row>
    <row r="28" spans="1:7" x14ac:dyDescent="0.2">
      <c r="A2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","#",3))+1,1)&amp;"-"&amp;LEFT(Teachers!B33, 3)&amp;"-"&amp;LEFT(Teachers!A33, 3)&amp;"-"&amp;IF(ISNUMBER(Teachers!D33),"G"&amp;Teachers!D33,Teachers!D33)&amp;"-"&amp;"2026"</f>
        <v>CID-NWF----2026</v>
      </c>
      <c r="B28" s="48" t="b">
        <f>IF(Teachers!A33&gt;0,"topscorewriting.instructure.com")</f>
        <v>0</v>
      </c>
      <c r="C28" s="48" t="str">
        <f>Users!A28</f>
        <v>UID-NWF---2026</v>
      </c>
      <c r="D28" s="48" t="str">
        <f t="shared" si="0"/>
        <v>Teacher</v>
      </c>
      <c r="G28" s="48" t="b">
        <f>IF(Teachers!B33&gt;0,"active")</f>
        <v>0</v>
      </c>
    </row>
    <row r="29" spans="1:7" x14ac:dyDescent="0.2">
      <c r="A2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","#",3))+1,1)&amp;"-"&amp;LEFT(Teachers!B34, 3)&amp;"-"&amp;LEFT(Teachers!A34, 3)&amp;"-"&amp;IF(ISNUMBER(Teachers!D34),"G"&amp;Teachers!D34,Teachers!D34)&amp;"-"&amp;"2026"</f>
        <v>CID-NWF----2026</v>
      </c>
      <c r="B29" s="48" t="b">
        <f>IF(Teachers!A34&gt;0,"topscorewriting.instructure.com")</f>
        <v>0</v>
      </c>
      <c r="C29" s="48" t="str">
        <f>Users!A29</f>
        <v>UID-NWF---2026</v>
      </c>
      <c r="D29" s="48" t="str">
        <f t="shared" si="0"/>
        <v>Teacher</v>
      </c>
      <c r="G29" s="48" t="b">
        <f>IF(Teachers!B34&gt;0,"active")</f>
        <v>0</v>
      </c>
    </row>
    <row r="30" spans="1:7" x14ac:dyDescent="0.2">
      <c r="A3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","#",3))+1,1)&amp;"-"&amp;LEFT(Teachers!B35, 3)&amp;"-"&amp;LEFT(Teachers!A35, 3)&amp;"-"&amp;IF(ISNUMBER(Teachers!D35),"G"&amp;Teachers!D35,Teachers!D35)&amp;"-"&amp;"2026"</f>
        <v>CID-NWF----2026</v>
      </c>
      <c r="B30" s="48" t="b">
        <f>IF(Teachers!A35&gt;0,"topscorewriting.instructure.com")</f>
        <v>0</v>
      </c>
      <c r="C30" s="48" t="str">
        <f>Users!A30</f>
        <v>UID-NWF---2026</v>
      </c>
      <c r="D30" s="48" t="str">
        <f t="shared" si="0"/>
        <v>Teacher</v>
      </c>
      <c r="G30" s="48" t="b">
        <f>IF(Teachers!B35&gt;0,"active")</f>
        <v>0</v>
      </c>
    </row>
    <row r="31" spans="1:7" x14ac:dyDescent="0.2">
      <c r="A3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","#",3))+1,1)&amp;"-"&amp;LEFT(Teachers!B36, 3)&amp;"-"&amp;LEFT(Teachers!A36, 3)&amp;"-"&amp;IF(ISNUMBER(Teachers!D36),"G"&amp;Teachers!D36,Teachers!D36)&amp;"-"&amp;"2026"</f>
        <v>CID-NWF----2026</v>
      </c>
      <c r="B31" s="48" t="b">
        <f>IF(Teachers!A36&gt;0,"topscorewriting.instructure.com")</f>
        <v>0</v>
      </c>
      <c r="C31" s="48" t="str">
        <f>Users!A31</f>
        <v>UID-NWF---2026</v>
      </c>
      <c r="D31" s="48" t="str">
        <f t="shared" si="0"/>
        <v>Teacher</v>
      </c>
      <c r="G31" s="48" t="b">
        <f>IF(Teachers!B36&gt;0,"active")</f>
        <v>0</v>
      </c>
    </row>
    <row r="32" spans="1:7" x14ac:dyDescent="0.2">
      <c r="A3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","#",3))+1,1)&amp;"-"&amp;LEFT(Teachers!B37, 3)&amp;"-"&amp;LEFT(Teachers!A37, 3)&amp;"-"&amp;IF(ISNUMBER(Teachers!D37),"G"&amp;Teachers!D37,Teachers!D37)&amp;"-"&amp;"2026"</f>
        <v>CID-NWF----2026</v>
      </c>
      <c r="B32" s="48" t="b">
        <f>IF(Teachers!A37&gt;0,"topscorewriting.instructure.com")</f>
        <v>0</v>
      </c>
      <c r="C32" s="48" t="str">
        <f>Users!A32</f>
        <v>UID-NWF---2026</v>
      </c>
      <c r="D32" s="48" t="str">
        <f t="shared" si="0"/>
        <v>Teacher</v>
      </c>
      <c r="G32" s="48" t="b">
        <f>IF(Teachers!B37&gt;0,"active")</f>
        <v>0</v>
      </c>
    </row>
    <row r="33" spans="1:7" x14ac:dyDescent="0.2">
      <c r="A3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","#",3))+1,1)&amp;"-"&amp;LEFT(Teachers!B38, 3)&amp;"-"&amp;LEFT(Teachers!A38, 3)&amp;"-"&amp;IF(ISNUMBER(Teachers!D38),"G"&amp;Teachers!D38,Teachers!D38)&amp;"-"&amp;"2026"</f>
        <v>CID-NWF----2026</v>
      </c>
      <c r="B33" s="48" t="b">
        <f>IF(Teachers!A38&gt;0,"topscorewriting.instructure.com")</f>
        <v>0</v>
      </c>
      <c r="C33" s="48" t="str">
        <f>Users!A33</f>
        <v>UID-NWF---2026</v>
      </c>
      <c r="D33" s="48" t="str">
        <f t="shared" si="0"/>
        <v>Teacher</v>
      </c>
      <c r="G33" s="48" t="b">
        <f>IF(Teachers!B38&gt;0,"active")</f>
        <v>0</v>
      </c>
    </row>
    <row r="34" spans="1:7" x14ac:dyDescent="0.2">
      <c r="A3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","#",3))+1,1)&amp;"-"&amp;LEFT(Teachers!B39, 3)&amp;"-"&amp;LEFT(Teachers!A39, 3)&amp;"-"&amp;IF(ISNUMBER(Teachers!D39),"G"&amp;Teachers!D39,Teachers!D39)&amp;"-"&amp;"2026"</f>
        <v>CID-NWF----2026</v>
      </c>
      <c r="B34" s="48" t="b">
        <f>IF(Teachers!A39&gt;0,"topscorewriting.instructure.com")</f>
        <v>0</v>
      </c>
      <c r="C34" s="48" t="str">
        <f>Users!A34</f>
        <v>UID-NWF---2026</v>
      </c>
      <c r="D34" s="48" t="str">
        <f t="shared" si="0"/>
        <v>Teacher</v>
      </c>
      <c r="G34" s="48" t="b">
        <f>IF(Teachers!B39&gt;0,"active")</f>
        <v>0</v>
      </c>
    </row>
    <row r="35" spans="1:7" x14ac:dyDescent="0.2">
      <c r="A3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","#",3))+1,1)&amp;"-"&amp;LEFT(Teachers!B40, 3)&amp;"-"&amp;LEFT(Teachers!A40, 3)&amp;"-"&amp;IF(ISNUMBER(Teachers!D40),"G"&amp;Teachers!D40,Teachers!D40)&amp;"-"&amp;"2026"</f>
        <v>CID-NWF----2026</v>
      </c>
      <c r="B35" s="48" t="b">
        <f>IF(Teachers!A40&gt;0,"topscorewriting.instructure.com")</f>
        <v>0</v>
      </c>
      <c r="C35" s="48" t="str">
        <f>Users!A35</f>
        <v>UID-NWF---2026</v>
      </c>
      <c r="D35" s="48" t="str">
        <f t="shared" si="0"/>
        <v>Teacher</v>
      </c>
      <c r="G35" s="48" t="b">
        <f>IF(Teachers!B40&gt;0,"active")</f>
        <v>0</v>
      </c>
    </row>
    <row r="36" spans="1:7" x14ac:dyDescent="0.2">
      <c r="A3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","#",3))+1,1)&amp;"-"&amp;LEFT(Teachers!B41, 3)&amp;"-"&amp;LEFT(Teachers!A41, 3)&amp;"-"&amp;IF(ISNUMBER(Teachers!D41),"G"&amp;Teachers!D41,Teachers!D41)&amp;"-"&amp;"2026"</f>
        <v>CID-NWF----2026</v>
      </c>
      <c r="B36" s="48" t="b">
        <f>IF(Teachers!A41&gt;0,"topscorewriting.instructure.com")</f>
        <v>0</v>
      </c>
      <c r="C36" s="48" t="str">
        <f>Users!A36</f>
        <v>UID-NWF---2026</v>
      </c>
      <c r="D36" s="48" t="str">
        <f t="shared" si="0"/>
        <v>Teacher</v>
      </c>
      <c r="G36" s="48" t="b">
        <f>IF(Teachers!B41&gt;0,"active")</f>
        <v>0</v>
      </c>
    </row>
    <row r="37" spans="1:7" x14ac:dyDescent="0.2">
      <c r="A3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","#",3))+1,1)&amp;"-"&amp;LEFT(Teachers!B42, 3)&amp;"-"&amp;LEFT(Teachers!A42, 3)&amp;"-"&amp;IF(ISNUMBER(Teachers!D42),"G"&amp;Teachers!D42,Teachers!D42)&amp;"-"&amp;"2026"</f>
        <v>CID-NWF----2026</v>
      </c>
      <c r="B37" s="48" t="b">
        <f>IF(Teachers!A42&gt;0,"topscorewriting.instructure.com")</f>
        <v>0</v>
      </c>
      <c r="C37" s="48" t="str">
        <f>Users!A37</f>
        <v>UID-NWF---2026</v>
      </c>
      <c r="D37" s="48" t="str">
        <f t="shared" si="0"/>
        <v>Teacher</v>
      </c>
      <c r="G37" s="48" t="b">
        <f>IF(Teachers!B42&gt;0,"active")</f>
        <v>0</v>
      </c>
    </row>
    <row r="38" spans="1:7" x14ac:dyDescent="0.2">
      <c r="A3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","#",3))+1,1)&amp;"-"&amp;LEFT(Teachers!B43, 3)&amp;"-"&amp;LEFT(Teachers!A43, 3)&amp;"-"&amp;IF(ISNUMBER(Teachers!D43),"G"&amp;Teachers!D43,Teachers!D43)&amp;"-"&amp;"2026"</f>
        <v>CID-NWF----2026</v>
      </c>
      <c r="B38" s="48" t="b">
        <f>IF(Teachers!A43&gt;0,"topscorewriting.instructure.com")</f>
        <v>0</v>
      </c>
      <c r="C38" s="48" t="str">
        <f>Users!A38</f>
        <v>UID-NWF---2026</v>
      </c>
      <c r="D38" s="48" t="str">
        <f t="shared" si="0"/>
        <v>Teacher</v>
      </c>
      <c r="G38" s="48" t="b">
        <f>IF(Teachers!B43&gt;0,"active")</f>
        <v>0</v>
      </c>
    </row>
    <row r="39" spans="1:7" x14ac:dyDescent="0.2">
      <c r="A3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","#",3))+1,1)&amp;"-"&amp;LEFT(Teachers!B44, 3)&amp;"-"&amp;LEFT(Teachers!A44, 3)&amp;"-"&amp;IF(ISNUMBER(Teachers!D44),"G"&amp;Teachers!D44,Teachers!D44)&amp;"-"&amp;"2026"</f>
        <v>CID-NWF----2026</v>
      </c>
      <c r="B39" s="48" t="b">
        <f>IF(Teachers!A44&gt;0,"topscorewriting.instructure.com")</f>
        <v>0</v>
      </c>
      <c r="C39" s="48" t="str">
        <f>Users!A39</f>
        <v>UID-NWF---2026</v>
      </c>
      <c r="D39" s="48" t="str">
        <f t="shared" si="0"/>
        <v>Teacher</v>
      </c>
      <c r="G39" s="48" t="b">
        <f>IF(Teachers!B44&gt;0,"active")</f>
        <v>0</v>
      </c>
    </row>
    <row r="40" spans="1:7" x14ac:dyDescent="0.2">
      <c r="A4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","#",3))+1,1)&amp;"-"&amp;LEFT(Teachers!B45, 3)&amp;"-"&amp;LEFT(Teachers!A45, 3)&amp;"-"&amp;IF(ISNUMBER(Teachers!D45),"G"&amp;Teachers!D45,Teachers!D45)&amp;"-"&amp;"2026"</f>
        <v>CID-NWF----2026</v>
      </c>
      <c r="B40" s="48" t="b">
        <f>IF(Teachers!A45&gt;0,"topscorewriting.instructure.com")</f>
        <v>0</v>
      </c>
      <c r="C40" s="48" t="str">
        <f>Users!A40</f>
        <v>UID-NWF---2026</v>
      </c>
      <c r="D40" s="48" t="str">
        <f t="shared" si="0"/>
        <v>Teacher</v>
      </c>
      <c r="G40" s="48" t="b">
        <f>IF(Teachers!B45&gt;0,"active")</f>
        <v>0</v>
      </c>
    </row>
    <row r="41" spans="1:7" x14ac:dyDescent="0.2">
      <c r="A4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","#",3))+1,1)&amp;"-"&amp;LEFT(Teachers!B46, 3)&amp;"-"&amp;LEFT(Teachers!A46, 3)&amp;"-"&amp;IF(ISNUMBER(Teachers!D46),"G"&amp;Teachers!D46,Teachers!D46)&amp;"-"&amp;"2026"</f>
        <v>CID-NWF----2026</v>
      </c>
      <c r="B41" s="48" t="b">
        <f>IF(Teachers!A46&gt;0,"topscorewriting.instructure.com")</f>
        <v>0</v>
      </c>
      <c r="C41" s="48" t="str">
        <f>Users!A41</f>
        <v>UID-NWF---2026</v>
      </c>
      <c r="D41" s="48" t="str">
        <f t="shared" si="0"/>
        <v>Teacher</v>
      </c>
      <c r="G41" s="48" t="b">
        <f>IF(Teachers!B46&gt;0,"active")</f>
        <v>0</v>
      </c>
    </row>
    <row r="42" spans="1:7" x14ac:dyDescent="0.2">
      <c r="A4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","#",3))+1,1)&amp;"-"&amp;LEFT(Teachers!B47, 3)&amp;"-"&amp;LEFT(Teachers!A47, 3)&amp;"-"&amp;IF(ISNUMBER(Teachers!D47),"G"&amp;Teachers!D47,Teachers!D47)&amp;"-"&amp;"2026"</f>
        <v>CID-NWF----2026</v>
      </c>
      <c r="B42" s="48" t="b">
        <f>IF(Teachers!A47&gt;0,"topscorewriting.instructure.com")</f>
        <v>0</v>
      </c>
      <c r="C42" s="48" t="str">
        <f>Users!A42</f>
        <v>UID-NWF---2026</v>
      </c>
      <c r="D42" s="48" t="str">
        <f t="shared" si="0"/>
        <v>Teacher</v>
      </c>
      <c r="G42" s="48" t="b">
        <f>IF(Teachers!B47&gt;0,"active")</f>
        <v>0</v>
      </c>
    </row>
    <row r="43" spans="1:7" x14ac:dyDescent="0.2">
      <c r="A4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","#",3))+1,1)&amp;"-"&amp;LEFT(Teachers!B48, 3)&amp;"-"&amp;LEFT(Teachers!A48, 3)&amp;"-"&amp;IF(ISNUMBER(Teachers!D48),"G"&amp;Teachers!D48,Teachers!D48)&amp;"-"&amp;"2026"</f>
        <v>CID-NWF----2026</v>
      </c>
      <c r="B43" s="48" t="b">
        <f>IF(Teachers!A48&gt;0,"topscorewriting.instructure.com")</f>
        <v>0</v>
      </c>
      <c r="C43" s="48" t="str">
        <f>Users!A43</f>
        <v>UID-NWF---2026</v>
      </c>
      <c r="D43" s="48" t="str">
        <f t="shared" si="0"/>
        <v>Teacher</v>
      </c>
      <c r="G43" s="48" t="b">
        <f>IF(Teachers!B48&gt;0,"active")</f>
        <v>0</v>
      </c>
    </row>
    <row r="44" spans="1:7" x14ac:dyDescent="0.2">
      <c r="A4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","#",3))+1,1)&amp;"-"&amp;LEFT(Teachers!B49, 3)&amp;"-"&amp;LEFT(Teachers!A49, 3)&amp;"-"&amp;IF(ISNUMBER(Teachers!D49),"G"&amp;Teachers!D49,Teachers!D49)&amp;"-"&amp;"2026"</f>
        <v>CID-NWF----2026</v>
      </c>
      <c r="B44" s="48" t="b">
        <f>IF(Teachers!A49&gt;0,"topscorewriting.instructure.com")</f>
        <v>0</v>
      </c>
      <c r="C44" s="48" t="str">
        <f>Users!A44</f>
        <v>UID-NWF---2026</v>
      </c>
      <c r="D44" s="48" t="str">
        <f t="shared" si="0"/>
        <v>Teacher</v>
      </c>
      <c r="G44" s="48" t="b">
        <f>IF(Teachers!B49&gt;0,"active")</f>
        <v>0</v>
      </c>
    </row>
    <row r="45" spans="1:7" x14ac:dyDescent="0.2">
      <c r="A4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","#",3))+1,1)&amp;"-"&amp;LEFT(Teachers!B50, 3)&amp;"-"&amp;LEFT(Teachers!A50, 3)&amp;"-"&amp;IF(ISNUMBER(Teachers!D50),"G"&amp;Teachers!D50,Teachers!D50)&amp;"-"&amp;"2026"</f>
        <v>CID-NWF----2026</v>
      </c>
      <c r="B45" s="48" t="b">
        <f>IF(Teachers!A50&gt;0,"topscorewriting.instructure.com")</f>
        <v>0</v>
      </c>
      <c r="C45" s="48" t="str">
        <f>Users!A45</f>
        <v>UID-NWF---2026</v>
      </c>
      <c r="D45" s="48" t="str">
        <f t="shared" si="0"/>
        <v>Teacher</v>
      </c>
      <c r="G45" s="48" t="b">
        <f>IF(Teachers!B50&gt;0,"active")</f>
        <v>0</v>
      </c>
    </row>
    <row r="46" spans="1:7" x14ac:dyDescent="0.2">
      <c r="A4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","#",3))+1,1)&amp;"-"&amp;LEFT(Teachers!B51, 3)&amp;"-"&amp;LEFT(Teachers!A51, 3)&amp;"-"&amp;IF(ISNUMBER(Teachers!D51),"G"&amp;Teachers!D51,Teachers!D51)&amp;"-"&amp;"2026"</f>
        <v>CID-NWF----2026</v>
      </c>
      <c r="B46" s="48" t="b">
        <f>IF(Teachers!A51&gt;0,"topscorewriting.instructure.com")</f>
        <v>0</v>
      </c>
      <c r="C46" s="48" t="str">
        <f>Users!A46</f>
        <v>UID-NWF---2026</v>
      </c>
      <c r="D46" s="48" t="str">
        <f t="shared" si="0"/>
        <v>Teacher</v>
      </c>
      <c r="G46" s="48" t="b">
        <f>IF(Teachers!B51&gt;0,"active")</f>
        <v>0</v>
      </c>
    </row>
    <row r="47" spans="1:7" x14ac:dyDescent="0.2">
      <c r="A4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","#",3))+1,1)&amp;"-"&amp;LEFT(Teachers!B52, 3)&amp;"-"&amp;LEFT(Teachers!A52, 3)&amp;"-"&amp;IF(ISNUMBER(Teachers!D52),"G"&amp;Teachers!D52,Teachers!D52)&amp;"-"&amp;"2026"</f>
        <v>CID-NWF----2026</v>
      </c>
      <c r="B47" s="48" t="b">
        <f>IF(Teachers!A52&gt;0,"topscorewriting.instructure.com")</f>
        <v>0</v>
      </c>
      <c r="C47" s="48" t="str">
        <f>Users!A47</f>
        <v>UID-NWF---2026</v>
      </c>
      <c r="D47" s="48" t="str">
        <f t="shared" si="0"/>
        <v>Teacher</v>
      </c>
      <c r="G47" s="48" t="b">
        <f>IF(Teachers!B52&gt;0,"active")</f>
        <v>0</v>
      </c>
    </row>
    <row r="48" spans="1:7" x14ac:dyDescent="0.2">
      <c r="A4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","#",3))+1,1)&amp;"-"&amp;LEFT(Teachers!B53, 3)&amp;"-"&amp;LEFT(Teachers!A53, 3)&amp;"-"&amp;IF(ISNUMBER(Teachers!D53),"G"&amp;Teachers!D53,Teachers!D53)&amp;"-"&amp;"2026"</f>
        <v>CID-NWF----2026</v>
      </c>
      <c r="B48" s="48" t="b">
        <f>IF(Teachers!A53&gt;0,"topscorewriting.instructure.com")</f>
        <v>0</v>
      </c>
      <c r="C48" s="48" t="str">
        <f>Users!A48</f>
        <v>UID-NWF---2026</v>
      </c>
      <c r="D48" s="48" t="str">
        <f t="shared" si="0"/>
        <v>Teacher</v>
      </c>
      <c r="G48" s="48" t="b">
        <f>IF(Teachers!B53&gt;0,"active")</f>
        <v>0</v>
      </c>
    </row>
    <row r="49" spans="1:7" x14ac:dyDescent="0.2">
      <c r="A4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","#",3))+1,1)&amp;"-"&amp;LEFT(Teachers!B54, 3)&amp;"-"&amp;LEFT(Teachers!A54, 3)&amp;"-"&amp;IF(ISNUMBER(Teachers!D54),"G"&amp;Teachers!D54,Teachers!D54)&amp;"-"&amp;"2026"</f>
        <v>CID-NWF----2026</v>
      </c>
      <c r="B49" s="48" t="b">
        <f>IF(Teachers!A54&gt;0,"topscorewriting.instructure.com")</f>
        <v>0</v>
      </c>
      <c r="C49" s="48" t="str">
        <f>Users!A49</f>
        <v>UID-NWF---2026</v>
      </c>
      <c r="D49" s="48" t="str">
        <f t="shared" si="0"/>
        <v>Teacher</v>
      </c>
      <c r="G49" s="48" t="b">
        <f>IF(Teachers!B54&gt;0,"active")</f>
        <v>0</v>
      </c>
    </row>
    <row r="50" spans="1:7" x14ac:dyDescent="0.2">
      <c r="A5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","#",3))+1,1)&amp;"-"&amp;LEFT(Teachers!B55, 3)&amp;"-"&amp;LEFT(Teachers!A55, 3)&amp;"-"&amp;IF(ISNUMBER(Teachers!D55),"G"&amp;Teachers!D55,Teachers!D55)&amp;"-"&amp;"2026"</f>
        <v>CID-NWF----2026</v>
      </c>
      <c r="B50" s="48" t="b">
        <f>IF(Teachers!A55&gt;0,"topscorewriting.instructure.com")</f>
        <v>0</v>
      </c>
      <c r="C50" s="48" t="str">
        <f>Users!A50</f>
        <v>UID-NWF---2026</v>
      </c>
      <c r="D50" s="48" t="str">
        <f t="shared" si="0"/>
        <v>Teacher</v>
      </c>
      <c r="G50" s="48" t="b">
        <f>IF(Teachers!B55&gt;0,"active")</f>
        <v>0</v>
      </c>
    </row>
    <row r="51" spans="1:7" x14ac:dyDescent="0.2">
      <c r="A5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","#",3))+1,1)&amp;"-"&amp;LEFT(Teachers!B56, 3)&amp;"-"&amp;LEFT(Teachers!A56, 3)&amp;"-"&amp;IF(ISNUMBER(Teachers!D56),"G"&amp;Teachers!D56,Teachers!D56)&amp;"-"&amp;"2026"</f>
        <v>CID-NWF----2026</v>
      </c>
      <c r="B51" s="48" t="b">
        <f>IF(Teachers!A56&gt;0,"topscorewriting.instructure.com")</f>
        <v>0</v>
      </c>
      <c r="C51" s="48" t="str">
        <f>Users!A51</f>
        <v>UID-NWF---2026</v>
      </c>
      <c r="D51" s="48" t="str">
        <f t="shared" si="0"/>
        <v>Teacher</v>
      </c>
      <c r="G51" s="48" t="b">
        <f>IF(Teachers!B56&gt;0,"active")</f>
        <v>0</v>
      </c>
    </row>
    <row r="52" spans="1:7" x14ac:dyDescent="0.2">
      <c r="A5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","#",3))+1,1)&amp;"-"&amp;LEFT(Teachers!B57, 3)&amp;"-"&amp;LEFT(Teachers!A57, 3)&amp;"-"&amp;IF(ISNUMBER(Teachers!D57),"G"&amp;Teachers!D57,Teachers!D57)&amp;"-"&amp;"2026"</f>
        <v>CID-NWF----2026</v>
      </c>
      <c r="B52" s="48" t="b">
        <f>IF(Teachers!A57&gt;0,"topscorewriting.instructure.com")</f>
        <v>0</v>
      </c>
      <c r="C52" s="48" t="str">
        <f>Users!A52</f>
        <v>UID-NWF---2026</v>
      </c>
      <c r="D52" s="48" t="str">
        <f t="shared" si="0"/>
        <v>Teacher</v>
      </c>
      <c r="G52" s="48" t="b">
        <f>IF(Teachers!B57&gt;0,"active")</f>
        <v>0</v>
      </c>
    </row>
    <row r="53" spans="1:7" x14ac:dyDescent="0.2">
      <c r="A5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","#",3))+1,1)&amp;"-"&amp;LEFT(Teachers!B58, 3)&amp;"-"&amp;LEFT(Teachers!A58, 3)&amp;"-"&amp;IF(ISNUMBER(Teachers!D58),"G"&amp;Teachers!D58,Teachers!D58)&amp;"-"&amp;"2026"</f>
        <v>CID-NWF----2026</v>
      </c>
      <c r="B53" s="48" t="b">
        <f>IF(Teachers!A58&gt;0,"topscorewriting.instructure.com")</f>
        <v>0</v>
      </c>
      <c r="C53" s="48" t="str">
        <f>Users!A53</f>
        <v>UID-NWF---2026</v>
      </c>
      <c r="D53" s="48" t="str">
        <f t="shared" si="0"/>
        <v>Teacher</v>
      </c>
      <c r="G53" s="48" t="b">
        <f>IF(Teachers!B58&gt;0,"active")</f>
        <v>0</v>
      </c>
    </row>
    <row r="54" spans="1:7" x14ac:dyDescent="0.2">
      <c r="A5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","#",3))+1,1)&amp;"-"&amp;LEFT(Teachers!B59, 3)&amp;"-"&amp;LEFT(Teachers!A59, 3)&amp;"-"&amp;IF(ISNUMBER(Teachers!D59),"G"&amp;Teachers!D59,Teachers!D59)&amp;"-"&amp;"2026"</f>
        <v>CID-NWF----2026</v>
      </c>
      <c r="B54" s="48" t="b">
        <f>IF(Teachers!A59&gt;0,"topscorewriting.instructure.com")</f>
        <v>0</v>
      </c>
      <c r="C54" s="48" t="str">
        <f>Users!A54</f>
        <v>UID-NWF---2026</v>
      </c>
      <c r="D54" s="48" t="str">
        <f t="shared" si="0"/>
        <v>Teacher</v>
      </c>
      <c r="G54" s="48" t="b">
        <f>IF(Teachers!B59&gt;0,"active")</f>
        <v>0</v>
      </c>
    </row>
    <row r="55" spans="1:7" x14ac:dyDescent="0.2">
      <c r="A5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","#",3))+1,1)&amp;"-"&amp;LEFT(Teachers!B60, 3)&amp;"-"&amp;LEFT(Teachers!A60, 3)&amp;"-"&amp;IF(ISNUMBER(Teachers!D60),"G"&amp;Teachers!D60,Teachers!D60)&amp;"-"&amp;"2026"</f>
        <v>CID-NWF----2026</v>
      </c>
      <c r="B55" s="48" t="b">
        <f>IF(Teachers!A60&gt;0,"topscorewriting.instructure.com")</f>
        <v>0</v>
      </c>
      <c r="C55" s="48" t="str">
        <f>Users!A55</f>
        <v>UID-NWF---2026</v>
      </c>
      <c r="D55" s="48" t="str">
        <f t="shared" si="0"/>
        <v>Teacher</v>
      </c>
      <c r="G55" s="48" t="b">
        <f>IF(Teachers!B60&gt;0,"active")</f>
        <v>0</v>
      </c>
    </row>
    <row r="56" spans="1:7" x14ac:dyDescent="0.2">
      <c r="A5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","#",3))+1,1)&amp;"-"&amp;LEFT(Teachers!B61, 3)&amp;"-"&amp;LEFT(Teachers!A61, 3)&amp;"-"&amp;IF(ISNUMBER(Teachers!D61),"G"&amp;Teachers!D61,Teachers!D61)&amp;"-"&amp;"2026"</f>
        <v>CID-NWF----2026</v>
      </c>
      <c r="B56" s="48" t="b">
        <f>IF(Teachers!A61&gt;0,"topscorewriting.instructure.com")</f>
        <v>0</v>
      </c>
      <c r="C56" s="48" t="str">
        <f>Users!A56</f>
        <v>UID-NWF---2026</v>
      </c>
      <c r="D56" s="48" t="str">
        <f t="shared" si="0"/>
        <v>Teacher</v>
      </c>
      <c r="G56" s="48" t="b">
        <f>IF(Teachers!B61&gt;0,"active")</f>
        <v>0</v>
      </c>
    </row>
    <row r="57" spans="1:7" x14ac:dyDescent="0.2">
      <c r="A5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","#",3))+1,1)&amp;"-"&amp;LEFT(Teachers!B62, 3)&amp;"-"&amp;LEFT(Teachers!A62, 3)&amp;"-"&amp;IF(ISNUMBER(Teachers!D62),"G"&amp;Teachers!D62,Teachers!D62)&amp;"-"&amp;"2026"</f>
        <v>CID-NWF----2026</v>
      </c>
      <c r="B57" s="48" t="b">
        <f>IF(Teachers!A62&gt;0,"topscorewriting.instructure.com")</f>
        <v>0</v>
      </c>
      <c r="C57" s="48" t="str">
        <f>Users!A57</f>
        <v>UID-NWF---2026</v>
      </c>
      <c r="D57" s="48" t="str">
        <f t="shared" si="0"/>
        <v>Teacher</v>
      </c>
      <c r="G57" s="48" t="b">
        <f>IF(Teachers!B62&gt;0,"active")</f>
        <v>0</v>
      </c>
    </row>
    <row r="58" spans="1:7" x14ac:dyDescent="0.2">
      <c r="A5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","#",3))+1,1)&amp;"-"&amp;LEFT(Teachers!B63, 3)&amp;"-"&amp;LEFT(Teachers!A63, 3)&amp;"-"&amp;IF(ISNUMBER(Teachers!D63),"G"&amp;Teachers!D63,Teachers!D63)&amp;"-"&amp;"2026"</f>
        <v>CID-NWF----2026</v>
      </c>
      <c r="B58" s="48" t="b">
        <f>IF(Teachers!A63&gt;0,"topscorewriting.instructure.com")</f>
        <v>0</v>
      </c>
      <c r="C58" s="48" t="str">
        <f>Users!A58</f>
        <v>UID-NWF---2026</v>
      </c>
      <c r="D58" s="48" t="str">
        <f t="shared" si="0"/>
        <v>Teacher</v>
      </c>
      <c r="G58" s="48" t="b">
        <f>IF(Teachers!B63&gt;0,"active")</f>
        <v>0</v>
      </c>
    </row>
    <row r="59" spans="1:7" x14ac:dyDescent="0.2">
      <c r="A5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","#",3))+1,1)&amp;"-"&amp;LEFT(Teachers!B64, 3)&amp;"-"&amp;LEFT(Teachers!A64, 3)&amp;"-"&amp;IF(ISNUMBER(Teachers!D64),"G"&amp;Teachers!D64,Teachers!D64)&amp;"-"&amp;"2026"</f>
        <v>CID-NWF----2026</v>
      </c>
      <c r="B59" s="48" t="b">
        <f>IF(Teachers!A64&gt;0,"topscorewriting.instructure.com")</f>
        <v>0</v>
      </c>
      <c r="C59" s="48" t="str">
        <f>Users!A59</f>
        <v>UID-NWF---2026</v>
      </c>
      <c r="D59" s="48" t="str">
        <f t="shared" si="0"/>
        <v>Teacher</v>
      </c>
      <c r="G59" s="48" t="b">
        <f>IF(Teachers!B64&gt;0,"active")</f>
        <v>0</v>
      </c>
    </row>
    <row r="60" spans="1:7" x14ac:dyDescent="0.2">
      <c r="A6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","#",3))+1,1)&amp;"-"&amp;LEFT(Teachers!B65, 3)&amp;"-"&amp;LEFT(Teachers!A65, 3)&amp;"-"&amp;IF(ISNUMBER(Teachers!D65),"G"&amp;Teachers!D65,Teachers!D65)&amp;"-"&amp;"2026"</f>
        <v>CID-NWF----2026</v>
      </c>
      <c r="B60" s="48" t="b">
        <f>IF(Teachers!A65&gt;0,"topscorewriting.instructure.com")</f>
        <v>0</v>
      </c>
      <c r="C60" s="48" t="str">
        <f>Users!A60</f>
        <v>UID-NWF---2026</v>
      </c>
      <c r="D60" s="48" t="str">
        <f t="shared" si="0"/>
        <v>Teacher</v>
      </c>
      <c r="G60" s="48" t="b">
        <f>IF(Teachers!B65&gt;0,"active")</f>
        <v>0</v>
      </c>
    </row>
    <row r="61" spans="1:7" x14ac:dyDescent="0.2">
      <c r="A6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","#",3))+1,1)&amp;"-"&amp;LEFT(Teachers!B66, 3)&amp;"-"&amp;LEFT(Teachers!A66, 3)&amp;"-"&amp;IF(ISNUMBER(Teachers!D66),"G"&amp;Teachers!D66,Teachers!D66)&amp;"-"&amp;"2026"</f>
        <v>CID-NWF----2026</v>
      </c>
      <c r="B61" s="48" t="b">
        <f>IF(Teachers!A66&gt;0,"topscorewriting.instructure.com")</f>
        <v>0</v>
      </c>
      <c r="C61" s="48" t="str">
        <f>Users!A61</f>
        <v>UID-NWF---2026</v>
      </c>
      <c r="D61" s="48" t="str">
        <f t="shared" si="0"/>
        <v>Teacher</v>
      </c>
      <c r="G61" s="48" t="b">
        <f>IF(Teachers!B66&gt;0,"active")</f>
        <v>0</v>
      </c>
    </row>
    <row r="62" spans="1:7" x14ac:dyDescent="0.2">
      <c r="A6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","#",3))+1,1)&amp;"-"&amp;LEFT(Teachers!B67, 3)&amp;"-"&amp;LEFT(Teachers!A67, 3)&amp;"-"&amp;IF(ISNUMBER(Teachers!D67),"G"&amp;Teachers!D67,Teachers!D67)&amp;"-"&amp;"2026"</f>
        <v>CID-NWF----2026</v>
      </c>
      <c r="B62" s="48" t="b">
        <f>IF(Teachers!A67&gt;0,"topscorewriting.instructure.com")</f>
        <v>0</v>
      </c>
      <c r="C62" s="48" t="str">
        <f>Users!A62</f>
        <v>UID-NWF---2026</v>
      </c>
      <c r="D62" s="48" t="str">
        <f t="shared" si="0"/>
        <v>Teacher</v>
      </c>
      <c r="G62" s="48" t="b">
        <f>IF(Teachers!B67&gt;0,"active")</f>
        <v>0</v>
      </c>
    </row>
    <row r="63" spans="1:7" x14ac:dyDescent="0.2">
      <c r="A6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","#",3))+1,1)&amp;"-"&amp;LEFT(Teachers!B68, 3)&amp;"-"&amp;LEFT(Teachers!A68, 3)&amp;"-"&amp;IF(ISNUMBER(Teachers!D68),"G"&amp;Teachers!D68,Teachers!D68)&amp;"-"&amp;"2026"</f>
        <v>CID-NWF----2026</v>
      </c>
      <c r="B63" s="48" t="b">
        <f>IF(Teachers!A68&gt;0,"topscorewriting.instructure.com")</f>
        <v>0</v>
      </c>
      <c r="C63" s="48" t="str">
        <f>Users!A63</f>
        <v>UID-NWF---2026</v>
      </c>
      <c r="D63" s="48" t="str">
        <f t="shared" si="0"/>
        <v>Teacher</v>
      </c>
      <c r="G63" s="48" t="b">
        <f>IF(Teachers!B68&gt;0,"active")</f>
        <v>0</v>
      </c>
    </row>
    <row r="64" spans="1:7" x14ac:dyDescent="0.2">
      <c r="A6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","#",3))+1,1)&amp;"-"&amp;LEFT(Teachers!B69, 3)&amp;"-"&amp;LEFT(Teachers!A69, 3)&amp;"-"&amp;IF(ISNUMBER(Teachers!D69),"G"&amp;Teachers!D69,Teachers!D69)&amp;"-"&amp;"2026"</f>
        <v>CID-NWF----2026</v>
      </c>
      <c r="B64" s="48" t="b">
        <f>IF(Teachers!A69&gt;0,"topscorewriting.instructure.com")</f>
        <v>0</v>
      </c>
      <c r="C64" s="48" t="str">
        <f>Users!A64</f>
        <v>UID-NWF---2026</v>
      </c>
      <c r="D64" s="48" t="str">
        <f t="shared" si="0"/>
        <v>Teacher</v>
      </c>
      <c r="G64" s="48" t="b">
        <f>IF(Teachers!B69&gt;0,"active")</f>
        <v>0</v>
      </c>
    </row>
    <row r="65" spans="1:7" x14ac:dyDescent="0.2">
      <c r="A6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","#",3))+1,1)&amp;"-"&amp;LEFT(Teachers!B70, 3)&amp;"-"&amp;LEFT(Teachers!A70, 3)&amp;"-"&amp;IF(ISNUMBER(Teachers!D70),"G"&amp;Teachers!D70,Teachers!D70)&amp;"-"&amp;"2026"</f>
        <v>CID-NWF----2026</v>
      </c>
      <c r="B65" s="48" t="b">
        <f>IF(Teachers!A70&gt;0,"topscorewriting.instructure.com")</f>
        <v>0</v>
      </c>
      <c r="C65" s="48" t="str">
        <f>Users!A65</f>
        <v>UID-NWF---2026</v>
      </c>
      <c r="D65" s="48" t="str">
        <f t="shared" si="0"/>
        <v>Teacher</v>
      </c>
      <c r="G65" s="48" t="b">
        <f>IF(Teachers!B70&gt;0,"active")</f>
        <v>0</v>
      </c>
    </row>
    <row r="66" spans="1:7" x14ac:dyDescent="0.2">
      <c r="A6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","#",3))+1,1)&amp;"-"&amp;LEFT(Teachers!B71, 3)&amp;"-"&amp;LEFT(Teachers!A71, 3)&amp;"-"&amp;IF(ISNUMBER(Teachers!D71),"G"&amp;Teachers!D71,Teachers!D71)&amp;"-"&amp;"2026"</f>
        <v>CID-NWF----2026</v>
      </c>
      <c r="B66" s="48" t="b">
        <f>IF(Teachers!A71&gt;0,"topscorewriting.instructure.com")</f>
        <v>0</v>
      </c>
      <c r="C66" s="48" t="str">
        <f>Users!A66</f>
        <v>UID-NWF---2026</v>
      </c>
      <c r="D66" s="48" t="str">
        <f t="shared" si="0"/>
        <v>Teacher</v>
      </c>
      <c r="G66" s="48" t="b">
        <f>IF(Teachers!B71&gt;0,"active")</f>
        <v>0</v>
      </c>
    </row>
    <row r="67" spans="1:7" x14ac:dyDescent="0.2">
      <c r="A6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","#",3))+1,1)&amp;"-"&amp;LEFT(Teachers!B72, 3)&amp;"-"&amp;LEFT(Teachers!A72, 3)&amp;"-"&amp;IF(ISNUMBER(Teachers!D72),"G"&amp;Teachers!D72,Teachers!D72)&amp;"-"&amp;"2026"</f>
        <v>CID-NWF----2026</v>
      </c>
      <c r="B67" s="48" t="b">
        <f>IF(Teachers!A72&gt;0,"topscorewriting.instructure.com")</f>
        <v>0</v>
      </c>
      <c r="C67" s="48" t="str">
        <f>Users!A67</f>
        <v>UID-NWF---2026</v>
      </c>
      <c r="D67" s="48" t="str">
        <f t="shared" ref="D67:D117" si="1">"Teacher"</f>
        <v>Teacher</v>
      </c>
      <c r="G67" s="48" t="b">
        <f>IF(Teachers!B72&gt;0,"active")</f>
        <v>0</v>
      </c>
    </row>
    <row r="68" spans="1:7" x14ac:dyDescent="0.2">
      <c r="A6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","#",3))+1,1)&amp;"-"&amp;LEFT(Teachers!B73, 3)&amp;"-"&amp;LEFT(Teachers!A73, 3)&amp;"-"&amp;IF(ISNUMBER(Teachers!D73),"G"&amp;Teachers!D73,Teachers!D73)&amp;"-"&amp;"2026"</f>
        <v>CID-NWF----2026</v>
      </c>
      <c r="B68" s="48" t="b">
        <f>IF(Teachers!A73&gt;0,"topscorewriting.instructure.com")</f>
        <v>0</v>
      </c>
      <c r="C68" s="48" t="str">
        <f>Users!A68</f>
        <v>UID-NWF---2026</v>
      </c>
      <c r="D68" s="48" t="str">
        <f t="shared" si="1"/>
        <v>Teacher</v>
      </c>
      <c r="G68" s="48" t="b">
        <f>IF(Teachers!B73&gt;0,"active")</f>
        <v>0</v>
      </c>
    </row>
    <row r="69" spans="1:7" x14ac:dyDescent="0.2">
      <c r="A6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","#",3))+1,1)&amp;"-"&amp;LEFT(Teachers!B74, 3)&amp;"-"&amp;LEFT(Teachers!A74, 3)&amp;"-"&amp;IF(ISNUMBER(Teachers!D74),"G"&amp;Teachers!D74,Teachers!D74)&amp;"-"&amp;"2026"</f>
        <v>CID-NWF----2026</v>
      </c>
      <c r="B69" s="48" t="b">
        <f>IF(Teachers!A74&gt;0,"topscorewriting.instructure.com")</f>
        <v>0</v>
      </c>
      <c r="C69" s="48" t="str">
        <f>Users!A69</f>
        <v>UID-NWF---2026</v>
      </c>
      <c r="D69" s="48" t="str">
        <f t="shared" si="1"/>
        <v>Teacher</v>
      </c>
      <c r="G69" s="48" t="b">
        <f>IF(Teachers!B74&gt;0,"active")</f>
        <v>0</v>
      </c>
    </row>
    <row r="70" spans="1:7" x14ac:dyDescent="0.2">
      <c r="A7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","#",3))+1,1)&amp;"-"&amp;LEFT(Teachers!B75, 3)&amp;"-"&amp;LEFT(Teachers!A75, 3)&amp;"-"&amp;IF(ISNUMBER(Teachers!D75),"G"&amp;Teachers!D75,Teachers!D75)&amp;"-"&amp;"2026"</f>
        <v>CID-NWF----2026</v>
      </c>
      <c r="B70" s="48" t="b">
        <f>IF(Teachers!A75&gt;0,"topscorewriting.instructure.com")</f>
        <v>0</v>
      </c>
      <c r="C70" s="48" t="str">
        <f>Users!A70</f>
        <v>UID-NWF---2026</v>
      </c>
      <c r="D70" s="48" t="str">
        <f t="shared" si="1"/>
        <v>Teacher</v>
      </c>
      <c r="G70" s="48" t="b">
        <f>IF(Teachers!B75&gt;0,"active")</f>
        <v>0</v>
      </c>
    </row>
    <row r="71" spans="1:7" x14ac:dyDescent="0.2">
      <c r="A7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","#",3))+1,1)&amp;"-"&amp;LEFT(Teachers!B76, 3)&amp;"-"&amp;LEFT(Teachers!A76, 3)&amp;"-"&amp;IF(ISNUMBER(Teachers!D76),"G"&amp;Teachers!D76,Teachers!D76)&amp;"-"&amp;"2026"</f>
        <v>CID-NWF----2026</v>
      </c>
      <c r="B71" s="48" t="b">
        <f>IF(Teachers!A76&gt;0,"topscorewriting.instructure.com")</f>
        <v>0</v>
      </c>
      <c r="C71" s="48" t="str">
        <f>Users!A71</f>
        <v>UID-NWF---2026</v>
      </c>
      <c r="D71" s="48" t="str">
        <f t="shared" si="1"/>
        <v>Teacher</v>
      </c>
      <c r="G71" s="48" t="b">
        <f>IF(Teachers!B76&gt;0,"active")</f>
        <v>0</v>
      </c>
    </row>
    <row r="72" spans="1:7" x14ac:dyDescent="0.2">
      <c r="A7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","#",3))+1,1)&amp;"-"&amp;LEFT(Teachers!B77, 3)&amp;"-"&amp;LEFT(Teachers!A77, 3)&amp;"-"&amp;IF(ISNUMBER(Teachers!D77),"G"&amp;Teachers!D77,Teachers!D77)&amp;"-"&amp;"2026"</f>
        <v>CID-NWF----2026</v>
      </c>
      <c r="B72" s="48" t="b">
        <f>IF(Teachers!A77&gt;0,"topscorewriting.instructure.com")</f>
        <v>0</v>
      </c>
      <c r="C72" s="48" t="str">
        <f>Users!A72</f>
        <v>UID-NWF---2026</v>
      </c>
      <c r="D72" s="48" t="str">
        <f t="shared" si="1"/>
        <v>Teacher</v>
      </c>
      <c r="G72" s="48" t="b">
        <f>IF(Teachers!B77&gt;0,"active")</f>
        <v>0</v>
      </c>
    </row>
    <row r="73" spans="1:7" x14ac:dyDescent="0.2">
      <c r="A7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","#",3))+1,1)&amp;"-"&amp;LEFT(Teachers!B78, 3)&amp;"-"&amp;LEFT(Teachers!A78, 3)&amp;"-"&amp;IF(ISNUMBER(Teachers!D78),"G"&amp;Teachers!D78,Teachers!D78)&amp;"-"&amp;"2026"</f>
        <v>CID-NWF----2026</v>
      </c>
      <c r="B73" s="48" t="b">
        <f>IF(Teachers!A78&gt;0,"topscorewriting.instructure.com")</f>
        <v>0</v>
      </c>
      <c r="C73" s="48" t="str">
        <f>Users!A73</f>
        <v>UID-NWF---2026</v>
      </c>
      <c r="D73" s="48" t="str">
        <f t="shared" si="1"/>
        <v>Teacher</v>
      </c>
      <c r="G73" s="48" t="b">
        <f>IF(Teachers!B78&gt;0,"active")</f>
        <v>0</v>
      </c>
    </row>
    <row r="74" spans="1:7" x14ac:dyDescent="0.2">
      <c r="A7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","#",3))+1,1)&amp;"-"&amp;LEFT(Teachers!B79, 3)&amp;"-"&amp;LEFT(Teachers!A79, 3)&amp;"-"&amp;IF(ISNUMBER(Teachers!D79),"G"&amp;Teachers!D79,Teachers!D79)&amp;"-"&amp;"2026"</f>
        <v>CID-NWF----2026</v>
      </c>
      <c r="B74" s="48" t="b">
        <f>IF(Teachers!A79&gt;0,"topscorewriting.instructure.com")</f>
        <v>0</v>
      </c>
      <c r="C74" s="48" t="str">
        <f>Users!A74</f>
        <v>UID-NWF---2026</v>
      </c>
      <c r="D74" s="48" t="str">
        <f t="shared" si="1"/>
        <v>Teacher</v>
      </c>
      <c r="G74" s="48" t="b">
        <f>IF(Teachers!B79&gt;0,"active")</f>
        <v>0</v>
      </c>
    </row>
    <row r="75" spans="1:7" x14ac:dyDescent="0.2">
      <c r="A7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","#",3))+1,1)&amp;"-"&amp;LEFT(Teachers!B80, 3)&amp;"-"&amp;LEFT(Teachers!A80, 3)&amp;"-"&amp;IF(ISNUMBER(Teachers!D80),"G"&amp;Teachers!D80,Teachers!D80)&amp;"-"&amp;"2026"</f>
        <v>CID-NWF----2026</v>
      </c>
      <c r="B75" s="48" t="b">
        <f>IF(Teachers!A80&gt;0,"topscorewriting.instructure.com")</f>
        <v>0</v>
      </c>
      <c r="C75" s="48" t="str">
        <f>Users!A75</f>
        <v>UID-NWF---2026</v>
      </c>
      <c r="D75" s="48" t="str">
        <f t="shared" si="1"/>
        <v>Teacher</v>
      </c>
      <c r="G75" s="48" t="b">
        <f>IF(Teachers!B80&gt;0,"active")</f>
        <v>0</v>
      </c>
    </row>
    <row r="76" spans="1:7" x14ac:dyDescent="0.2">
      <c r="A7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","#",3))+1,1)&amp;"-"&amp;LEFT(Teachers!B81, 3)&amp;"-"&amp;LEFT(Teachers!A81, 3)&amp;"-"&amp;IF(ISNUMBER(Teachers!D81),"G"&amp;Teachers!D81,Teachers!D81)&amp;"-"&amp;"2026"</f>
        <v>CID-NWF----2026</v>
      </c>
      <c r="B76" s="48" t="b">
        <f>IF(Teachers!A81&gt;0,"topscorewriting.instructure.com")</f>
        <v>0</v>
      </c>
      <c r="C76" s="48" t="str">
        <f>Users!A76</f>
        <v>UID-NWF---2026</v>
      </c>
      <c r="D76" s="48" t="str">
        <f t="shared" si="1"/>
        <v>Teacher</v>
      </c>
      <c r="G76" s="48" t="b">
        <f>IF(Teachers!B81&gt;0,"active")</f>
        <v>0</v>
      </c>
    </row>
    <row r="77" spans="1:7" x14ac:dyDescent="0.2">
      <c r="A7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","#",3))+1,1)&amp;"-"&amp;LEFT(Teachers!B82, 3)&amp;"-"&amp;LEFT(Teachers!A82, 3)&amp;"-"&amp;IF(ISNUMBER(Teachers!D82),"G"&amp;Teachers!D82,Teachers!D82)&amp;"-"&amp;"2026"</f>
        <v>CID-NWF----2026</v>
      </c>
      <c r="B77" s="48" t="b">
        <f>IF(Teachers!A82&gt;0,"topscorewriting.instructure.com")</f>
        <v>0</v>
      </c>
      <c r="C77" s="48" t="str">
        <f>Users!A77</f>
        <v>UID-NWF---2026</v>
      </c>
      <c r="D77" s="48" t="str">
        <f t="shared" si="1"/>
        <v>Teacher</v>
      </c>
      <c r="G77" s="48" t="b">
        <f>IF(Teachers!B82&gt;0,"active")</f>
        <v>0</v>
      </c>
    </row>
    <row r="78" spans="1:7" x14ac:dyDescent="0.2">
      <c r="A7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","#",3))+1,1)&amp;"-"&amp;LEFT(Teachers!B83, 3)&amp;"-"&amp;LEFT(Teachers!A83, 3)&amp;"-"&amp;IF(ISNUMBER(Teachers!D83),"G"&amp;Teachers!D83,Teachers!D83)&amp;"-"&amp;"2026"</f>
        <v>CID-NWF----2026</v>
      </c>
      <c r="B78" s="48" t="b">
        <f>IF(Teachers!A83&gt;0,"topscorewriting.instructure.com")</f>
        <v>0</v>
      </c>
      <c r="C78" s="48" t="str">
        <f>Users!A78</f>
        <v>UID-NWF---2026</v>
      </c>
      <c r="D78" s="48" t="str">
        <f t="shared" si="1"/>
        <v>Teacher</v>
      </c>
      <c r="G78" s="48" t="b">
        <f>IF(Teachers!B83&gt;0,"active")</f>
        <v>0</v>
      </c>
    </row>
    <row r="79" spans="1:7" x14ac:dyDescent="0.2">
      <c r="A7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","#",3))+1,1)&amp;"-"&amp;LEFT(Teachers!B84, 3)&amp;"-"&amp;LEFT(Teachers!A84, 3)&amp;"-"&amp;IF(ISNUMBER(Teachers!D84),"G"&amp;Teachers!D84,Teachers!D84)&amp;"-"&amp;"2026"</f>
        <v>CID-NWF----2026</v>
      </c>
      <c r="B79" s="48" t="b">
        <f>IF(Teachers!A84&gt;0,"topscorewriting.instructure.com")</f>
        <v>0</v>
      </c>
      <c r="C79" s="48" t="str">
        <f>Users!A79</f>
        <v>UID-NWF---2026</v>
      </c>
      <c r="D79" s="48" t="str">
        <f t="shared" si="1"/>
        <v>Teacher</v>
      </c>
      <c r="G79" s="48" t="b">
        <f>IF(Teachers!B84&gt;0,"active")</f>
        <v>0</v>
      </c>
    </row>
    <row r="80" spans="1:7" x14ac:dyDescent="0.2">
      <c r="A8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","#",3))+1,1)&amp;"-"&amp;LEFT(Teachers!B85, 3)&amp;"-"&amp;LEFT(Teachers!A85, 3)&amp;"-"&amp;IF(ISNUMBER(Teachers!D85),"G"&amp;Teachers!D85,Teachers!D85)&amp;"-"&amp;"2026"</f>
        <v>CID-NWF----2026</v>
      </c>
      <c r="B80" s="48" t="b">
        <f>IF(Teachers!A85&gt;0,"topscorewriting.instructure.com")</f>
        <v>0</v>
      </c>
      <c r="C80" s="48" t="str">
        <f>Users!A80</f>
        <v>UID-NWF---2026</v>
      </c>
      <c r="D80" s="48" t="str">
        <f t="shared" si="1"/>
        <v>Teacher</v>
      </c>
      <c r="G80" s="48" t="b">
        <f>IF(Teachers!B85&gt;0,"active")</f>
        <v>0</v>
      </c>
    </row>
    <row r="81" spans="1:7" x14ac:dyDescent="0.2">
      <c r="A8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","#",3))+1,1)&amp;"-"&amp;LEFT(Teachers!B86, 3)&amp;"-"&amp;LEFT(Teachers!A86, 3)&amp;"-"&amp;IF(ISNUMBER(Teachers!D86),"G"&amp;Teachers!D86,Teachers!D86)&amp;"-"&amp;"2026"</f>
        <v>CID-NWF----2026</v>
      </c>
      <c r="B81" s="48" t="b">
        <f>IF(Teachers!A86&gt;0,"topscorewriting.instructure.com")</f>
        <v>0</v>
      </c>
      <c r="C81" s="48" t="str">
        <f>Users!A81</f>
        <v>UID-NWF---2026</v>
      </c>
      <c r="D81" s="48" t="str">
        <f t="shared" si="1"/>
        <v>Teacher</v>
      </c>
      <c r="G81" s="48" t="b">
        <f>IF(Teachers!B86&gt;0,"active")</f>
        <v>0</v>
      </c>
    </row>
    <row r="82" spans="1:7" x14ac:dyDescent="0.2">
      <c r="A8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","#",3))+1,1)&amp;"-"&amp;LEFT(Teachers!B87, 3)&amp;"-"&amp;LEFT(Teachers!A87, 3)&amp;"-"&amp;IF(ISNUMBER(Teachers!D87),"G"&amp;Teachers!D87,Teachers!D87)&amp;"-"&amp;"2026"</f>
        <v>CID-NWF----2026</v>
      </c>
      <c r="B82" s="48" t="b">
        <f>IF(Teachers!A87&gt;0,"topscorewriting.instructure.com")</f>
        <v>0</v>
      </c>
      <c r="C82" s="48" t="str">
        <f>Users!A82</f>
        <v>UID-NWF---2026</v>
      </c>
      <c r="D82" s="48" t="str">
        <f t="shared" si="1"/>
        <v>Teacher</v>
      </c>
      <c r="G82" s="48" t="b">
        <f>IF(Teachers!B87&gt;0,"active")</f>
        <v>0</v>
      </c>
    </row>
    <row r="83" spans="1:7" x14ac:dyDescent="0.2">
      <c r="A8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","#",3))+1,1)&amp;"-"&amp;LEFT(Teachers!B88, 3)&amp;"-"&amp;LEFT(Teachers!A88, 3)&amp;"-"&amp;IF(ISNUMBER(Teachers!D88),"G"&amp;Teachers!D88,Teachers!D88)&amp;"-"&amp;"2026"</f>
        <v>CID-NWF----2026</v>
      </c>
      <c r="B83" s="48" t="b">
        <f>IF(Teachers!A88&gt;0,"topscorewriting.instructure.com")</f>
        <v>0</v>
      </c>
      <c r="C83" s="48" t="str">
        <f>Users!A83</f>
        <v>UID-NWF---2026</v>
      </c>
      <c r="D83" s="48" t="str">
        <f t="shared" si="1"/>
        <v>Teacher</v>
      </c>
      <c r="G83" s="48" t="b">
        <f>IF(Teachers!B88&gt;0,"active")</f>
        <v>0</v>
      </c>
    </row>
    <row r="84" spans="1:7" x14ac:dyDescent="0.2">
      <c r="A8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","#",3))+1,1)&amp;"-"&amp;LEFT(Teachers!B89, 3)&amp;"-"&amp;LEFT(Teachers!A89, 3)&amp;"-"&amp;IF(ISNUMBER(Teachers!D89),"G"&amp;Teachers!D89,Teachers!D89)&amp;"-"&amp;"2026"</f>
        <v>CID-NWF----2026</v>
      </c>
      <c r="B84" s="48" t="b">
        <f>IF(Teachers!A89&gt;0,"topscorewriting.instructure.com")</f>
        <v>0</v>
      </c>
      <c r="C84" s="48" t="str">
        <f>Users!A84</f>
        <v>UID-NWF---2026</v>
      </c>
      <c r="D84" s="48" t="str">
        <f t="shared" si="1"/>
        <v>Teacher</v>
      </c>
      <c r="G84" s="48" t="b">
        <f>IF(Teachers!B89&gt;0,"active")</f>
        <v>0</v>
      </c>
    </row>
    <row r="85" spans="1:7" x14ac:dyDescent="0.2">
      <c r="A8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","#",3))+1,1)&amp;"-"&amp;LEFT(Teachers!B90, 3)&amp;"-"&amp;LEFT(Teachers!A90, 3)&amp;"-"&amp;IF(ISNUMBER(Teachers!D90),"G"&amp;Teachers!D90,Teachers!D90)&amp;"-"&amp;"2026"</f>
        <v>CID-NWF----2026</v>
      </c>
      <c r="B85" s="48" t="b">
        <f>IF(Teachers!A90&gt;0,"topscorewriting.instructure.com")</f>
        <v>0</v>
      </c>
      <c r="C85" s="48" t="str">
        <f>Users!A85</f>
        <v>UID-NWF---2026</v>
      </c>
      <c r="D85" s="48" t="str">
        <f t="shared" si="1"/>
        <v>Teacher</v>
      </c>
      <c r="G85" s="48" t="b">
        <f>IF(Teachers!B90&gt;0,"active")</f>
        <v>0</v>
      </c>
    </row>
    <row r="86" spans="1:7" x14ac:dyDescent="0.2">
      <c r="A8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","#",3))+1,1)&amp;"-"&amp;LEFT(Teachers!B91, 3)&amp;"-"&amp;LEFT(Teachers!A91, 3)&amp;"-"&amp;IF(ISNUMBER(Teachers!D91),"G"&amp;Teachers!D91,Teachers!D91)&amp;"-"&amp;"2026"</f>
        <v>CID-NWF----2026</v>
      </c>
      <c r="B86" s="48" t="b">
        <f>IF(Teachers!A91&gt;0,"topscorewriting.instructure.com")</f>
        <v>0</v>
      </c>
      <c r="C86" s="48" t="str">
        <f>Users!A86</f>
        <v>UID-NWF---2026</v>
      </c>
      <c r="D86" s="48" t="str">
        <f t="shared" si="1"/>
        <v>Teacher</v>
      </c>
      <c r="G86" s="48" t="b">
        <f>IF(Teachers!B91&gt;0,"active")</f>
        <v>0</v>
      </c>
    </row>
    <row r="87" spans="1:7" x14ac:dyDescent="0.2">
      <c r="A8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","#",3))+1,1)&amp;"-"&amp;LEFT(Teachers!B92, 3)&amp;"-"&amp;LEFT(Teachers!A92, 3)&amp;"-"&amp;IF(ISNUMBER(Teachers!D92),"G"&amp;Teachers!D92,Teachers!D92)&amp;"-"&amp;"2026"</f>
        <v>CID-NWF----2026</v>
      </c>
      <c r="B87" s="48" t="b">
        <f>IF(Teachers!A92&gt;0,"topscorewriting.instructure.com")</f>
        <v>0</v>
      </c>
      <c r="C87" s="48" t="str">
        <f>Users!A87</f>
        <v>UID-NWF---2026</v>
      </c>
      <c r="D87" s="48" t="str">
        <f t="shared" si="1"/>
        <v>Teacher</v>
      </c>
      <c r="G87" s="48" t="b">
        <f>IF(Teachers!B92&gt;0,"active")</f>
        <v>0</v>
      </c>
    </row>
    <row r="88" spans="1:7" x14ac:dyDescent="0.2">
      <c r="A8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","#",3))+1,1)&amp;"-"&amp;LEFT(Teachers!B93, 3)&amp;"-"&amp;LEFT(Teachers!A93, 3)&amp;"-"&amp;IF(ISNUMBER(Teachers!D93),"G"&amp;Teachers!D93,Teachers!D93)&amp;"-"&amp;"2026"</f>
        <v>CID-NWF----2026</v>
      </c>
      <c r="B88" s="48" t="b">
        <f>IF(Teachers!A93&gt;0,"topscorewriting.instructure.com")</f>
        <v>0</v>
      </c>
      <c r="C88" s="48" t="str">
        <f>Users!A88</f>
        <v>UID-NWF---2026</v>
      </c>
      <c r="D88" s="48" t="str">
        <f t="shared" si="1"/>
        <v>Teacher</v>
      </c>
      <c r="G88" s="48" t="b">
        <f>IF(Teachers!B93&gt;0,"active")</f>
        <v>0</v>
      </c>
    </row>
    <row r="89" spans="1:7" x14ac:dyDescent="0.2">
      <c r="A8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","#",3))+1,1)&amp;"-"&amp;LEFT(Teachers!B94, 3)&amp;"-"&amp;LEFT(Teachers!A94, 3)&amp;"-"&amp;IF(ISNUMBER(Teachers!D94),"G"&amp;Teachers!D94,Teachers!D94)&amp;"-"&amp;"2026"</f>
        <v>CID-NWF----2026</v>
      </c>
      <c r="B89" s="48" t="b">
        <f>IF(Teachers!A94&gt;0,"topscorewriting.instructure.com")</f>
        <v>0</v>
      </c>
      <c r="C89" s="48" t="str">
        <f>Users!A89</f>
        <v>UID-NWF---2026</v>
      </c>
      <c r="D89" s="48" t="str">
        <f t="shared" si="1"/>
        <v>Teacher</v>
      </c>
      <c r="G89" s="48" t="b">
        <f>IF(Teachers!B94&gt;0,"active")</f>
        <v>0</v>
      </c>
    </row>
    <row r="90" spans="1:7" x14ac:dyDescent="0.2">
      <c r="A9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","#",3))+1,1)&amp;"-"&amp;LEFT(Teachers!B95, 3)&amp;"-"&amp;LEFT(Teachers!A95, 3)&amp;"-"&amp;IF(ISNUMBER(Teachers!D95),"G"&amp;Teachers!D95,Teachers!D95)&amp;"-"&amp;"2026"</f>
        <v>CID-NWF----2026</v>
      </c>
      <c r="B90" s="48" t="b">
        <f>IF(Teachers!A95&gt;0,"topscorewriting.instructure.com")</f>
        <v>0</v>
      </c>
      <c r="C90" s="48" t="str">
        <f>Users!A90</f>
        <v>UID-NWF---2026</v>
      </c>
      <c r="D90" s="48" t="str">
        <f t="shared" si="1"/>
        <v>Teacher</v>
      </c>
      <c r="G90" s="48" t="b">
        <f>IF(Teachers!B95&gt;0,"active")</f>
        <v>0</v>
      </c>
    </row>
    <row r="91" spans="1:7" x14ac:dyDescent="0.2">
      <c r="A9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","#",3))+1,1)&amp;"-"&amp;LEFT(Teachers!B96, 3)&amp;"-"&amp;LEFT(Teachers!A96, 3)&amp;"-"&amp;IF(ISNUMBER(Teachers!D96),"G"&amp;Teachers!D96,Teachers!D96)&amp;"-"&amp;"2026"</f>
        <v>CID-NWF----2026</v>
      </c>
      <c r="B91" s="48" t="b">
        <f>IF(Teachers!A96&gt;0,"topscorewriting.instructure.com")</f>
        <v>0</v>
      </c>
      <c r="C91" s="48" t="str">
        <f>Users!A91</f>
        <v>UID-NWF---2026</v>
      </c>
      <c r="D91" s="48" t="str">
        <f t="shared" si="1"/>
        <v>Teacher</v>
      </c>
      <c r="G91" s="48" t="b">
        <f>IF(Teachers!B96&gt;0,"active")</f>
        <v>0</v>
      </c>
    </row>
    <row r="92" spans="1:7" x14ac:dyDescent="0.2">
      <c r="A9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","#",3))+1,1)&amp;"-"&amp;LEFT(Teachers!B97, 3)&amp;"-"&amp;LEFT(Teachers!A97, 3)&amp;"-"&amp;IF(ISNUMBER(Teachers!D97),"G"&amp;Teachers!D97,Teachers!D97)&amp;"-"&amp;"2026"</f>
        <v>CID-NWF----2026</v>
      </c>
      <c r="B92" s="48" t="b">
        <f>IF(Teachers!A97&gt;0,"topscorewriting.instructure.com")</f>
        <v>0</v>
      </c>
      <c r="C92" s="48" t="str">
        <f>Users!A92</f>
        <v>UID-NWF---2026</v>
      </c>
      <c r="D92" s="48" t="str">
        <f t="shared" si="1"/>
        <v>Teacher</v>
      </c>
      <c r="G92" s="48" t="b">
        <f>IF(Teachers!B97&gt;0,"active")</f>
        <v>0</v>
      </c>
    </row>
    <row r="93" spans="1:7" x14ac:dyDescent="0.2">
      <c r="A9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","#",3))+1,1)&amp;"-"&amp;LEFT(Teachers!B98, 3)&amp;"-"&amp;LEFT(Teachers!A98, 3)&amp;"-"&amp;IF(ISNUMBER(Teachers!D98),"G"&amp;Teachers!D98,Teachers!D98)&amp;"-"&amp;"2026"</f>
        <v>CID-NWF----2026</v>
      </c>
      <c r="B93" s="48" t="b">
        <f>IF(Teachers!A98&gt;0,"topscorewriting.instructure.com")</f>
        <v>0</v>
      </c>
      <c r="C93" s="48" t="str">
        <f>Users!A93</f>
        <v>UID-NWF---2026</v>
      </c>
      <c r="D93" s="48" t="str">
        <f t="shared" si="1"/>
        <v>Teacher</v>
      </c>
      <c r="G93" s="48" t="b">
        <f>IF(Teachers!B98&gt;0,"active")</f>
        <v>0</v>
      </c>
    </row>
    <row r="94" spans="1:7" x14ac:dyDescent="0.2">
      <c r="A9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","#",3))+1,1)&amp;"-"&amp;LEFT(Teachers!B99, 3)&amp;"-"&amp;LEFT(Teachers!A99, 3)&amp;"-"&amp;IF(ISNUMBER(Teachers!D99),"G"&amp;Teachers!D99,Teachers!D99)&amp;"-"&amp;"2026"</f>
        <v>CID-NWF----2026</v>
      </c>
      <c r="B94" s="48" t="b">
        <f>IF(Teachers!A99&gt;0,"topscorewriting.instructure.com")</f>
        <v>0</v>
      </c>
      <c r="C94" s="48" t="str">
        <f>Users!A94</f>
        <v>UID-NWF---2026</v>
      </c>
      <c r="D94" s="48" t="str">
        <f t="shared" si="1"/>
        <v>Teacher</v>
      </c>
      <c r="G94" s="48" t="b">
        <f>IF(Teachers!B99&gt;0,"active")</f>
        <v>0</v>
      </c>
    </row>
    <row r="95" spans="1:7" x14ac:dyDescent="0.2">
      <c r="A9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","#",3))+1,1)&amp;"-"&amp;LEFT(Teachers!B100, 3)&amp;"-"&amp;LEFT(Teachers!A100, 3)&amp;"-"&amp;IF(ISNUMBER(Teachers!D100),"G"&amp;Teachers!D100,Teachers!D100)&amp;"-"&amp;"2026"</f>
        <v>CID-NWF----2026</v>
      </c>
      <c r="B95" s="48" t="b">
        <f>IF(Teachers!A100&gt;0,"topscorewriting.instructure.com")</f>
        <v>0</v>
      </c>
      <c r="C95" s="48" t="str">
        <f>Users!A95</f>
        <v>UID-NWF---2026</v>
      </c>
      <c r="D95" s="48" t="str">
        <f t="shared" si="1"/>
        <v>Teacher</v>
      </c>
      <c r="G95" s="48" t="b">
        <f>IF(Teachers!B100&gt;0,"active")</f>
        <v>0</v>
      </c>
    </row>
    <row r="96" spans="1:7" x14ac:dyDescent="0.2">
      <c r="A9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","#",3))+1,1)&amp;"-"&amp;LEFT(Teachers!B101, 3)&amp;"-"&amp;LEFT(Teachers!A101, 3)&amp;"-"&amp;IF(ISNUMBER(Teachers!D101),"G"&amp;Teachers!D101,Teachers!D101)&amp;"-"&amp;"2026"</f>
        <v>CID-NWF----2026</v>
      </c>
      <c r="B96" s="48" t="b">
        <f>IF(Teachers!A101&gt;0,"topscorewriting.instructure.com")</f>
        <v>0</v>
      </c>
      <c r="C96" s="48" t="str">
        <f>Users!A96</f>
        <v>UID-NWF---2026</v>
      </c>
      <c r="D96" s="48" t="str">
        <f t="shared" si="1"/>
        <v>Teacher</v>
      </c>
      <c r="G96" s="48" t="b">
        <f>IF(Teachers!B101&gt;0,"active")</f>
        <v>0</v>
      </c>
    </row>
    <row r="97" spans="1:7" x14ac:dyDescent="0.2">
      <c r="A9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","#",3))+1,1)&amp;"-"&amp;LEFT(Teachers!B102, 3)&amp;"-"&amp;LEFT(Teachers!A102, 3)&amp;"-"&amp;IF(ISNUMBER(Teachers!D102),"G"&amp;Teachers!D102,Teachers!D102)&amp;"-"&amp;"2026"</f>
        <v>CID-NWF----2026</v>
      </c>
      <c r="B97" s="48" t="b">
        <f>IF(Teachers!A102&gt;0,"topscorewriting.instructure.com")</f>
        <v>0</v>
      </c>
      <c r="C97" s="48" t="str">
        <f>Users!A97</f>
        <v>UID-NWF---2026</v>
      </c>
      <c r="D97" s="48" t="str">
        <f t="shared" si="1"/>
        <v>Teacher</v>
      </c>
      <c r="G97" s="48" t="b">
        <f>IF(Teachers!B102&gt;0,"active")</f>
        <v>0</v>
      </c>
    </row>
    <row r="98" spans="1:7" x14ac:dyDescent="0.2">
      <c r="A9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","#",3))+1,1)&amp;"-"&amp;LEFT(Teachers!B103, 3)&amp;"-"&amp;LEFT(Teachers!A103, 3)&amp;"-"&amp;IF(ISNUMBER(Teachers!D103),"G"&amp;Teachers!D103,Teachers!D103)&amp;"-"&amp;"2026"</f>
        <v>CID-NWF----2026</v>
      </c>
      <c r="B98" s="48" t="b">
        <f>IF(Teachers!A103&gt;0,"topscorewriting.instructure.com")</f>
        <v>0</v>
      </c>
      <c r="C98" s="48" t="str">
        <f>Users!A98</f>
        <v>UID-NWF---2026</v>
      </c>
      <c r="D98" s="48" t="str">
        <f t="shared" si="1"/>
        <v>Teacher</v>
      </c>
      <c r="G98" s="48" t="b">
        <f>IF(Teachers!B103&gt;0,"active")</f>
        <v>0</v>
      </c>
    </row>
    <row r="99" spans="1:7" x14ac:dyDescent="0.2">
      <c r="A9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","#",3))+1,1)&amp;"-"&amp;LEFT(Teachers!B104, 3)&amp;"-"&amp;LEFT(Teachers!A104, 3)&amp;"-"&amp;IF(ISNUMBER(Teachers!D104),"G"&amp;Teachers!D104,Teachers!D104)&amp;"-"&amp;"2026"</f>
        <v>CID-NWF----2026</v>
      </c>
      <c r="B99" s="48" t="b">
        <f>IF(Teachers!A104&gt;0,"topscorewriting.instructure.com")</f>
        <v>0</v>
      </c>
      <c r="C99" s="48" t="str">
        <f>Users!A99</f>
        <v>UID-NWF---2026</v>
      </c>
      <c r="D99" s="48" t="str">
        <f t="shared" si="1"/>
        <v>Teacher</v>
      </c>
      <c r="G99" s="48" t="b">
        <f>IF(Teachers!B104&gt;0,"active")</f>
        <v>0</v>
      </c>
    </row>
    <row r="100" spans="1:7" x14ac:dyDescent="0.2">
      <c r="A10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","#",3))+1,1)&amp;"-"&amp;LEFT(Teachers!B105, 3)&amp;"-"&amp;LEFT(Teachers!A105, 3)&amp;"-"&amp;IF(ISNUMBER(Teachers!D105),"G"&amp;Teachers!D105,Teachers!D105)&amp;"-"&amp;"2026"</f>
        <v>CID-NWF----2026</v>
      </c>
      <c r="B100" s="48" t="b">
        <f>IF(Teachers!A105&gt;0,"topscorewriting.instructure.com")</f>
        <v>0</v>
      </c>
      <c r="C100" s="48" t="str">
        <f>Users!A100</f>
        <v>UID-NWF---2026</v>
      </c>
      <c r="D100" s="48" t="str">
        <f t="shared" si="1"/>
        <v>Teacher</v>
      </c>
      <c r="G100" s="48" t="b">
        <f>IF(Teachers!B105&gt;0,"active")</f>
        <v>0</v>
      </c>
    </row>
    <row r="101" spans="1:7" x14ac:dyDescent="0.2">
      <c r="A10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","#",3))+1,1)&amp;"-"&amp;LEFT(Teachers!B106, 3)&amp;"-"&amp;LEFT(Teachers!A106, 3)&amp;"-"&amp;IF(ISNUMBER(Teachers!D106),"G"&amp;Teachers!D106,Teachers!D106)&amp;"-"&amp;"2026"</f>
        <v>CID-NWF----2026</v>
      </c>
      <c r="B101" s="48" t="b">
        <f>IF(Teachers!A106&gt;0,"topscorewriting.instructure.com")</f>
        <v>0</v>
      </c>
      <c r="C101" s="48" t="str">
        <f>Users!A101</f>
        <v>UID-NWF---2026</v>
      </c>
      <c r="D101" s="48" t="str">
        <f t="shared" si="1"/>
        <v>Teacher</v>
      </c>
      <c r="G101" s="48" t="b">
        <f>IF(Teachers!B106&gt;0,"active")</f>
        <v>0</v>
      </c>
    </row>
    <row r="102" spans="1:7" x14ac:dyDescent="0.2">
      <c r="A10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","#",3))+1,1)&amp;"-"&amp;LEFT(Teachers!B107, 3)&amp;"-"&amp;LEFT(Teachers!A107, 3)&amp;"-"&amp;IF(ISNUMBER(Teachers!D107),"G"&amp;Teachers!D107,Teachers!D107)&amp;"-"&amp;"2026"</f>
        <v>CID-NWF----2026</v>
      </c>
      <c r="B102" s="48" t="b">
        <f>IF(Teachers!A107&gt;0,"topscorewriting.instructure.com")</f>
        <v>0</v>
      </c>
      <c r="C102" s="48" t="str">
        <f>Users!A102</f>
        <v>UID-NWF---2026</v>
      </c>
      <c r="D102" s="48" t="str">
        <f t="shared" si="1"/>
        <v>Teacher</v>
      </c>
      <c r="G102" s="48" t="b">
        <f>IF(Teachers!B107&gt;0,"active")</f>
        <v>0</v>
      </c>
    </row>
    <row r="103" spans="1:7" x14ac:dyDescent="0.2">
      <c r="A10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","#",3))+1,1)&amp;"-"&amp;LEFT(Teachers!B108, 3)&amp;"-"&amp;LEFT(Teachers!A108, 3)&amp;"-"&amp;IF(ISNUMBER(Teachers!D108),"G"&amp;Teachers!D108,Teachers!D108)&amp;"-"&amp;"2026"</f>
        <v>CID-NWF----2026</v>
      </c>
      <c r="B103" s="48" t="b">
        <f>IF(Teachers!A108&gt;0,"topscorewriting.instructure.com")</f>
        <v>0</v>
      </c>
      <c r="C103" s="48" t="str">
        <f>Users!A103</f>
        <v>UID-NWF---2026</v>
      </c>
      <c r="D103" s="48" t="str">
        <f t="shared" si="1"/>
        <v>Teacher</v>
      </c>
      <c r="G103" s="48" t="b">
        <f>IF(Teachers!B108&gt;0,"active")</f>
        <v>0</v>
      </c>
    </row>
    <row r="104" spans="1:7" x14ac:dyDescent="0.2">
      <c r="A10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","#",3))+1,1)&amp;"-"&amp;LEFT(Teachers!B109, 3)&amp;"-"&amp;LEFT(Teachers!A109, 3)&amp;"-"&amp;IF(ISNUMBER(Teachers!D109),"G"&amp;Teachers!D109,Teachers!D109)&amp;"-"&amp;"2026"</f>
        <v>CID-NWF----2026</v>
      </c>
      <c r="B104" s="48" t="b">
        <f>IF(Teachers!A109&gt;0,"topscorewriting.instructure.com")</f>
        <v>0</v>
      </c>
      <c r="C104" s="48" t="str">
        <f>Users!A104</f>
        <v>UID-NWF---2026</v>
      </c>
      <c r="D104" s="48" t="str">
        <f t="shared" si="1"/>
        <v>Teacher</v>
      </c>
      <c r="G104" s="48" t="b">
        <f>IF(Teachers!B109&gt;0,"active")</f>
        <v>0</v>
      </c>
    </row>
    <row r="105" spans="1:7" x14ac:dyDescent="0.2">
      <c r="A10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","#",3))+1,1)&amp;"-"&amp;LEFT(Teachers!B110, 3)&amp;"-"&amp;LEFT(Teachers!A110, 3)&amp;"-"&amp;IF(ISNUMBER(Teachers!D110),"G"&amp;Teachers!D110,Teachers!D110)&amp;"-"&amp;"2026"</f>
        <v>CID-NWF----2026</v>
      </c>
      <c r="B105" s="48" t="b">
        <f>IF(Teachers!A110&gt;0,"topscorewriting.instructure.com")</f>
        <v>0</v>
      </c>
      <c r="C105" s="48" t="str">
        <f>Users!A105</f>
        <v>UID-NWF---2026</v>
      </c>
      <c r="D105" s="48" t="str">
        <f t="shared" si="1"/>
        <v>Teacher</v>
      </c>
      <c r="G105" s="48" t="b">
        <f>IF(Teachers!B110&gt;0,"active")</f>
        <v>0</v>
      </c>
    </row>
    <row r="106" spans="1:7" x14ac:dyDescent="0.2">
      <c r="A10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","#",3))+1,1)&amp;"-"&amp;LEFT(Teachers!B111, 3)&amp;"-"&amp;LEFT(Teachers!A111, 3)&amp;"-"&amp;IF(ISNUMBER(Teachers!D111),"G"&amp;Teachers!D111,Teachers!D111)&amp;"-"&amp;"2026"</f>
        <v>CID-NWF----2026</v>
      </c>
      <c r="B106" s="48" t="b">
        <f>IF(Teachers!A111&gt;0,"topscorewriting.instructure.com")</f>
        <v>0</v>
      </c>
      <c r="C106" s="48" t="str">
        <f>Users!A106</f>
        <v>UID-NWF---2026</v>
      </c>
      <c r="D106" s="48" t="str">
        <f t="shared" si="1"/>
        <v>Teacher</v>
      </c>
      <c r="G106" s="48" t="b">
        <f>IF(Teachers!B111&gt;0,"active")</f>
        <v>0</v>
      </c>
    </row>
    <row r="107" spans="1:7" x14ac:dyDescent="0.2">
      <c r="A10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","#",3))+1,1)&amp;"-"&amp;LEFT(Teachers!B112, 3)&amp;"-"&amp;LEFT(Teachers!A112, 3)&amp;"-"&amp;IF(ISNUMBER(Teachers!D112),"G"&amp;Teachers!D112,Teachers!D112)&amp;"-"&amp;"2026"</f>
        <v>CID-NWF----2026</v>
      </c>
      <c r="B107" s="48" t="b">
        <f>IF(Teachers!A112&gt;0,"topscorewriting.instructure.com")</f>
        <v>0</v>
      </c>
      <c r="C107" s="48" t="str">
        <f>Users!A107</f>
        <v>UID-NWF---2026</v>
      </c>
      <c r="D107" s="48" t="str">
        <f t="shared" si="1"/>
        <v>Teacher</v>
      </c>
      <c r="G107" s="48" t="b">
        <f>IF(Teachers!B112&gt;0,"active")</f>
        <v>0</v>
      </c>
    </row>
    <row r="108" spans="1:7" x14ac:dyDescent="0.2">
      <c r="A108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","#",3))+1,1)&amp;"-"&amp;LEFT(Teachers!B113, 3)&amp;"-"&amp;LEFT(Teachers!A113, 3)&amp;"-"&amp;IF(ISNUMBER(Teachers!D113),"G"&amp;Teachers!D113,Teachers!D113)&amp;"-"&amp;"2026"</f>
        <v>CID-NWF----2026</v>
      </c>
      <c r="B108" s="48" t="b">
        <f>IF(Teachers!A113&gt;0,"topscorewriting.instructure.com")</f>
        <v>0</v>
      </c>
      <c r="C108" s="48" t="str">
        <f>Users!A108</f>
        <v>UID-NWF---2026</v>
      </c>
      <c r="D108" s="48" t="str">
        <f t="shared" si="1"/>
        <v>Teacher</v>
      </c>
      <c r="G108" s="48" t="b">
        <f>IF(Teachers!B113&gt;0,"active")</f>
        <v>0</v>
      </c>
    </row>
    <row r="109" spans="1:7" x14ac:dyDescent="0.2">
      <c r="A109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","#",3))+1,1)&amp;"-"&amp;LEFT(Teachers!B114, 3)&amp;"-"&amp;LEFT(Teachers!A114, 3)&amp;"-"&amp;IF(ISNUMBER(Teachers!D114),"G"&amp;Teachers!D114,Teachers!D114)&amp;"-"&amp;"2026"</f>
        <v>CID-NWF----2026</v>
      </c>
      <c r="B109" s="48" t="b">
        <f>IF(Teachers!A114&gt;0,"topscorewriting.instructure.com")</f>
        <v>0</v>
      </c>
      <c r="C109" s="48" t="str">
        <f>Users!A109</f>
        <v>UID-NWF---2026</v>
      </c>
      <c r="D109" s="48" t="str">
        <f t="shared" si="1"/>
        <v>Teacher</v>
      </c>
      <c r="G109" s="48" t="b">
        <f>IF(Teachers!B114&gt;0,"active")</f>
        <v>0</v>
      </c>
    </row>
    <row r="110" spans="1:7" x14ac:dyDescent="0.2">
      <c r="A110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","#",3))+1,1)&amp;"-"&amp;LEFT(Teachers!B115, 3)&amp;"-"&amp;LEFT(Teachers!A115, 3)&amp;"-"&amp;IF(ISNUMBER(Teachers!D115),"G"&amp;Teachers!D115,Teachers!D115)&amp;"-"&amp;"2026"</f>
        <v>CID-NWF----2026</v>
      </c>
      <c r="B110" s="48" t="b">
        <f>IF(Teachers!A115&gt;0,"topscorewriting.instructure.com")</f>
        <v>0</v>
      </c>
      <c r="C110" s="48" t="str">
        <f>Users!A110</f>
        <v>UID-NWF---2026</v>
      </c>
      <c r="D110" s="48" t="str">
        <f t="shared" si="1"/>
        <v>Teacher</v>
      </c>
      <c r="G110" s="48" t="b">
        <f>IF(Teachers!B115&gt;0,"active")</f>
        <v>0</v>
      </c>
    </row>
    <row r="111" spans="1:7" x14ac:dyDescent="0.2">
      <c r="A111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","#",3))+1,1)&amp;"-"&amp;LEFT(Teachers!B116, 3)&amp;"-"&amp;LEFT(Teachers!A116, 3)&amp;"-"&amp;IF(ISNUMBER(Teachers!D116),"G"&amp;Teachers!D116,Teachers!D116)&amp;"-"&amp;"2026n"</f>
        <v>CID-NWF----2026n</v>
      </c>
      <c r="B111" s="48" t="b">
        <f>IF(Teachers!A116&gt;0,"topscorewriting.instructure.com")</f>
        <v>0</v>
      </c>
      <c r="C111" s="48" t="str">
        <f>Users!A111</f>
        <v>UID-NWF---2026</v>
      </c>
      <c r="D111" s="48" t="str">
        <f t="shared" si="1"/>
        <v>Teacher</v>
      </c>
      <c r="G111" s="48" t="b">
        <f>IF(Teachers!B116&gt;0,"active")</f>
        <v>0</v>
      </c>
    </row>
    <row r="112" spans="1:7" x14ac:dyDescent="0.2">
      <c r="A112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","#",3))+1,1)&amp;"-"&amp;LEFT(Teachers!B117, 3)&amp;"-"&amp;LEFT(Teachers!A117, 3)&amp;"-"&amp;IF(ISNUMBER(Teachers!D117),"G"&amp;Teachers!D117,Teachers!D117)&amp;"-"&amp;"2026n"</f>
        <v>CID-NWF----2026n</v>
      </c>
      <c r="B112" s="48" t="b">
        <f>IF(Teachers!A117&gt;0,"topscorewriting.instructure.com")</f>
        <v>0</v>
      </c>
      <c r="C112" s="48" t="str">
        <f>Users!A112</f>
        <v>UID-NWF---2026</v>
      </c>
      <c r="D112" s="48" t="str">
        <f t="shared" si="1"/>
        <v>Teacher</v>
      </c>
      <c r="G112" s="48" t="b">
        <f>IF(Teachers!B117&gt;0,"active")</f>
        <v>0</v>
      </c>
    </row>
    <row r="113" spans="1:7" x14ac:dyDescent="0.2">
      <c r="A113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","#",3))+1,1)&amp;"-"&amp;LEFT(Teachers!B118, 3)&amp;"-"&amp;LEFT(Teachers!A118, 3)&amp;"-"&amp;IF(ISNUMBER(Teachers!D118),"G"&amp;Teachers!D118,Teachers!D118)&amp;"-"&amp;"2026n"</f>
        <v>CID-NWF----2026n</v>
      </c>
      <c r="B113" s="48" t="b">
        <f>IF(Teachers!A118&gt;0,"topscorewriting.instructure.com")</f>
        <v>0</v>
      </c>
      <c r="C113" s="48" t="str">
        <f>Users!A113</f>
        <v>UID-NWF---2026</v>
      </c>
      <c r="D113" s="48" t="str">
        <f t="shared" si="1"/>
        <v>Teacher</v>
      </c>
      <c r="G113" s="48" t="b">
        <f>IF(Teachers!B118&gt;0,"active")</f>
        <v>0</v>
      </c>
    </row>
    <row r="114" spans="1:7" x14ac:dyDescent="0.2">
      <c r="A114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","#",3))+1,1)&amp;"-"&amp;LEFT(Teachers!B119, 3)&amp;"-"&amp;LEFT(Teachers!A119, 3)&amp;"-"&amp;IF(ISNUMBER(Teachers!D119),"G"&amp;Teachers!D119,Teachers!D119)&amp;"-"&amp;"2026n"</f>
        <v>CID-NWF----2026n</v>
      </c>
      <c r="B114" s="48" t="b">
        <f>IF(Teachers!A119&gt;0,"topscorewriting.instructure.com")</f>
        <v>0</v>
      </c>
      <c r="C114" s="48" t="str">
        <f>Users!A114</f>
        <v>UID-NWF---2026</v>
      </c>
      <c r="D114" s="48" t="str">
        <f t="shared" si="1"/>
        <v>Teacher</v>
      </c>
      <c r="G114" s="48" t="b">
        <f>IF(Teachers!B119&gt;0,"active")</f>
        <v>0</v>
      </c>
    </row>
    <row r="115" spans="1:7" x14ac:dyDescent="0.2">
      <c r="A115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","#",3))+1,1)&amp;"-"&amp;LEFT(Teachers!B120, 3)&amp;"-"&amp;LEFT(Teachers!A120, 3)&amp;"-"&amp;IF(ISNUMBER(Teachers!D120),"G"&amp;Teachers!D120,Teachers!D120)&amp;"-"&amp;"2026n"</f>
        <v>CID-NWF----2026n</v>
      </c>
      <c r="B115" s="48" t="b">
        <f>IF(Teachers!A120&gt;0,"topscorewriting.instructure.com")</f>
        <v>0</v>
      </c>
      <c r="C115" s="48" t="str">
        <f>Users!A115</f>
        <v>UID-NWF---2026</v>
      </c>
      <c r="D115" s="48" t="str">
        <f t="shared" si="1"/>
        <v>Teacher</v>
      </c>
      <c r="G115" s="48" t="b">
        <f>IF(Teachers!B120&gt;0,"active")</f>
        <v>0</v>
      </c>
    </row>
    <row r="116" spans="1:7" x14ac:dyDescent="0.2">
      <c r="A116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","#",3))+1,1)&amp;"-"&amp;LEFT(Teachers!B121, 3)&amp;"-"&amp;LEFT(Teachers!A121, 3)&amp;"-"&amp;IF(ISNUMBER(Teachers!D121),"G"&amp;Teachers!D121,Teachers!D121)&amp;"-"&amp;"2026n"</f>
        <v>CID-NWF----2026n</v>
      </c>
      <c r="B116" s="48" t="b">
        <f>IF(Teachers!A121&gt;0,"topscorewriting.instructure.com")</f>
        <v>0</v>
      </c>
      <c r="C116" s="48" t="str">
        <f>Users!A116</f>
        <v>UID-NWF---2026</v>
      </c>
      <c r="D116" s="48" t="str">
        <f t="shared" si="1"/>
        <v>Teacher</v>
      </c>
      <c r="G116" s="48" t="b">
        <f>IF(Teachers!B121&gt;0,"active")</f>
        <v>0</v>
      </c>
    </row>
    <row r="117" spans="1:7" x14ac:dyDescent="0.2">
      <c r="A117" s="48" t="str">
        <f>Teachers!$K$2&amp; (LEFT(Teachers!$B$4)&amp;MID(Teachers!$B$4,FIND("#",SUBSTITUTE(Teachers!$B$4&amp;" "," ","#",1))+1,1)&amp;MID(Teachers!$B$4,FIND("#",SUBSTITUTE(Teachers!$B$4&amp;" "," ","#",2))+1,1))&amp;MID(Teachers!$B$4,FIND("#",SUBSTITUTE(Teachers!$B$4&amp;" "," ","#",3))+1,1)&amp;"-"&amp;LEFT(Teachers!B122, 3)&amp;"-"&amp;LEFT(Teachers!A122, 3)&amp;"-"&amp;IF(ISNUMBER(Teachers!D122),"G"&amp;Teachers!D122,Teachers!D122)&amp;"-"&amp;"2026n"</f>
        <v>CID-NWF----2026n</v>
      </c>
      <c r="B117" s="48" t="b">
        <f>IF(Teachers!A122&gt;0,"topscorewriting.instructure.com")</f>
        <v>0</v>
      </c>
      <c r="C117" s="48" t="str">
        <f>Users!A117</f>
        <v>UID-NWF---2026</v>
      </c>
      <c r="D117" s="48" t="str">
        <f t="shared" si="1"/>
        <v>Teacher</v>
      </c>
      <c r="G117" s="48" t="b">
        <f>IF(Teachers!B122&gt;0,"active")</f>
        <v>0</v>
      </c>
    </row>
  </sheetData>
  <conditionalFormatting sqref="G1:G1048576">
    <cfRule type="cellIs" dxfId="0" priority="1" operator="equal">
      <formula>"active"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Email</vt:lpstr>
      <vt:lpstr>Courses Legend</vt:lpstr>
      <vt:lpstr>Teachers</vt:lpstr>
      <vt:lpstr>Users</vt:lpstr>
      <vt:lpstr>Courses</vt:lpstr>
      <vt:lpstr>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Charlene Gillego</cp:lastModifiedBy>
  <dcterms:created xsi:type="dcterms:W3CDTF">2017-08-08T16:53:12Z</dcterms:created>
  <dcterms:modified xsi:type="dcterms:W3CDTF">2026-06-22T17:06:05Z</dcterms:modified>
</cp:coreProperties>
</file>