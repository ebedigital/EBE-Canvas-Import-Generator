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charlenegillego/The MAGS Group Dropbox/Top Score/Top Score Implimentation/Digital 26-27/"/>
    </mc:Choice>
  </mc:AlternateContent>
  <xr:revisionPtr revIDLastSave="0" documentId="13_ncr:1_{3E2919B5-450E-3D4B-A3DD-318580B7560F}" xr6:coauthVersionLast="47" xr6:coauthVersionMax="47" xr10:uidLastSave="{00000000-0000-0000-0000-000000000000}"/>
  <bookViews>
    <workbookView xWindow="2740" yWindow="1100" windowWidth="28800" windowHeight="16300" activeTab="2" xr2:uid="{6F10935E-8988-4396-AFC3-051F5F2A6B15}"/>
  </bookViews>
  <sheets>
    <sheet name="Sample Email" sheetId="9" state="hidden" r:id="rId1"/>
    <sheet name="Courses Legend" sheetId="7" state="hidden" r:id="rId2"/>
    <sheet name="Educator" sheetId="3" r:id="rId3"/>
    <sheet name="Users" sheetId="12" r:id="rId4"/>
    <sheet name="Courses" sheetId="10" r:id="rId5"/>
    <sheet name="Enrollment" sheetId="11" r:id="rId6"/>
  </sheets>
  <definedNames>
    <definedName name="_xlnm._FilterDatabase" localSheetId="4" hidden="1">Courses!$A$1:$A$623</definedName>
    <definedName name="_xlnm._FilterDatabase" localSheetId="2" hidden="1">Educator!$A$6:$K$239</definedName>
    <definedName name="_xlnm._FilterDatabase" localSheetId="3" hidden="1">Users!$A$1:$K$649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0" l="1"/>
  <c r="G649" i="11" l="1"/>
  <c r="G648" i="11"/>
  <c r="G647" i="11"/>
  <c r="G646" i="11"/>
  <c r="G645" i="11"/>
  <c r="G644" i="11"/>
  <c r="G643" i="11"/>
  <c r="G642" i="11"/>
  <c r="G641" i="11"/>
  <c r="G640" i="11"/>
  <c r="G639" i="11"/>
  <c r="G638" i="11"/>
  <c r="G637" i="11"/>
  <c r="G636" i="11"/>
  <c r="G635" i="11"/>
  <c r="G634" i="11"/>
  <c r="G633" i="11"/>
  <c r="G632" i="11"/>
  <c r="G631" i="11"/>
  <c r="G630" i="11"/>
  <c r="G629" i="11"/>
  <c r="G628" i="11"/>
  <c r="G627" i="11"/>
  <c r="G626" i="11"/>
  <c r="G625" i="11"/>
  <c r="G624" i="11"/>
  <c r="G623" i="11"/>
  <c r="G622" i="11"/>
  <c r="G621" i="11"/>
  <c r="G620" i="11"/>
  <c r="G619" i="11"/>
  <c r="G618" i="11"/>
  <c r="G617" i="11"/>
  <c r="G616" i="11"/>
  <c r="G615" i="11"/>
  <c r="G614" i="11"/>
  <c r="G613" i="11"/>
  <c r="G612" i="11"/>
  <c r="G611" i="11"/>
  <c r="G610" i="11"/>
  <c r="G609" i="11"/>
  <c r="G608" i="11"/>
  <c r="G607" i="11"/>
  <c r="G606" i="11"/>
  <c r="G605" i="11"/>
  <c r="G604" i="11"/>
  <c r="G603" i="11"/>
  <c r="G602" i="11"/>
  <c r="G601" i="11"/>
  <c r="G600" i="11"/>
  <c r="G599" i="11"/>
  <c r="G598" i="11"/>
  <c r="G597" i="11"/>
  <c r="G596" i="11"/>
  <c r="G595" i="11"/>
  <c r="G594" i="11"/>
  <c r="G593" i="11"/>
  <c r="G592" i="11"/>
  <c r="G591" i="11"/>
  <c r="G590" i="11"/>
  <c r="G589" i="11"/>
  <c r="G588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A649" i="11"/>
  <c r="A648" i="11"/>
  <c r="A647" i="11"/>
  <c r="A646" i="11"/>
  <c r="A645" i="11"/>
  <c r="A644" i="11"/>
  <c r="A643" i="11"/>
  <c r="A642" i="11"/>
  <c r="A641" i="11"/>
  <c r="A640" i="11"/>
  <c r="A639" i="11"/>
  <c r="A638" i="11"/>
  <c r="A637" i="11"/>
  <c r="A636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19" i="11"/>
  <c r="A618" i="11"/>
  <c r="A617" i="11"/>
  <c r="A616" i="11"/>
  <c r="A615" i="11"/>
  <c r="A614" i="11"/>
  <c r="A613" i="11"/>
  <c r="A612" i="11"/>
  <c r="A611" i="11"/>
  <c r="A610" i="11"/>
  <c r="A609" i="11"/>
  <c r="A608" i="11"/>
  <c r="A607" i="11"/>
  <c r="A606" i="11"/>
  <c r="A605" i="11"/>
  <c r="A604" i="11"/>
  <c r="A603" i="11"/>
  <c r="A602" i="11"/>
  <c r="A601" i="11"/>
  <c r="A600" i="1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B649" i="10" a="1"/>
  <c r="B649" i="10" s="1"/>
  <c r="B648" i="10" a="1"/>
  <c r="B648" i="10" s="1"/>
  <c r="B647" i="10" a="1"/>
  <c r="B647" i="10" s="1"/>
  <c r="B646" i="10"/>
  <c r="B646" i="10" a="1"/>
  <c r="B645" i="10" a="1"/>
  <c r="B645" i="10" s="1"/>
  <c r="B644" i="10" a="1"/>
  <c r="B644" i="10" s="1"/>
  <c r="B643" i="10"/>
  <c r="B643" i="10" a="1"/>
  <c r="B642" i="10" a="1"/>
  <c r="B642" i="10" s="1"/>
  <c r="B641" i="10" a="1"/>
  <c r="B641" i="10" s="1"/>
  <c r="B640" i="10" a="1"/>
  <c r="B640" i="10" s="1"/>
  <c r="B639" i="10" a="1"/>
  <c r="B639" i="10" s="1"/>
  <c r="B638" i="10"/>
  <c r="B638" i="10" a="1"/>
  <c r="B637" i="10" a="1"/>
  <c r="B637" i="10" s="1"/>
  <c r="B636" i="10" a="1"/>
  <c r="B636" i="10" s="1"/>
  <c r="B635" i="10" a="1"/>
  <c r="B635" i="10" s="1"/>
  <c r="B634" i="10"/>
  <c r="B634" i="10" a="1"/>
  <c r="B633" i="10" a="1"/>
  <c r="B633" i="10" s="1"/>
  <c r="B632" i="10" a="1"/>
  <c r="B632" i="10" s="1"/>
  <c r="B631" i="10" a="1"/>
  <c r="B631" i="10" s="1"/>
  <c r="B630" i="10" a="1"/>
  <c r="B630" i="10" s="1"/>
  <c r="B629" i="10"/>
  <c r="B629" i="10" a="1"/>
  <c r="B628" i="10" a="1"/>
  <c r="B628" i="10" s="1"/>
  <c r="B627" i="10" a="1"/>
  <c r="B627" i="10" s="1"/>
  <c r="B626" i="10" a="1"/>
  <c r="B626" i="10" s="1"/>
  <c r="B625" i="10"/>
  <c r="B625" i="10" a="1"/>
  <c r="B624" i="10" a="1"/>
  <c r="B624" i="10" s="1"/>
  <c r="B623" i="10" a="1"/>
  <c r="B623" i="10" s="1"/>
  <c r="B622" i="10"/>
  <c r="B622" i="10" a="1"/>
  <c r="B621" i="10" a="1"/>
  <c r="B621" i="10" s="1"/>
  <c r="B620" i="10" a="1"/>
  <c r="B620" i="10" s="1"/>
  <c r="B619" i="10" a="1"/>
  <c r="B619" i="10" s="1"/>
  <c r="B618" i="10" a="1"/>
  <c r="B618" i="10" s="1"/>
  <c r="B617" i="10" a="1"/>
  <c r="B617" i="10" s="1"/>
  <c r="B616" i="10" a="1"/>
  <c r="B616" i="10" s="1"/>
  <c r="B615" i="10"/>
  <c r="B615" i="10" a="1"/>
  <c r="B614" i="10" a="1"/>
  <c r="B614" i="10" s="1"/>
  <c r="B613" i="10" a="1"/>
  <c r="B613" i="10" s="1"/>
  <c r="B612" i="10" a="1"/>
  <c r="B612" i="10" s="1"/>
  <c r="B611" i="10"/>
  <c r="B611" i="10" a="1"/>
  <c r="B610" i="10" a="1"/>
  <c r="B610" i="10" s="1"/>
  <c r="B609" i="10" a="1"/>
  <c r="B609" i="10" s="1"/>
  <c r="B608" i="10" a="1"/>
  <c r="B608" i="10" s="1"/>
  <c r="B607" i="10" a="1"/>
  <c r="B607" i="10" s="1"/>
  <c r="B606" i="10"/>
  <c r="B606" i="10" a="1"/>
  <c r="B605" i="10" a="1"/>
  <c r="B605" i="10" s="1"/>
  <c r="B604" i="10" a="1"/>
  <c r="B604" i="10" s="1"/>
  <c r="B603" i="10"/>
  <c r="B603" i="10" a="1"/>
  <c r="B602" i="10"/>
  <c r="B602" i="10" a="1"/>
  <c r="B601" i="10" a="1"/>
  <c r="B601" i="10" s="1"/>
  <c r="B600" i="10" a="1"/>
  <c r="B600" i="10" s="1"/>
  <c r="B599" i="10"/>
  <c r="B599" i="10" a="1"/>
  <c r="B598" i="10" a="1"/>
  <c r="B598" i="10" s="1"/>
  <c r="B597" i="10"/>
  <c r="B597" i="10" a="1"/>
  <c r="B596" i="10" a="1"/>
  <c r="B596" i="10" s="1"/>
  <c r="B595" i="10" a="1"/>
  <c r="B595" i="10" s="1"/>
  <c r="B594" i="10"/>
  <c r="B594" i="10" a="1"/>
  <c r="B593" i="10"/>
  <c r="B593" i="10" a="1"/>
  <c r="B592" i="10" a="1"/>
  <c r="B592" i="10" s="1"/>
  <c r="B591" i="10" a="1"/>
  <c r="B591" i="10" s="1"/>
  <c r="B590" i="10"/>
  <c r="B590" i="10" a="1"/>
  <c r="B589" i="10"/>
  <c r="B589" i="10" a="1"/>
  <c r="B588" i="10" a="1"/>
  <c r="B588" i="10" s="1"/>
  <c r="B587" i="10" a="1"/>
  <c r="B587" i="10" s="1"/>
  <c r="B586" i="10" a="1"/>
  <c r="B586" i="10" s="1"/>
  <c r="B585" i="10" a="1"/>
  <c r="B585" i="10" s="1"/>
  <c r="B584" i="10" a="1"/>
  <c r="B584" i="10" s="1"/>
  <c r="B583" i="10"/>
  <c r="B583" i="10" a="1"/>
  <c r="B582" i="10" a="1"/>
  <c r="B582" i="10" s="1"/>
  <c r="B581" i="10" a="1"/>
  <c r="B581" i="10" s="1"/>
  <c r="B580" i="10" a="1"/>
  <c r="B580" i="10" s="1"/>
  <c r="B579" i="10"/>
  <c r="B579" i="10" a="1"/>
  <c r="B578" i="10" a="1"/>
  <c r="B578" i="10" s="1"/>
  <c r="B577" i="10" a="1"/>
  <c r="B577" i="10" s="1"/>
  <c r="B576" i="10" a="1"/>
  <c r="B576" i="10" s="1"/>
  <c r="B575" i="10" a="1"/>
  <c r="B575" i="10" s="1"/>
  <c r="B574" i="10"/>
  <c r="B574" i="10" a="1"/>
  <c r="B573" i="10" a="1"/>
  <c r="B573" i="10" s="1"/>
  <c r="B572" i="10" a="1"/>
  <c r="B572" i="10" s="1"/>
  <c r="B571" i="10" a="1"/>
  <c r="B571" i="10" s="1"/>
  <c r="B570" i="10"/>
  <c r="B570" i="10" a="1"/>
  <c r="B569" i="10" a="1"/>
  <c r="B569" i="10" s="1"/>
  <c r="B568" i="10" a="1"/>
  <c r="B568" i="10" s="1"/>
  <c r="B567" i="10"/>
  <c r="B567" i="10" a="1"/>
  <c r="B566" i="10" a="1"/>
  <c r="B566" i="10" s="1"/>
  <c r="B565" i="10"/>
  <c r="B565" i="10" a="1"/>
  <c r="B564" i="10" a="1"/>
  <c r="B564" i="10" s="1"/>
  <c r="B563" i="10" a="1"/>
  <c r="B563" i="10" s="1"/>
  <c r="B562" i="10"/>
  <c r="B562" i="10" a="1"/>
  <c r="B561" i="10"/>
  <c r="B561" i="10" a="1"/>
  <c r="B560" i="10" a="1"/>
  <c r="B560" i="10" s="1"/>
  <c r="B559" i="10" a="1"/>
  <c r="B559" i="10" s="1"/>
  <c r="B558" i="10" a="1"/>
  <c r="B558" i="10" s="1"/>
  <c r="B557" i="10"/>
  <c r="B557" i="10" a="1"/>
  <c r="B556" i="10" a="1"/>
  <c r="B556" i="10" s="1"/>
  <c r="B555" i="10" a="1"/>
  <c r="B555" i="10" s="1"/>
  <c r="B554" i="10" a="1"/>
  <c r="B554" i="10" s="1"/>
  <c r="B553" i="10" a="1"/>
  <c r="B553" i="10" s="1"/>
  <c r="B552" i="10" a="1"/>
  <c r="B552" i="10" s="1"/>
  <c r="B551" i="10"/>
  <c r="B551" i="10" a="1"/>
  <c r="B550" i="10" a="1"/>
  <c r="B550" i="10" s="1"/>
  <c r="B549" i="10"/>
  <c r="B549" i="10" a="1"/>
  <c r="B548" i="10" a="1"/>
  <c r="B548" i="10" s="1"/>
  <c r="B547" i="10"/>
  <c r="B547" i="10" a="1"/>
  <c r="B546" i="10" a="1"/>
  <c r="B546" i="10" s="1"/>
  <c r="B545" i="10" a="1"/>
  <c r="B545" i="10" s="1"/>
  <c r="B544" i="10" a="1"/>
  <c r="B544" i="10" s="1"/>
  <c r="B543" i="10" a="1"/>
  <c r="B543" i="10" s="1"/>
  <c r="B542" i="10"/>
  <c r="B542" i="10" a="1"/>
  <c r="B541" i="10" a="1"/>
  <c r="B541" i="10" s="1"/>
  <c r="B540" i="10" a="1"/>
  <c r="B540" i="10" s="1"/>
  <c r="B539" i="10"/>
  <c r="B539" i="10" a="1"/>
  <c r="B538" i="10"/>
  <c r="B538" i="10" a="1"/>
  <c r="B537" i="10" a="1"/>
  <c r="B537" i="10" s="1"/>
  <c r="B536" i="10" a="1"/>
  <c r="B536" i="10" s="1"/>
  <c r="B535" i="10"/>
  <c r="B535" i="10" a="1"/>
  <c r="B534" i="10"/>
  <c r="B534" i="10" a="1"/>
  <c r="B533" i="10"/>
  <c r="B533" i="10" a="1"/>
  <c r="B532" i="10" a="1"/>
  <c r="B532" i="10" s="1"/>
  <c r="B531" i="10" a="1"/>
  <c r="B531" i="10" s="1"/>
  <c r="B530" i="10"/>
  <c r="B530" i="10" a="1"/>
  <c r="B529" i="10"/>
  <c r="B529" i="10" a="1"/>
  <c r="B528" i="10" a="1"/>
  <c r="B528" i="10" s="1"/>
  <c r="B527" i="10" a="1"/>
  <c r="B527" i="10" s="1"/>
  <c r="B526" i="10" a="1"/>
  <c r="B526" i="10" s="1"/>
  <c r="B525" i="10"/>
  <c r="B525" i="10" a="1"/>
  <c r="B524" i="10" a="1"/>
  <c r="B524" i="10" s="1"/>
  <c r="B523" i="10" a="1"/>
  <c r="B523" i="10" s="1"/>
  <c r="B522" i="10" a="1"/>
  <c r="B522" i="10" s="1"/>
  <c r="B521" i="10" a="1"/>
  <c r="B521" i="10" s="1"/>
  <c r="B520" i="10" a="1"/>
  <c r="B520" i="10" s="1"/>
  <c r="B519" i="10"/>
  <c r="B519" i="10" a="1"/>
  <c r="B518" i="10" a="1"/>
  <c r="B518" i="10" s="1"/>
  <c r="B517" i="10" a="1"/>
  <c r="B517" i="10" s="1"/>
  <c r="B516" i="10" a="1"/>
  <c r="B516" i="10" s="1"/>
  <c r="B515" i="10"/>
  <c r="B515" i="10" a="1"/>
  <c r="B514" i="10" a="1"/>
  <c r="B514" i="10" s="1"/>
  <c r="B513" i="10" a="1"/>
  <c r="B513" i="10" s="1"/>
  <c r="B512" i="10" a="1"/>
  <c r="B512" i="10" s="1"/>
  <c r="B511" i="10" a="1"/>
  <c r="B511" i="10" s="1"/>
  <c r="B510" i="10"/>
  <c r="B510" i="10" a="1"/>
  <c r="B509" i="10" a="1"/>
  <c r="B509" i="10" s="1"/>
  <c r="B508" i="10" a="1"/>
  <c r="B508" i="10" s="1"/>
  <c r="B507" i="10"/>
  <c r="B507" i="10" a="1"/>
  <c r="B506" i="10"/>
  <c r="B506" i="10" a="1"/>
  <c r="B505" i="10" a="1"/>
  <c r="B505" i="10" s="1"/>
  <c r="B504" i="10" a="1"/>
  <c r="B504" i="10" s="1"/>
  <c r="B503" i="10" a="1"/>
  <c r="B503" i="10" s="1"/>
  <c r="B502" i="10"/>
  <c r="B502" i="10" a="1"/>
  <c r="B501" i="10"/>
  <c r="B501" i="10" a="1"/>
  <c r="B500" i="10" a="1"/>
  <c r="B500" i="10" s="1"/>
  <c r="B499" i="10" a="1"/>
  <c r="B499" i="10" s="1"/>
  <c r="B498" i="10" a="1"/>
  <c r="B498" i="10" s="1"/>
  <c r="B497" i="10"/>
  <c r="B497" i="10" a="1"/>
  <c r="B496" i="10" a="1"/>
  <c r="B496" i="10" s="1"/>
  <c r="B495" i="10" a="1"/>
  <c r="B495" i="10" s="1"/>
  <c r="B494" i="10" a="1"/>
  <c r="B494" i="10" s="1"/>
  <c r="B493" i="10" a="1"/>
  <c r="B493" i="10" s="1"/>
  <c r="B492" i="10" a="1"/>
  <c r="B492" i="10" s="1"/>
  <c r="B491" i="10" a="1"/>
  <c r="B491" i="10" s="1"/>
  <c r="B490" i="10" a="1"/>
  <c r="B490" i="10" s="1"/>
  <c r="B489" i="10"/>
  <c r="B489" i="10" a="1"/>
  <c r="B488" i="10" a="1"/>
  <c r="B488" i="10" s="1"/>
  <c r="B487" i="10"/>
  <c r="B487" i="10" a="1"/>
  <c r="B486" i="10" a="1"/>
  <c r="B486" i="10" s="1"/>
  <c r="B485" i="10"/>
  <c r="B485" i="10" a="1"/>
  <c r="B484" i="10" a="1"/>
  <c r="B484" i="10" s="1"/>
  <c r="B483" i="10"/>
  <c r="B483" i="10" a="1"/>
  <c r="B482" i="10" a="1"/>
  <c r="B482" i="10" s="1"/>
  <c r="B481" i="10" a="1"/>
  <c r="B481" i="10" s="1"/>
  <c r="B480" i="10" a="1"/>
  <c r="B480" i="10" s="1"/>
  <c r="B479" i="10"/>
  <c r="B479" i="10" a="1"/>
  <c r="B478" i="10"/>
  <c r="B478" i="10" a="1"/>
  <c r="B477" i="10" a="1"/>
  <c r="B477" i="10" s="1"/>
  <c r="B476" i="10" a="1"/>
  <c r="B476" i="10" s="1"/>
  <c r="B475" i="10"/>
  <c r="B475" i="10" a="1"/>
  <c r="B474" i="10"/>
  <c r="B474" i="10" a="1"/>
  <c r="B473" i="10" a="1"/>
  <c r="B473" i="10" s="1"/>
  <c r="B472" i="10" a="1"/>
  <c r="B472" i="10" s="1"/>
  <c r="B471" i="10" a="1"/>
  <c r="B471" i="10" s="1"/>
  <c r="B470" i="10"/>
  <c r="B470" i="10" a="1"/>
  <c r="B469" i="10"/>
  <c r="B469" i="10" a="1"/>
  <c r="B468" i="10" a="1"/>
  <c r="B468" i="10" s="1"/>
  <c r="B467" i="10" a="1"/>
  <c r="B467" i="10" s="1"/>
  <c r="B466" i="10" a="1"/>
  <c r="B466" i="10" s="1"/>
  <c r="B465" i="10"/>
  <c r="B465" i="10" a="1"/>
  <c r="B464" i="10" a="1"/>
  <c r="B464" i="10" s="1"/>
  <c r="B463" i="10" a="1"/>
  <c r="B463" i="10" s="1"/>
  <c r="B462" i="10" a="1"/>
  <c r="B462" i="10" s="1"/>
  <c r="B461" i="10" a="1"/>
  <c r="B461" i="10" s="1"/>
  <c r="B460" i="10" a="1"/>
  <c r="B460" i="10" s="1"/>
  <c r="B459" i="10" a="1"/>
  <c r="B459" i="10" s="1"/>
  <c r="B458" i="10" a="1"/>
  <c r="B458" i="10" s="1"/>
  <c r="B457" i="10" a="1"/>
  <c r="B457" i="10" s="1"/>
  <c r="B456" i="10" a="1"/>
  <c r="B456" i="10" s="1"/>
  <c r="B455" i="10"/>
  <c r="B455" i="10" a="1"/>
  <c r="B454" i="10" a="1"/>
  <c r="B454" i="10" s="1"/>
  <c r="B453" i="10"/>
  <c r="B453" i="10" a="1"/>
  <c r="B452" i="10" a="1"/>
  <c r="B452" i="10" s="1"/>
  <c r="B451" i="10"/>
  <c r="B451" i="10" a="1"/>
  <c r="B450" i="10" a="1"/>
  <c r="B450" i="10" s="1"/>
  <c r="B449" i="10" a="1"/>
  <c r="B449" i="10" s="1"/>
  <c r="B448" i="10" a="1"/>
  <c r="B448" i="10" s="1"/>
  <c r="B447" i="10"/>
  <c r="B447" i="10" a="1"/>
  <c r="B446" i="10"/>
  <c r="B446" i="10" a="1"/>
  <c r="B445" i="10" a="1"/>
  <c r="B445" i="10" s="1"/>
  <c r="B444" i="10" a="1"/>
  <c r="B444" i="10" s="1"/>
  <c r="B443" i="10" a="1"/>
  <c r="B443" i="10" s="1"/>
  <c r="B442" i="10"/>
  <c r="B442" i="10" a="1"/>
  <c r="B441" i="10" a="1"/>
  <c r="B441" i="10" s="1"/>
  <c r="B440" i="10" a="1"/>
  <c r="B440" i="10" s="1"/>
  <c r="B439" i="10" a="1"/>
  <c r="B439" i="10" s="1"/>
  <c r="B438" i="10" a="1"/>
  <c r="B438" i="10" s="1"/>
  <c r="B437" i="10"/>
  <c r="B437" i="10" a="1"/>
  <c r="B436" i="10" a="1"/>
  <c r="B436" i="10" s="1"/>
  <c r="B435" i="10" a="1"/>
  <c r="B435" i="10" s="1"/>
  <c r="B434" i="10" a="1"/>
  <c r="B434" i="10" s="1"/>
  <c r="B433" i="10"/>
  <c r="B433" i="10" a="1"/>
  <c r="B432" i="10" a="1"/>
  <c r="B432" i="10" s="1"/>
  <c r="B431" i="10" a="1"/>
  <c r="B431" i="10" s="1"/>
  <c r="B430" i="10" a="1"/>
  <c r="B430" i="10" s="1"/>
  <c r="B429" i="10" a="1"/>
  <c r="B429" i="10" s="1"/>
  <c r="B428" i="10" a="1"/>
  <c r="B428" i="10" s="1"/>
  <c r="B427" i="10" a="1"/>
  <c r="B427" i="10" s="1"/>
  <c r="B426" i="10" a="1"/>
  <c r="B426" i="10" s="1"/>
  <c r="B425" i="10"/>
  <c r="B425" i="10" a="1"/>
  <c r="B424" i="10" a="1"/>
  <c r="B424" i="10" s="1"/>
  <c r="B423" i="10"/>
  <c r="B423" i="10" a="1"/>
  <c r="B422" i="10" a="1"/>
  <c r="B422" i="10" s="1"/>
  <c r="B421" i="10"/>
  <c r="B421" i="10" a="1"/>
  <c r="B420" i="10" a="1"/>
  <c r="B420" i="10" s="1"/>
  <c r="B419" i="10"/>
  <c r="B419" i="10" a="1"/>
  <c r="B418" i="10" a="1"/>
  <c r="B418" i="10" s="1"/>
  <c r="B417" i="10" a="1"/>
  <c r="B417" i="10" s="1"/>
  <c r="B416" i="10" a="1"/>
  <c r="B416" i="10" s="1"/>
  <c r="B415" i="10"/>
  <c r="B415" i="10" a="1"/>
  <c r="B414" i="10"/>
  <c r="B414" i="10" a="1"/>
  <c r="B413" i="10" a="1"/>
  <c r="B413" i="10" s="1"/>
  <c r="B412" i="10" a="1"/>
  <c r="B412" i="10" s="1"/>
  <c r="B411" i="10" a="1"/>
  <c r="B411" i="10" s="1"/>
  <c r="B410" i="10"/>
  <c r="B410" i="10" a="1"/>
  <c r="B409" i="10" a="1"/>
  <c r="B409" i="10" s="1"/>
  <c r="B408" i="10" a="1"/>
  <c r="B408" i="10" s="1"/>
  <c r="B407" i="10" a="1"/>
  <c r="B407" i="10" s="1"/>
  <c r="B406" i="10" a="1"/>
  <c r="B406" i="10" s="1"/>
  <c r="B405" i="10"/>
  <c r="B405" i="10" a="1"/>
  <c r="B404" i="10" a="1"/>
  <c r="B404" i="10" s="1"/>
  <c r="B403" i="10" a="1"/>
  <c r="B403" i="10" s="1"/>
  <c r="B402" i="10" a="1"/>
  <c r="B402" i="10" s="1"/>
  <c r="B401" i="10"/>
  <c r="B401" i="10" a="1"/>
  <c r="B400" i="10" a="1"/>
  <c r="B400" i="10" s="1"/>
  <c r="B399" i="10" a="1"/>
  <c r="B399" i="10" s="1"/>
  <c r="B398" i="10"/>
  <c r="B398" i="10" a="1"/>
  <c r="B397" i="10" a="1"/>
  <c r="B397" i="10" s="1"/>
  <c r="B396" i="10" a="1"/>
  <c r="B396" i="10" s="1"/>
  <c r="B395" i="10" a="1"/>
  <c r="B395" i="10" s="1"/>
  <c r="B394" i="10" a="1"/>
  <c r="B394" i="10" s="1"/>
  <c r="B393" i="10"/>
  <c r="B393" i="10" a="1"/>
  <c r="B392" i="10" a="1"/>
  <c r="B392" i="10" s="1"/>
  <c r="B391" i="10"/>
  <c r="B391" i="10" a="1"/>
  <c r="B390" i="10" a="1"/>
  <c r="B390" i="10" s="1"/>
  <c r="B389" i="10" a="1"/>
  <c r="B389" i="10" s="1"/>
  <c r="B388" i="10" a="1"/>
  <c r="B388" i="10" s="1"/>
  <c r="B387" i="10"/>
  <c r="B387" i="10" a="1"/>
  <c r="B386" i="10" a="1"/>
  <c r="B386" i="10" s="1"/>
  <c r="B385" i="10" a="1"/>
  <c r="B385" i="10" s="1"/>
  <c r="B384" i="10" a="1"/>
  <c r="B384" i="10" s="1"/>
  <c r="B383" i="10" a="1"/>
  <c r="B383" i="10" s="1"/>
  <c r="B382" i="10"/>
  <c r="B382" i="10" a="1"/>
  <c r="B381" i="10" a="1"/>
  <c r="B381" i="10" s="1"/>
  <c r="B380" i="10" a="1"/>
  <c r="B380" i="10" s="1"/>
  <c r="B379" i="10" a="1"/>
  <c r="B379" i="10" s="1"/>
  <c r="B378" i="10"/>
  <c r="B378" i="10" a="1"/>
  <c r="B377" i="10" a="1"/>
  <c r="B377" i="10" s="1"/>
  <c r="B376" i="10" a="1"/>
  <c r="B376" i="10" s="1"/>
  <c r="B375" i="10" a="1"/>
  <c r="B375" i="10" s="1"/>
  <c r="B374" i="10" a="1"/>
  <c r="B374" i="10" s="1"/>
  <c r="B373" i="10"/>
  <c r="B373" i="10" a="1"/>
  <c r="B372" i="10" a="1"/>
  <c r="B372" i="10" s="1"/>
  <c r="B371" i="10" a="1"/>
  <c r="B371" i="10" s="1"/>
  <c r="B370" i="10" a="1"/>
  <c r="B370" i="10" s="1"/>
  <c r="B369" i="10"/>
  <c r="B369" i="10" a="1"/>
  <c r="B368" i="10" a="1"/>
  <c r="B368" i="10" s="1"/>
  <c r="B367" i="10" a="1"/>
  <c r="B367" i="10" s="1"/>
  <c r="B366" i="10"/>
  <c r="B366" i="10" a="1"/>
  <c r="B365" i="10" a="1"/>
  <c r="B365" i="10" s="1"/>
  <c r="B364" i="10" a="1"/>
  <c r="B364" i="10" s="1"/>
  <c r="B363" i="10" a="1"/>
  <c r="B363" i="10" s="1"/>
  <c r="B362" i="10" a="1"/>
  <c r="B362" i="10" s="1"/>
  <c r="B361" i="10"/>
  <c r="B361" i="10" a="1"/>
  <c r="B360" i="10" a="1"/>
  <c r="B360" i="10" s="1"/>
  <c r="B359" i="10"/>
  <c r="B359" i="10" a="1"/>
  <c r="B358" i="10" a="1"/>
  <c r="B358" i="10" s="1"/>
  <c r="B357" i="10" a="1"/>
  <c r="B357" i="10" s="1"/>
  <c r="B356" i="10" a="1"/>
  <c r="B356" i="10" s="1"/>
  <c r="B355" i="10"/>
  <c r="B355" i="10" a="1"/>
  <c r="B354" i="10" a="1"/>
  <c r="B354" i="10" s="1"/>
  <c r="B353" i="10" a="1"/>
  <c r="B353" i="10" s="1"/>
  <c r="B352" i="10" a="1"/>
  <c r="B352" i="10" s="1"/>
  <c r="B351" i="10" a="1"/>
  <c r="B351" i="10" s="1"/>
  <c r="B350" i="10"/>
  <c r="B350" i="10" a="1"/>
  <c r="B349" i="10" a="1"/>
  <c r="B349" i="10" s="1"/>
  <c r="B348" i="10" a="1"/>
  <c r="B348" i="10" s="1"/>
  <c r="B347" i="10" a="1"/>
  <c r="B347" i="10" s="1"/>
  <c r="B346" i="10"/>
  <c r="B346" i="10" a="1"/>
  <c r="B345" i="10" a="1"/>
  <c r="B345" i="10" s="1"/>
  <c r="B344" i="10" a="1"/>
  <c r="B344" i="10" s="1"/>
  <c r="B343" i="10"/>
  <c r="B343" i="10" a="1"/>
  <c r="B342" i="10" a="1"/>
  <c r="B342" i="10" s="1"/>
  <c r="B341" i="10"/>
  <c r="B341" i="10" a="1"/>
  <c r="B340" i="10" a="1"/>
  <c r="B340" i="10" s="1"/>
  <c r="B339" i="10"/>
  <c r="B339" i="10" a="1"/>
  <c r="B338" i="10" a="1"/>
  <c r="B338" i="10" s="1"/>
  <c r="B337" i="10"/>
  <c r="B337" i="10" a="1"/>
  <c r="B336" i="10" a="1"/>
  <c r="B336" i="10" s="1"/>
  <c r="B335" i="10" a="1"/>
  <c r="B335" i="10" s="1"/>
  <c r="B334" i="10"/>
  <c r="B334" i="10" a="1"/>
  <c r="B333" i="10" a="1"/>
  <c r="B333" i="10" s="1"/>
  <c r="B332" i="10" a="1"/>
  <c r="B332" i="10" s="1"/>
  <c r="B331" i="10" a="1"/>
  <c r="B331" i="10" s="1"/>
  <c r="B330" i="10" a="1"/>
  <c r="B330" i="10" s="1"/>
  <c r="B329" i="10"/>
  <c r="B329" i="10" a="1"/>
  <c r="B328" i="10" a="1"/>
  <c r="B328" i="10" s="1"/>
  <c r="B327" i="10"/>
  <c r="B327" i="10" a="1"/>
  <c r="B326" i="10" a="1"/>
  <c r="B326" i="10" s="1"/>
  <c r="B325" i="10" a="1"/>
  <c r="B325" i="10" s="1"/>
  <c r="B324" i="10" a="1"/>
  <c r="B324" i="10" s="1"/>
  <c r="B323" i="10"/>
  <c r="B323" i="10" a="1"/>
  <c r="B322" i="10" a="1"/>
  <c r="B322" i="10" s="1"/>
  <c r="B321" i="10" a="1"/>
  <c r="B321" i="10" s="1"/>
  <c r="B320" i="10" a="1"/>
  <c r="B320" i="10" s="1"/>
  <c r="B319" i="10"/>
  <c r="B319" i="10" a="1"/>
  <c r="B318" i="10"/>
  <c r="B318" i="10" a="1"/>
  <c r="B317" i="10" a="1"/>
  <c r="B317" i="10" s="1"/>
  <c r="B316" i="10" a="1"/>
  <c r="B316" i="10" s="1"/>
  <c r="B315" i="10" a="1"/>
  <c r="B315" i="10" s="1"/>
  <c r="B314" i="10"/>
  <c r="B314" i="10" a="1"/>
  <c r="B313" i="10" a="1"/>
  <c r="B313" i="10" s="1"/>
  <c r="B312" i="10" a="1"/>
  <c r="B312" i="10" s="1"/>
  <c r="B311" i="10" a="1"/>
  <c r="B311" i="10" s="1"/>
  <c r="B310" i="10" a="1"/>
  <c r="B310" i="10" s="1"/>
  <c r="B309" i="10"/>
  <c r="B309" i="10" a="1"/>
  <c r="B308" i="10" a="1"/>
  <c r="B308" i="10" s="1"/>
  <c r="B307" i="10" a="1"/>
  <c r="B307" i="10" s="1"/>
  <c r="B306" i="10" a="1"/>
  <c r="B306" i="10" s="1"/>
  <c r="B305" i="10"/>
  <c r="B305" i="10" a="1"/>
  <c r="B304" i="10" a="1"/>
  <c r="B304" i="10" s="1"/>
  <c r="B303" i="10"/>
  <c r="B303" i="10" a="1"/>
  <c r="B302" i="10" a="1"/>
  <c r="B302" i="10" s="1"/>
  <c r="B301" i="10" a="1"/>
  <c r="B301" i="10" s="1"/>
  <c r="B300" i="10" a="1"/>
  <c r="B300" i="10" s="1"/>
  <c r="B299" i="10"/>
  <c r="B299" i="10" a="1"/>
  <c r="B298" i="10"/>
  <c r="B298" i="10" a="1"/>
  <c r="B297" i="10" a="1"/>
  <c r="B297" i="10" s="1"/>
  <c r="B296" i="10" a="1"/>
  <c r="B296" i="10" s="1"/>
  <c r="B295" i="10" a="1"/>
  <c r="B295" i="10" s="1"/>
  <c r="B294" i="10"/>
  <c r="B294" i="10" a="1"/>
  <c r="B293" i="10" a="1"/>
  <c r="B293" i="10" s="1"/>
  <c r="B292" i="10" a="1"/>
  <c r="B292" i="10" s="1"/>
  <c r="B291" i="10" a="1"/>
  <c r="B291" i="10" s="1"/>
  <c r="B290" i="10" a="1"/>
  <c r="B290" i="10" s="1"/>
  <c r="B289" i="10" a="1"/>
  <c r="B289" i="10" s="1"/>
  <c r="B288" i="10" a="1"/>
  <c r="B288" i="10" s="1"/>
  <c r="B287" i="10"/>
  <c r="B287" i="10" a="1"/>
  <c r="B286" i="10" a="1"/>
  <c r="B286" i="10" s="1"/>
  <c r="B285" i="10" a="1"/>
  <c r="B285" i="10" s="1"/>
  <c r="B284" i="10" a="1"/>
  <c r="B284" i="10" s="1"/>
  <c r="B283" i="10"/>
  <c r="B283" i="10" a="1"/>
  <c r="B282" i="10"/>
  <c r="B282" i="10" a="1"/>
  <c r="B281" i="10" a="1"/>
  <c r="B281" i="10" s="1"/>
  <c r="B280" i="10" a="1"/>
  <c r="B280" i="10" s="1"/>
  <c r="B279" i="10" a="1"/>
  <c r="B279" i="10" s="1"/>
  <c r="B278" i="10"/>
  <c r="B278" i="10" a="1"/>
  <c r="B277" i="10" a="1"/>
  <c r="B277" i="10" s="1"/>
  <c r="B276" i="10" a="1"/>
  <c r="B276" i="10" s="1"/>
  <c r="B275" i="10" a="1"/>
  <c r="B275" i="10" s="1"/>
  <c r="B274" i="10" a="1"/>
  <c r="B274" i="10" s="1"/>
  <c r="B273" i="10" a="1"/>
  <c r="B273" i="10" s="1"/>
  <c r="B272" i="10" a="1"/>
  <c r="B272" i="10" s="1"/>
  <c r="B271" i="10"/>
  <c r="B271" i="10" a="1"/>
  <c r="B270" i="10" a="1"/>
  <c r="B270" i="10" s="1"/>
  <c r="B269" i="10" a="1"/>
  <c r="B269" i="10" s="1"/>
  <c r="B268" i="10" a="1"/>
  <c r="B268" i="10" s="1"/>
  <c r="B267" i="10"/>
  <c r="B267" i="10" a="1"/>
  <c r="B266" i="10"/>
  <c r="B266" i="10" a="1"/>
  <c r="B265" i="10" a="1"/>
  <c r="B265" i="10" s="1"/>
  <c r="B264" i="10" a="1"/>
  <c r="B264" i="10" s="1"/>
  <c r="B263" i="10" a="1"/>
  <c r="B263" i="10" s="1"/>
  <c r="B262" i="10"/>
  <c r="B262" i="10" a="1"/>
  <c r="B261" i="10" a="1"/>
  <c r="B261" i="10" s="1"/>
  <c r="B260" i="10" a="1"/>
  <c r="B260" i="10" s="1"/>
  <c r="B259" i="10" a="1"/>
  <c r="B259" i="10" s="1"/>
  <c r="B258" i="10" a="1"/>
  <c r="B258" i="10" s="1"/>
  <c r="B257" i="10" a="1"/>
  <c r="B257" i="10" s="1"/>
  <c r="B256" i="10" a="1"/>
  <c r="B256" i="10" s="1"/>
  <c r="B255" i="10"/>
  <c r="B255" i="10" a="1"/>
  <c r="B254" i="10" a="1"/>
  <c r="B254" i="10" s="1"/>
  <c r="B253" i="10" a="1"/>
  <c r="B253" i="10" s="1"/>
  <c r="B252" i="10" a="1"/>
  <c r="B252" i="10" s="1"/>
  <c r="B251" i="10" a="1"/>
  <c r="B251" i="10" s="1"/>
  <c r="B250" i="10"/>
  <c r="B250" i="10" a="1"/>
  <c r="B249" i="10" a="1"/>
  <c r="B249" i="10" s="1"/>
  <c r="B248" i="10" a="1"/>
  <c r="B248" i="10" s="1"/>
  <c r="B247" i="10" a="1"/>
  <c r="B247" i="10" s="1"/>
  <c r="B246" i="10" a="1"/>
  <c r="B246" i="10" s="1"/>
  <c r="B245" i="10" a="1"/>
  <c r="B245" i="10" s="1"/>
  <c r="B244" i="10" a="1"/>
  <c r="B244" i="10" s="1"/>
  <c r="B243" i="10" a="1"/>
  <c r="B243" i="10" s="1"/>
  <c r="B242" i="10" a="1"/>
  <c r="B242" i="10" s="1"/>
  <c r="B241" i="10" a="1"/>
  <c r="B241" i="10" s="1"/>
  <c r="B240" i="10" a="1"/>
  <c r="B240" i="10" s="1"/>
  <c r="B239" i="10"/>
  <c r="B239" i="10" a="1"/>
  <c r="B238" i="10" a="1"/>
  <c r="B238" i="10" s="1"/>
  <c r="B237" i="10" a="1"/>
  <c r="B237" i="10" s="1"/>
  <c r="B236" i="10" a="1"/>
  <c r="B236" i="10" s="1"/>
  <c r="B235" i="10" a="1"/>
  <c r="B235" i="10" s="1"/>
  <c r="B234" i="10"/>
  <c r="B234" i="10" a="1"/>
  <c r="B233" i="10" a="1"/>
  <c r="B233" i="10" s="1"/>
  <c r="B232" i="10" a="1"/>
  <c r="B232" i="10" s="1"/>
  <c r="B231" i="10" a="1"/>
  <c r="B231" i="10" s="1"/>
  <c r="B230" i="10" a="1"/>
  <c r="B230" i="10" s="1"/>
  <c r="B229" i="10" a="1"/>
  <c r="B229" i="10" s="1"/>
  <c r="B228" i="10" a="1"/>
  <c r="B228" i="10" s="1"/>
  <c r="B227" i="10" a="1"/>
  <c r="B227" i="10" s="1"/>
  <c r="B226" i="10" a="1"/>
  <c r="B226" i="10" s="1"/>
  <c r="B225" i="10" a="1"/>
  <c r="B225" i="10" s="1"/>
  <c r="B224" i="10" a="1"/>
  <c r="B224" i="10" s="1"/>
  <c r="B223" i="10"/>
  <c r="B223" i="10" a="1"/>
  <c r="B222" i="10" a="1"/>
  <c r="B222" i="10" s="1"/>
  <c r="B221" i="10" a="1"/>
  <c r="B221" i="10" s="1"/>
  <c r="B220" i="10" a="1"/>
  <c r="B220" i="10" s="1"/>
  <c r="B219" i="10" a="1"/>
  <c r="B219" i="10" s="1"/>
  <c r="B218" i="10"/>
  <c r="B218" i="10" a="1"/>
  <c r="B217" i="10" a="1"/>
  <c r="B217" i="10" s="1"/>
  <c r="B216" i="10" a="1"/>
  <c r="B216" i="10" s="1"/>
  <c r="B215" i="10" a="1"/>
  <c r="B215" i="10" s="1"/>
  <c r="B214" i="10" a="1"/>
  <c r="B214" i="10" s="1"/>
  <c r="B213" i="10" a="1"/>
  <c r="B213" i="10" s="1"/>
  <c r="B212" i="10" a="1"/>
  <c r="B212" i="10" s="1"/>
  <c r="B211" i="10" a="1"/>
  <c r="B211" i="10" s="1"/>
  <c r="B210" i="10" a="1"/>
  <c r="B210" i="10" s="1"/>
  <c r="B209" i="10" a="1"/>
  <c r="B209" i="10" s="1"/>
  <c r="B208" i="10" a="1"/>
  <c r="B208" i="10" s="1"/>
  <c r="B207" i="10"/>
  <c r="B207" i="10" a="1"/>
  <c r="B206" i="10" a="1"/>
  <c r="B206" i="10" s="1"/>
  <c r="B205" i="10" a="1"/>
  <c r="B205" i="10" s="1"/>
  <c r="B204" i="10" a="1"/>
  <c r="B204" i="10" s="1"/>
  <c r="B203" i="10" a="1"/>
  <c r="B203" i="10" s="1"/>
  <c r="B202" i="10"/>
  <c r="B202" i="10" a="1"/>
  <c r="B201" i="10" a="1"/>
  <c r="B201" i="10" s="1"/>
  <c r="B200" i="10" a="1"/>
  <c r="B200" i="10" s="1"/>
  <c r="B199" i="10" a="1"/>
  <c r="B199" i="10" s="1"/>
  <c r="B198" i="10" a="1"/>
  <c r="B198" i="10" s="1"/>
  <c r="B197" i="10" a="1"/>
  <c r="B197" i="10" s="1"/>
  <c r="B196" i="10" a="1"/>
  <c r="B196" i="10" s="1"/>
  <c r="B195" i="10" a="1"/>
  <c r="B195" i="10" s="1"/>
  <c r="B194" i="10" a="1"/>
  <c r="B194" i="10" s="1"/>
  <c r="B193" i="10" a="1"/>
  <c r="B193" i="10" s="1"/>
  <c r="B192" i="10" a="1"/>
  <c r="B192" i="10" s="1"/>
  <c r="B191" i="10"/>
  <c r="B191" i="10" a="1"/>
  <c r="B190" i="10" a="1"/>
  <c r="B190" i="10" s="1"/>
  <c r="B189" i="10" a="1"/>
  <c r="B189" i="10" s="1"/>
  <c r="B188" i="10" a="1"/>
  <c r="B188" i="10" s="1"/>
  <c r="B187" i="10" a="1"/>
  <c r="B187" i="10" s="1"/>
  <c r="B186" i="10" a="1"/>
  <c r="B186" i="10" s="1"/>
  <c r="B185" i="10" a="1"/>
  <c r="B185" i="10" s="1"/>
  <c r="B184" i="10" a="1"/>
  <c r="B184" i="10" s="1"/>
  <c r="B183" i="10" a="1"/>
  <c r="B183" i="10" s="1"/>
  <c r="B182" i="10" a="1"/>
  <c r="B182" i="10" s="1"/>
  <c r="B181" i="10" a="1"/>
  <c r="B181" i="10" s="1"/>
  <c r="B180" i="10" a="1"/>
  <c r="B180" i="10" s="1"/>
  <c r="B179" i="10" a="1"/>
  <c r="B179" i="10" s="1"/>
  <c r="B178" i="10" a="1"/>
  <c r="B178" i="10" s="1"/>
  <c r="B177" i="10" a="1"/>
  <c r="B177" i="10" s="1"/>
  <c r="B176" i="10" a="1"/>
  <c r="B176" i="10" s="1"/>
  <c r="B175" i="10"/>
  <c r="B175" i="10" a="1"/>
  <c r="B174" i="10" a="1"/>
  <c r="B174" i="10" s="1"/>
  <c r="B173" i="10" a="1"/>
  <c r="B173" i="10" s="1"/>
  <c r="B172" i="10" a="1"/>
  <c r="B172" i="10" s="1"/>
  <c r="B171" i="10" a="1"/>
  <c r="B171" i="10" s="1"/>
  <c r="B170" i="10"/>
  <c r="B170" i="10" a="1"/>
  <c r="B169" i="10" a="1"/>
  <c r="B169" i="10" s="1"/>
  <c r="B168" i="10" a="1"/>
  <c r="B168" i="10" s="1"/>
  <c r="B167" i="10" a="1"/>
  <c r="B167" i="10" s="1"/>
  <c r="B166" i="10" a="1"/>
  <c r="B166" i="10" s="1"/>
  <c r="B165" i="10" a="1"/>
  <c r="B165" i="10" s="1"/>
  <c r="B164" i="10" a="1"/>
  <c r="B164" i="10" s="1"/>
  <c r="B163" i="10" a="1"/>
  <c r="B163" i="10" s="1"/>
  <c r="B162" i="10" a="1"/>
  <c r="B162" i="10" s="1"/>
  <c r="B161" i="10" a="1"/>
  <c r="B161" i="10" s="1"/>
  <c r="B160" i="10" a="1"/>
  <c r="B160" i="10" s="1"/>
  <c r="B159" i="10"/>
  <c r="B159" i="10" a="1"/>
  <c r="B158" i="10" a="1"/>
  <c r="B158" i="10" s="1"/>
  <c r="B157" i="10" a="1"/>
  <c r="B157" i="10" s="1"/>
  <c r="B156" i="10" a="1"/>
  <c r="B156" i="10" s="1"/>
  <c r="B155" i="10" a="1"/>
  <c r="B155" i="10" s="1"/>
  <c r="B154" i="10"/>
  <c r="B154" i="10" a="1"/>
  <c r="B153" i="10" a="1"/>
  <c r="B153" i="10" s="1"/>
  <c r="B152" i="10" a="1"/>
  <c r="B152" i="10" s="1"/>
  <c r="B151" i="10" a="1"/>
  <c r="B151" i="10" s="1"/>
  <c r="B150" i="10" a="1"/>
  <c r="B150" i="10" s="1"/>
  <c r="B149" i="10" a="1"/>
  <c r="B149" i="10" s="1"/>
  <c r="B148" i="10" a="1"/>
  <c r="B148" i="10" s="1"/>
  <c r="B147" i="10" a="1"/>
  <c r="B147" i="10" s="1"/>
  <c r="B146" i="10" a="1"/>
  <c r="B146" i="10" s="1"/>
  <c r="B145" i="10" a="1"/>
  <c r="B145" i="10" s="1"/>
  <c r="B144" i="10" a="1"/>
  <c r="B144" i="10" s="1"/>
  <c r="B143" i="10"/>
  <c r="B143" i="10" a="1"/>
  <c r="B142" i="10" a="1"/>
  <c r="B142" i="10" s="1"/>
  <c r="B141" i="10" a="1"/>
  <c r="B141" i="10" s="1"/>
  <c r="B140" i="10" a="1"/>
  <c r="B140" i="10" s="1"/>
  <c r="B139" i="10" a="1"/>
  <c r="B139" i="10" s="1"/>
  <c r="B138" i="10"/>
  <c r="B138" i="10" a="1"/>
  <c r="B137" i="10" a="1"/>
  <c r="B137" i="10" s="1"/>
  <c r="B136" i="10" a="1"/>
  <c r="B136" i="10" s="1"/>
  <c r="B135" i="10" a="1"/>
  <c r="B135" i="10" s="1"/>
  <c r="B134" i="10" a="1"/>
  <c r="B134" i="10" s="1"/>
  <c r="B133" i="10" a="1"/>
  <c r="B133" i="10" s="1"/>
  <c r="B132" i="10" a="1"/>
  <c r="B132" i="10" s="1"/>
  <c r="B131" i="10" a="1"/>
  <c r="B131" i="10" s="1"/>
  <c r="B130" i="10" a="1"/>
  <c r="B130" i="10" s="1"/>
  <c r="B129" i="10" a="1"/>
  <c r="B129" i="10" s="1"/>
  <c r="B128" i="10" a="1"/>
  <c r="B128" i="10" s="1"/>
  <c r="B127" i="10"/>
  <c r="B127" i="10" a="1"/>
  <c r="B126" i="10" a="1"/>
  <c r="B126" i="10" s="1"/>
  <c r="B125" i="10" a="1"/>
  <c r="B125" i="10" s="1"/>
  <c r="B124" i="10" a="1"/>
  <c r="B124" i="10" s="1"/>
  <c r="B123" i="10" a="1"/>
  <c r="B123" i="10" s="1"/>
  <c r="B122" i="10"/>
  <c r="B122" i="10" a="1"/>
  <c r="B121" i="10" a="1"/>
  <c r="B121" i="10" s="1"/>
  <c r="B120" i="10" a="1"/>
  <c r="B120" i="10" s="1"/>
  <c r="B119" i="10" a="1"/>
  <c r="B119" i="10" s="1"/>
  <c r="B118" i="10" a="1"/>
  <c r="B118" i="10" s="1"/>
  <c r="B117" i="10" a="1"/>
  <c r="B117" i="10" s="1"/>
  <c r="B116" i="10" a="1"/>
  <c r="B116" i="10" s="1"/>
  <c r="B115" i="10" a="1"/>
  <c r="B115" i="10" s="1"/>
  <c r="B114" i="10" a="1"/>
  <c r="B114" i="10" s="1"/>
  <c r="B113" i="10" a="1"/>
  <c r="B113" i="10" s="1"/>
  <c r="B112" i="10" a="1"/>
  <c r="B112" i="10" s="1"/>
  <c r="B111" i="10"/>
  <c r="B111" i="10" a="1"/>
  <c r="B110" i="10" a="1"/>
  <c r="B110" i="10" s="1"/>
  <c r="B109" i="10" a="1"/>
  <c r="B109" i="10" s="1"/>
  <c r="B108" i="10" a="1"/>
  <c r="B108" i="10" s="1"/>
  <c r="B107" i="10" a="1"/>
  <c r="B107" i="10" s="1"/>
  <c r="B106" i="10"/>
  <c r="B106" i="10" a="1"/>
  <c r="B105" i="10" a="1"/>
  <c r="B105" i="10" s="1"/>
  <c r="B104" i="10" a="1"/>
  <c r="B104" i="10" s="1"/>
  <c r="B103" i="10" a="1"/>
  <c r="B103" i="10" s="1"/>
  <c r="B102" i="10" a="1"/>
  <c r="B102" i="10" s="1"/>
  <c r="B101" i="10" a="1"/>
  <c r="B101" i="10" s="1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/>
  <c r="B95" i="10" a="1"/>
  <c r="B94" i="10" a="1"/>
  <c r="B94" i="10" s="1"/>
  <c r="B93" i="10" a="1"/>
  <c r="B93" i="10" s="1"/>
  <c r="B92" i="10" a="1"/>
  <c r="B92" i="10" s="1"/>
  <c r="B91" i="10" a="1"/>
  <c r="B91" i="10" s="1"/>
  <c r="B90" i="10"/>
  <c r="B90" i="10" a="1"/>
  <c r="B89" i="10" a="1"/>
  <c r="B89" i="10" s="1"/>
  <c r="B88" i="10" a="1"/>
  <c r="B88" i="10" s="1"/>
  <c r="B87" i="10" a="1"/>
  <c r="B87" i="10" s="1"/>
  <c r="B86" i="10"/>
  <c r="B86" i="10" a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/>
  <c r="B76" i="10" a="1"/>
  <c r="B75" i="10" a="1"/>
  <c r="B75" i="10" s="1"/>
  <c r="B74" i="10" a="1"/>
  <c r="B74" i="10" s="1"/>
  <c r="B73" i="10" a="1"/>
  <c r="B73" i="10" s="1"/>
  <c r="B72" i="10"/>
  <c r="B72" i="10" a="1"/>
  <c r="B71" i="10" a="1"/>
  <c r="B71" i="10" s="1"/>
  <c r="B70" i="10" a="1"/>
  <c r="B70" i="10" s="1"/>
  <c r="B69" i="10" a="1"/>
  <c r="B69" i="10" s="1"/>
  <c r="B68" i="10" a="1"/>
  <c r="B68" i="10" s="1"/>
  <c r="B67" i="10"/>
  <c r="B67" i="10" a="1"/>
  <c r="B66" i="10" a="1"/>
  <c r="B66" i="10" s="1"/>
  <c r="B65" i="10" a="1"/>
  <c r="B65" i="10" s="1"/>
  <c r="B64" i="10" a="1"/>
  <c r="B64" i="10" s="1"/>
  <c r="B63" i="10"/>
  <c r="B63" i="10" a="1"/>
  <c r="B62" i="10" a="1"/>
  <c r="B62" i="10" s="1"/>
  <c r="B61" i="10" a="1"/>
  <c r="B61" i="10" s="1"/>
  <c r="B60" i="10" a="1"/>
  <c r="B60" i="10" s="1"/>
  <c r="B59" i="10" a="1"/>
  <c r="B59" i="10" s="1"/>
  <c r="B58" i="10"/>
  <c r="B58" i="10" a="1"/>
  <c r="B57" i="10" a="1"/>
  <c r="B57" i="10" s="1"/>
  <c r="B56" i="10" a="1"/>
  <c r="B56" i="10" s="1"/>
  <c r="B55" i="10" a="1"/>
  <c r="B55" i="10" s="1"/>
  <c r="B54" i="10"/>
  <c r="B54" i="10" a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/>
  <c r="B44" i="10" a="1"/>
  <c r="B43" i="10" a="1"/>
  <c r="B43" i="10" s="1"/>
  <c r="B42" i="10" a="1"/>
  <c r="B42" i="10" s="1"/>
  <c r="B41" i="10" a="1"/>
  <c r="B41" i="10" s="1"/>
  <c r="B40" i="10"/>
  <c r="B40" i="10" a="1"/>
  <c r="B39" i="10" a="1"/>
  <c r="B39" i="10" s="1"/>
  <c r="B38" i="10" a="1"/>
  <c r="B38" i="10" s="1"/>
  <c r="B37" i="10" a="1"/>
  <c r="B37" i="10" s="1"/>
  <c r="B36" i="10" a="1"/>
  <c r="B36" i="10" s="1"/>
  <c r="B35" i="10"/>
  <c r="B35" i="10" a="1"/>
  <c r="B34" i="10" a="1"/>
  <c r="B34" i="10" s="1"/>
  <c r="B33" i="10" a="1"/>
  <c r="B33" i="10" s="1"/>
  <c r="B32" i="10" a="1"/>
  <c r="B32" i="10" s="1"/>
  <c r="B31" i="10"/>
  <c r="B31" i="10" a="1"/>
  <c r="B30" i="10" a="1"/>
  <c r="B30" i="10" s="1"/>
  <c r="B29" i="10" a="1"/>
  <c r="B29" i="10" s="1"/>
  <c r="B28" i="10" a="1"/>
  <c r="B28" i="10" s="1"/>
  <c r="B27" i="10" a="1"/>
  <c r="B27" i="10" s="1"/>
  <c r="B26" i="10"/>
  <c r="B26" i="10" a="1"/>
  <c r="B25" i="10" a="1"/>
  <c r="B25" i="10" s="1"/>
  <c r="B24" i="10" a="1"/>
  <c r="B24" i="10" s="1"/>
  <c r="B23" i="10" a="1"/>
  <c r="B23" i="10" s="1"/>
  <c r="B22" i="10"/>
  <c r="B22" i="10" a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/>
  <c r="B12" i="10" a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B2" i="10" a="1"/>
  <c r="B2" i="10" s="1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2" i="12"/>
  <c r="C2" i="10" l="1"/>
  <c r="C2" i="11" l="1"/>
  <c r="J25" i="12"/>
  <c r="C25" i="12"/>
  <c r="B2" i="11"/>
  <c r="G2" i="11"/>
  <c r="B3" i="11"/>
  <c r="G3" i="11"/>
  <c r="B4" i="11"/>
  <c r="G4" i="11"/>
  <c r="B5" i="11"/>
  <c r="G5" i="11"/>
  <c r="B6" i="11"/>
  <c r="G6" i="11"/>
  <c r="B7" i="11"/>
  <c r="G7" i="11"/>
  <c r="B8" i="11"/>
  <c r="G8" i="11"/>
  <c r="B9" i="11"/>
  <c r="G9" i="11"/>
  <c r="B10" i="11"/>
  <c r="G10" i="11"/>
  <c r="B11" i="11"/>
  <c r="G11" i="11"/>
  <c r="B12" i="11"/>
  <c r="G12" i="11"/>
  <c r="B13" i="11"/>
  <c r="G13" i="11"/>
  <c r="B14" i="11"/>
  <c r="G14" i="11"/>
  <c r="B15" i="11"/>
  <c r="G15" i="11"/>
  <c r="B16" i="11"/>
  <c r="G16" i="11"/>
  <c r="B17" i="11"/>
  <c r="G17" i="11"/>
  <c r="B18" i="11"/>
  <c r="G18" i="11"/>
  <c r="B19" i="11"/>
  <c r="G19" i="11"/>
  <c r="B20" i="11"/>
  <c r="G20" i="11"/>
  <c r="B21" i="11"/>
  <c r="G21" i="11"/>
  <c r="B22" i="11"/>
  <c r="G22" i="11"/>
  <c r="B23" i="11"/>
  <c r="G23" i="11"/>
  <c r="J24" i="12" l="1"/>
  <c r="C24" i="12"/>
  <c r="G649" i="12" l="1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87" i="11"/>
  <c r="B587" i="11"/>
  <c r="G586" i="11"/>
  <c r="B586" i="11"/>
  <c r="G585" i="11"/>
  <c r="B585" i="11"/>
  <c r="G584" i="11"/>
  <c r="B584" i="11"/>
  <c r="G583" i="11"/>
  <c r="B583" i="11"/>
  <c r="G582" i="11"/>
  <c r="B582" i="11"/>
  <c r="G581" i="11"/>
  <c r="B581" i="11"/>
  <c r="G580" i="11"/>
  <c r="B580" i="11"/>
  <c r="G579" i="11"/>
  <c r="B579" i="11"/>
  <c r="G578" i="11"/>
  <c r="B578" i="11"/>
  <c r="G577" i="11"/>
  <c r="B577" i="11"/>
  <c r="G576" i="11"/>
  <c r="B576" i="11"/>
  <c r="G575" i="11"/>
  <c r="B575" i="11"/>
  <c r="G574" i="11"/>
  <c r="B574" i="11"/>
  <c r="G573" i="11"/>
  <c r="B573" i="11"/>
  <c r="G572" i="11"/>
  <c r="B572" i="11"/>
  <c r="G571" i="11"/>
  <c r="B571" i="11"/>
  <c r="G570" i="11"/>
  <c r="B570" i="11"/>
  <c r="G569" i="11"/>
  <c r="B569" i="11"/>
  <c r="G568" i="11"/>
  <c r="B568" i="11"/>
  <c r="G567" i="11"/>
  <c r="B567" i="11"/>
  <c r="G566" i="11"/>
  <c r="B566" i="11"/>
  <c r="G565" i="11"/>
  <c r="B565" i="11"/>
  <c r="G564" i="11"/>
  <c r="B564" i="11"/>
  <c r="G563" i="11"/>
  <c r="B563" i="11"/>
  <c r="G562" i="11"/>
  <c r="B562" i="11"/>
  <c r="G561" i="11"/>
  <c r="B561" i="11"/>
  <c r="G560" i="11"/>
  <c r="B560" i="11"/>
  <c r="G559" i="11"/>
  <c r="B559" i="11"/>
  <c r="G558" i="11"/>
  <c r="B558" i="11"/>
  <c r="G557" i="11"/>
  <c r="B557" i="11"/>
  <c r="G556" i="11"/>
  <c r="B556" i="11"/>
  <c r="G555" i="11"/>
  <c r="B555" i="11"/>
  <c r="G554" i="11"/>
  <c r="B554" i="11"/>
  <c r="G553" i="11"/>
  <c r="B553" i="11"/>
  <c r="G552" i="11"/>
  <c r="B552" i="11"/>
  <c r="G551" i="11"/>
  <c r="B551" i="11"/>
  <c r="G550" i="11"/>
  <c r="B550" i="11"/>
  <c r="G549" i="11"/>
  <c r="B549" i="11"/>
  <c r="G548" i="11"/>
  <c r="B548" i="11"/>
  <c r="G547" i="11"/>
  <c r="B547" i="11"/>
  <c r="G546" i="11"/>
  <c r="B546" i="11"/>
  <c r="G545" i="11"/>
  <c r="B545" i="11"/>
  <c r="G544" i="11"/>
  <c r="B544" i="11"/>
  <c r="G543" i="11"/>
  <c r="B543" i="11"/>
  <c r="G542" i="11"/>
  <c r="B542" i="11"/>
  <c r="G541" i="11"/>
  <c r="B541" i="11"/>
  <c r="G540" i="11"/>
  <c r="B540" i="11"/>
  <c r="G539" i="11"/>
  <c r="B539" i="11"/>
  <c r="G538" i="11"/>
  <c r="B538" i="11"/>
  <c r="G537" i="11"/>
  <c r="B537" i="11"/>
  <c r="G536" i="11"/>
  <c r="B536" i="11"/>
  <c r="G535" i="11"/>
  <c r="B535" i="11"/>
  <c r="G534" i="11"/>
  <c r="B534" i="11"/>
  <c r="G533" i="11"/>
  <c r="B533" i="11"/>
  <c r="G532" i="11"/>
  <c r="B532" i="11"/>
  <c r="G531" i="11"/>
  <c r="B531" i="11"/>
  <c r="G530" i="11"/>
  <c r="B530" i="11"/>
  <c r="G529" i="11"/>
  <c r="B529" i="11"/>
  <c r="G528" i="11"/>
  <c r="B528" i="11"/>
  <c r="G527" i="11"/>
  <c r="B527" i="11"/>
  <c r="G526" i="11"/>
  <c r="B526" i="11"/>
  <c r="G525" i="11"/>
  <c r="B525" i="11"/>
  <c r="G524" i="11"/>
  <c r="B524" i="11"/>
  <c r="G523" i="11"/>
  <c r="B523" i="11"/>
  <c r="G522" i="11"/>
  <c r="B522" i="11"/>
  <c r="G521" i="11"/>
  <c r="B521" i="11"/>
  <c r="G520" i="11"/>
  <c r="B520" i="11"/>
  <c r="G519" i="11"/>
  <c r="B519" i="11"/>
  <c r="G518" i="11"/>
  <c r="B518" i="11"/>
  <c r="G517" i="11"/>
  <c r="B517" i="11"/>
  <c r="G516" i="11"/>
  <c r="B516" i="11"/>
  <c r="G515" i="11"/>
  <c r="B515" i="11"/>
  <c r="G514" i="11"/>
  <c r="B514" i="11"/>
  <c r="G513" i="11"/>
  <c r="B513" i="11"/>
  <c r="G512" i="11"/>
  <c r="B512" i="11"/>
  <c r="G511" i="11"/>
  <c r="B511" i="11"/>
  <c r="G510" i="11"/>
  <c r="B510" i="11"/>
  <c r="G509" i="11"/>
  <c r="B509" i="11"/>
  <c r="G508" i="11"/>
  <c r="B508" i="11"/>
  <c r="G507" i="11"/>
  <c r="B507" i="11"/>
  <c r="G506" i="11"/>
  <c r="B506" i="11"/>
  <c r="G505" i="11"/>
  <c r="B505" i="11"/>
  <c r="G504" i="11"/>
  <c r="B504" i="11"/>
  <c r="G503" i="11"/>
  <c r="B503" i="11"/>
  <c r="G502" i="11"/>
  <c r="B502" i="11"/>
  <c r="G501" i="11"/>
  <c r="B501" i="11"/>
  <c r="G500" i="11"/>
  <c r="B500" i="11"/>
  <c r="G499" i="11"/>
  <c r="B499" i="11"/>
  <c r="G498" i="11"/>
  <c r="B498" i="11"/>
  <c r="G497" i="11"/>
  <c r="B497" i="11"/>
  <c r="G496" i="11"/>
  <c r="B496" i="11"/>
  <c r="G495" i="11"/>
  <c r="B495" i="11"/>
  <c r="G494" i="11"/>
  <c r="B494" i="11"/>
  <c r="G493" i="11"/>
  <c r="B493" i="11"/>
  <c r="G492" i="11"/>
  <c r="B492" i="11"/>
  <c r="G491" i="11"/>
  <c r="B491" i="11"/>
  <c r="G490" i="11"/>
  <c r="B490" i="11"/>
  <c r="G489" i="11"/>
  <c r="B489" i="11"/>
  <c r="G488" i="11"/>
  <c r="B488" i="11"/>
  <c r="G487" i="11"/>
  <c r="B487" i="11"/>
  <c r="G486" i="11"/>
  <c r="B486" i="11"/>
  <c r="G485" i="11"/>
  <c r="B485" i="11"/>
  <c r="G484" i="11"/>
  <c r="B484" i="11"/>
  <c r="G483" i="11"/>
  <c r="B483" i="11"/>
  <c r="G482" i="11"/>
  <c r="B482" i="11"/>
  <c r="G481" i="11"/>
  <c r="B481" i="11"/>
  <c r="G480" i="11"/>
  <c r="B480" i="11"/>
  <c r="G479" i="11"/>
  <c r="B479" i="11"/>
  <c r="G478" i="11"/>
  <c r="B478" i="11"/>
  <c r="G477" i="11"/>
  <c r="B477" i="11"/>
  <c r="G476" i="11"/>
  <c r="B476" i="11"/>
  <c r="G475" i="11"/>
  <c r="B475" i="11"/>
  <c r="G474" i="11"/>
  <c r="B474" i="11"/>
  <c r="G473" i="11"/>
  <c r="B473" i="11"/>
  <c r="G472" i="11"/>
  <c r="B472" i="11"/>
  <c r="G471" i="11"/>
  <c r="B471" i="11"/>
  <c r="G470" i="11"/>
  <c r="B470" i="11"/>
  <c r="G469" i="11"/>
  <c r="B469" i="11"/>
  <c r="G468" i="11"/>
  <c r="B468" i="11"/>
  <c r="G467" i="11"/>
  <c r="B467" i="11"/>
  <c r="G466" i="11"/>
  <c r="B466" i="11"/>
  <c r="G465" i="11"/>
  <c r="B465" i="11"/>
  <c r="G464" i="11"/>
  <c r="B464" i="11"/>
  <c r="G463" i="11"/>
  <c r="B463" i="11"/>
  <c r="G462" i="11"/>
  <c r="B462" i="11"/>
  <c r="G461" i="11"/>
  <c r="B461" i="11"/>
  <c r="G460" i="11"/>
  <c r="B460" i="11"/>
  <c r="G459" i="11"/>
  <c r="B459" i="11"/>
  <c r="G458" i="11"/>
  <c r="B458" i="11"/>
  <c r="G457" i="11"/>
  <c r="B457" i="11"/>
  <c r="G456" i="11"/>
  <c r="B456" i="11"/>
  <c r="G455" i="11"/>
  <c r="B455" i="11"/>
  <c r="G454" i="11"/>
  <c r="B454" i="11"/>
  <c r="G453" i="11"/>
  <c r="B453" i="11"/>
  <c r="G452" i="11"/>
  <c r="B452" i="11"/>
  <c r="G451" i="11"/>
  <c r="B451" i="11"/>
  <c r="G450" i="11"/>
  <c r="B450" i="11"/>
  <c r="G449" i="11"/>
  <c r="B449" i="11"/>
  <c r="G448" i="11"/>
  <c r="B448" i="11"/>
  <c r="G447" i="11"/>
  <c r="B447" i="11"/>
  <c r="G446" i="11"/>
  <c r="B446" i="11"/>
  <c r="G445" i="11"/>
  <c r="B445" i="11"/>
  <c r="G444" i="11"/>
  <c r="B444" i="11"/>
  <c r="G443" i="11"/>
  <c r="B443" i="11"/>
  <c r="G442" i="11"/>
  <c r="B442" i="11"/>
  <c r="G441" i="11"/>
  <c r="B441" i="11"/>
  <c r="G440" i="11"/>
  <c r="B440" i="11"/>
  <c r="G439" i="11"/>
  <c r="B439" i="11"/>
  <c r="G438" i="11"/>
  <c r="B438" i="11"/>
  <c r="G437" i="11"/>
  <c r="B437" i="11"/>
  <c r="G436" i="11"/>
  <c r="B436" i="11"/>
  <c r="G435" i="11"/>
  <c r="B435" i="11"/>
  <c r="G434" i="11"/>
  <c r="B434" i="11"/>
  <c r="G433" i="11"/>
  <c r="B433" i="11"/>
  <c r="G432" i="11"/>
  <c r="B432" i="11"/>
  <c r="G431" i="11"/>
  <c r="B431" i="11"/>
  <c r="G430" i="11"/>
  <c r="B430" i="11"/>
  <c r="G429" i="11"/>
  <c r="B429" i="11"/>
  <c r="G428" i="11"/>
  <c r="B428" i="11"/>
  <c r="G427" i="11"/>
  <c r="B427" i="11"/>
  <c r="G426" i="11"/>
  <c r="B426" i="11"/>
  <c r="G425" i="11"/>
  <c r="B425" i="11"/>
  <c r="G424" i="11"/>
  <c r="B424" i="11"/>
  <c r="G423" i="11"/>
  <c r="B423" i="11"/>
  <c r="G422" i="11"/>
  <c r="B422" i="11"/>
  <c r="G421" i="11"/>
  <c r="B421" i="11"/>
  <c r="G420" i="11"/>
  <c r="B420" i="11"/>
  <c r="G419" i="11"/>
  <c r="B419" i="11"/>
  <c r="G418" i="11"/>
  <c r="B418" i="11"/>
  <c r="G417" i="11"/>
  <c r="B417" i="11"/>
  <c r="G416" i="11"/>
  <c r="B416" i="11"/>
  <c r="G415" i="11"/>
  <c r="B415" i="11"/>
  <c r="G414" i="11"/>
  <c r="B414" i="11"/>
  <c r="G413" i="11"/>
  <c r="B413" i="11"/>
  <c r="G412" i="11"/>
  <c r="B412" i="11"/>
  <c r="G411" i="11"/>
  <c r="B411" i="11"/>
  <c r="G410" i="11"/>
  <c r="B410" i="11"/>
  <c r="G409" i="11"/>
  <c r="B409" i="11"/>
  <c r="G408" i="11"/>
  <c r="B408" i="11"/>
  <c r="G407" i="11"/>
  <c r="B407" i="11"/>
  <c r="G406" i="11"/>
  <c r="B406" i="11"/>
  <c r="G405" i="11"/>
  <c r="B405" i="11"/>
  <c r="G404" i="11"/>
  <c r="B404" i="11"/>
  <c r="G403" i="11"/>
  <c r="B403" i="11"/>
  <c r="G402" i="11"/>
  <c r="B402" i="11"/>
  <c r="G401" i="11"/>
  <c r="B401" i="11"/>
  <c r="G400" i="11"/>
  <c r="B400" i="11"/>
  <c r="G399" i="11"/>
  <c r="B399" i="11"/>
  <c r="G398" i="11"/>
  <c r="B398" i="11"/>
  <c r="G397" i="11"/>
  <c r="B397" i="11"/>
  <c r="G396" i="11"/>
  <c r="B396" i="11"/>
  <c r="G395" i="11"/>
  <c r="B395" i="11"/>
  <c r="G394" i="11"/>
  <c r="B394" i="11"/>
  <c r="G393" i="11"/>
  <c r="B393" i="11"/>
  <c r="G392" i="11"/>
  <c r="B392" i="11"/>
  <c r="G391" i="11"/>
  <c r="B391" i="11"/>
  <c r="G390" i="11"/>
  <c r="B390" i="11"/>
  <c r="G389" i="11"/>
  <c r="B389" i="11"/>
  <c r="G388" i="11"/>
  <c r="B388" i="11"/>
  <c r="G387" i="11"/>
  <c r="B387" i="11"/>
  <c r="G386" i="11"/>
  <c r="B386" i="11"/>
  <c r="G385" i="11"/>
  <c r="B385" i="11"/>
  <c r="G384" i="11"/>
  <c r="B384" i="11"/>
  <c r="G383" i="11"/>
  <c r="B383" i="11"/>
  <c r="G382" i="11"/>
  <c r="B382" i="11"/>
  <c r="G381" i="11"/>
  <c r="B381" i="11"/>
  <c r="G380" i="11"/>
  <c r="B380" i="11"/>
  <c r="G379" i="11"/>
  <c r="B379" i="11"/>
  <c r="G378" i="11"/>
  <c r="B378" i="11"/>
  <c r="G377" i="11"/>
  <c r="B377" i="11"/>
  <c r="G376" i="11"/>
  <c r="B376" i="11"/>
  <c r="G375" i="11"/>
  <c r="B375" i="11"/>
  <c r="G374" i="11"/>
  <c r="B374" i="11"/>
  <c r="G373" i="11"/>
  <c r="B373" i="11"/>
  <c r="G372" i="11"/>
  <c r="B372" i="11"/>
  <c r="G371" i="11"/>
  <c r="B371" i="11"/>
  <c r="G370" i="11"/>
  <c r="B370" i="11"/>
  <c r="G369" i="11"/>
  <c r="B369" i="11"/>
  <c r="G368" i="11"/>
  <c r="B368" i="11"/>
  <c r="G367" i="11"/>
  <c r="B367" i="11"/>
  <c r="G366" i="11"/>
  <c r="B366" i="11"/>
  <c r="G365" i="11"/>
  <c r="B365" i="11"/>
  <c r="G364" i="11"/>
  <c r="B364" i="11"/>
  <c r="G363" i="11"/>
  <c r="B363" i="11"/>
  <c r="G362" i="11"/>
  <c r="B362" i="11"/>
  <c r="G361" i="11"/>
  <c r="B361" i="11"/>
  <c r="G360" i="11"/>
  <c r="B360" i="11"/>
  <c r="G359" i="11"/>
  <c r="B359" i="11"/>
  <c r="G358" i="11"/>
  <c r="B358" i="11"/>
  <c r="G357" i="11"/>
  <c r="B357" i="11"/>
  <c r="G356" i="11"/>
  <c r="B356" i="11"/>
  <c r="G355" i="11"/>
  <c r="B355" i="11"/>
  <c r="G354" i="11"/>
  <c r="B354" i="11"/>
  <c r="G353" i="11"/>
  <c r="B353" i="11"/>
  <c r="G352" i="11"/>
  <c r="B352" i="11"/>
  <c r="G351" i="11"/>
  <c r="B351" i="11"/>
  <c r="G350" i="11"/>
  <c r="B350" i="11"/>
  <c r="G349" i="11"/>
  <c r="B349" i="11"/>
  <c r="G348" i="11"/>
  <c r="B348" i="11"/>
  <c r="G347" i="11"/>
  <c r="B347" i="11"/>
  <c r="G346" i="11"/>
  <c r="B346" i="11"/>
  <c r="G345" i="11"/>
  <c r="B345" i="11"/>
  <c r="G344" i="11"/>
  <c r="B344" i="11"/>
  <c r="G343" i="11"/>
  <c r="B343" i="11"/>
  <c r="G342" i="11"/>
  <c r="B342" i="11"/>
  <c r="G341" i="11"/>
  <c r="B341" i="11"/>
  <c r="G340" i="11"/>
  <c r="B340" i="11"/>
  <c r="G339" i="11"/>
  <c r="B339" i="11"/>
  <c r="G338" i="11"/>
  <c r="B338" i="11"/>
  <c r="G337" i="11"/>
  <c r="B337" i="11"/>
  <c r="G336" i="11"/>
  <c r="B336" i="11"/>
  <c r="G335" i="11"/>
  <c r="B335" i="11"/>
  <c r="G334" i="11"/>
  <c r="B334" i="11"/>
  <c r="G333" i="11"/>
  <c r="B333" i="11"/>
  <c r="G332" i="11"/>
  <c r="B332" i="11"/>
  <c r="G331" i="11"/>
  <c r="B331" i="11"/>
  <c r="G330" i="11"/>
  <c r="B330" i="11"/>
  <c r="G329" i="11"/>
  <c r="B329" i="11"/>
  <c r="G328" i="11"/>
  <c r="B328" i="11"/>
  <c r="G327" i="11"/>
  <c r="B327" i="11"/>
  <c r="G326" i="11"/>
  <c r="B326" i="11"/>
  <c r="G325" i="11"/>
  <c r="B325" i="11"/>
  <c r="G324" i="11"/>
  <c r="B324" i="11"/>
  <c r="G323" i="11"/>
  <c r="B323" i="11"/>
  <c r="G322" i="11"/>
  <c r="B322" i="11"/>
  <c r="G321" i="11"/>
  <c r="B321" i="11"/>
  <c r="G320" i="11"/>
  <c r="B320" i="11"/>
  <c r="G319" i="11"/>
  <c r="B319" i="11"/>
  <c r="G318" i="11"/>
  <c r="B318" i="11"/>
  <c r="G317" i="11"/>
  <c r="B317" i="11"/>
  <c r="G316" i="11"/>
  <c r="B316" i="11"/>
  <c r="G315" i="11"/>
  <c r="B315" i="11"/>
  <c r="G314" i="11"/>
  <c r="B314" i="11"/>
  <c r="G313" i="11"/>
  <c r="B313" i="11"/>
  <c r="G312" i="11"/>
  <c r="B312" i="11"/>
  <c r="G311" i="11"/>
  <c r="B311" i="11"/>
  <c r="G310" i="11"/>
  <c r="B310" i="11"/>
  <c r="G309" i="11"/>
  <c r="B309" i="11"/>
  <c r="G308" i="11"/>
  <c r="B308" i="11"/>
  <c r="G307" i="11"/>
  <c r="B307" i="11"/>
  <c r="G306" i="11"/>
  <c r="B306" i="11"/>
  <c r="G305" i="11"/>
  <c r="B305" i="11"/>
  <c r="G304" i="11"/>
  <c r="B304" i="11"/>
  <c r="G303" i="11"/>
  <c r="B303" i="11"/>
  <c r="G302" i="11"/>
  <c r="B302" i="11"/>
  <c r="G301" i="11"/>
  <c r="B301" i="11"/>
  <c r="G300" i="11"/>
  <c r="B300" i="11"/>
  <c r="G299" i="11"/>
  <c r="B299" i="11"/>
  <c r="G298" i="11"/>
  <c r="B298" i="11"/>
  <c r="G297" i="11"/>
  <c r="B297" i="11"/>
  <c r="G296" i="11"/>
  <c r="B296" i="11"/>
  <c r="G295" i="11"/>
  <c r="B295" i="11"/>
  <c r="G294" i="11"/>
  <c r="B294" i="11"/>
  <c r="G293" i="11"/>
  <c r="B293" i="11"/>
  <c r="G292" i="11"/>
  <c r="B292" i="11"/>
  <c r="G291" i="11"/>
  <c r="B291" i="11"/>
  <c r="G290" i="11"/>
  <c r="B290" i="11"/>
  <c r="G289" i="11"/>
  <c r="B289" i="11"/>
  <c r="G288" i="11"/>
  <c r="B288" i="11"/>
  <c r="G287" i="11"/>
  <c r="B287" i="11"/>
  <c r="G286" i="11"/>
  <c r="B286" i="11"/>
  <c r="G285" i="11"/>
  <c r="B285" i="11"/>
  <c r="G284" i="11"/>
  <c r="B284" i="11"/>
  <c r="G283" i="11"/>
  <c r="B283" i="11"/>
  <c r="G282" i="11"/>
  <c r="B282" i="11"/>
  <c r="G281" i="11"/>
  <c r="B281" i="11"/>
  <c r="G280" i="11"/>
  <c r="B280" i="11"/>
  <c r="G279" i="11"/>
  <c r="B279" i="11"/>
  <c r="G278" i="11"/>
  <c r="B278" i="11"/>
  <c r="G277" i="11"/>
  <c r="B277" i="11"/>
  <c r="G276" i="11"/>
  <c r="B276" i="11"/>
  <c r="G275" i="11"/>
  <c r="B275" i="11"/>
  <c r="G274" i="11"/>
  <c r="B274" i="11"/>
  <c r="G273" i="11"/>
  <c r="B273" i="11"/>
  <c r="G272" i="11"/>
  <c r="B272" i="11"/>
  <c r="G271" i="11"/>
  <c r="B271" i="11"/>
  <c r="G270" i="11"/>
  <c r="B270" i="11"/>
  <c r="G269" i="11"/>
  <c r="B269" i="11"/>
  <c r="G268" i="11"/>
  <c r="B268" i="11"/>
  <c r="G267" i="11"/>
  <c r="B267" i="11"/>
  <c r="G266" i="11"/>
  <c r="B266" i="11"/>
  <c r="G265" i="11"/>
  <c r="B265" i="11"/>
  <c r="G264" i="11"/>
  <c r="B264" i="11"/>
  <c r="G263" i="11"/>
  <c r="B263" i="11"/>
  <c r="G262" i="11"/>
  <c r="B262" i="11"/>
  <c r="G261" i="11"/>
  <c r="B261" i="11"/>
  <c r="G260" i="11"/>
  <c r="B260" i="11"/>
  <c r="G259" i="11"/>
  <c r="B259" i="11"/>
  <c r="G258" i="11"/>
  <c r="B258" i="11"/>
  <c r="G257" i="11"/>
  <c r="B257" i="11"/>
  <c r="G256" i="11"/>
  <c r="B256" i="11"/>
  <c r="G255" i="11"/>
  <c r="B255" i="11"/>
  <c r="G254" i="11"/>
  <c r="B254" i="11"/>
  <c r="G253" i="11"/>
  <c r="B253" i="11"/>
  <c r="G252" i="11"/>
  <c r="B252" i="11"/>
  <c r="G251" i="11"/>
  <c r="B251" i="11"/>
  <c r="G250" i="11"/>
  <c r="B250" i="11"/>
  <c r="G249" i="11"/>
  <c r="B249" i="11"/>
  <c r="G248" i="11"/>
  <c r="B248" i="11"/>
  <c r="G247" i="11"/>
  <c r="B247" i="11"/>
  <c r="G246" i="11"/>
  <c r="B246" i="11"/>
  <c r="G245" i="11"/>
  <c r="B245" i="11"/>
  <c r="G244" i="11"/>
  <c r="B244" i="11"/>
  <c r="G243" i="11"/>
  <c r="B243" i="11"/>
  <c r="G242" i="11"/>
  <c r="B242" i="11"/>
  <c r="G241" i="11"/>
  <c r="B241" i="11"/>
  <c r="G240" i="11"/>
  <c r="B240" i="11"/>
  <c r="G239" i="11"/>
  <c r="B239" i="11"/>
  <c r="G238" i="11"/>
  <c r="B238" i="11"/>
  <c r="G237" i="11"/>
  <c r="B237" i="11"/>
  <c r="G236" i="11"/>
  <c r="B236" i="11"/>
  <c r="G235" i="11"/>
  <c r="B235" i="11"/>
  <c r="G234" i="11"/>
  <c r="B234" i="11"/>
  <c r="G233" i="11"/>
  <c r="B233" i="11"/>
  <c r="G232" i="11"/>
  <c r="B232" i="11"/>
  <c r="G231" i="11"/>
  <c r="B231" i="11"/>
  <c r="G230" i="11"/>
  <c r="B230" i="11"/>
  <c r="G229" i="11"/>
  <c r="B229" i="11"/>
  <c r="G228" i="11"/>
  <c r="B228" i="11"/>
  <c r="G227" i="11"/>
  <c r="B227" i="11"/>
  <c r="G226" i="11"/>
  <c r="B226" i="11"/>
  <c r="G225" i="11"/>
  <c r="B225" i="11"/>
  <c r="G224" i="11"/>
  <c r="B224" i="11"/>
  <c r="G223" i="11"/>
  <c r="B223" i="11"/>
  <c r="G222" i="11"/>
  <c r="B222" i="11"/>
  <c r="G221" i="11"/>
  <c r="B221" i="11"/>
  <c r="G220" i="11"/>
  <c r="B220" i="11"/>
  <c r="G219" i="11"/>
  <c r="B219" i="11"/>
  <c r="G218" i="11"/>
  <c r="B218" i="11"/>
  <c r="G217" i="11"/>
  <c r="B217" i="11"/>
  <c r="G216" i="11"/>
  <c r="B216" i="11"/>
  <c r="G215" i="11"/>
  <c r="B215" i="11"/>
  <c r="G214" i="11"/>
  <c r="B214" i="11"/>
  <c r="G213" i="11"/>
  <c r="B213" i="11"/>
  <c r="G212" i="11"/>
  <c r="B212" i="11"/>
  <c r="G211" i="11"/>
  <c r="B211" i="11"/>
  <c r="G210" i="11"/>
  <c r="B210" i="11"/>
  <c r="G209" i="11"/>
  <c r="B209" i="11"/>
  <c r="G208" i="11"/>
  <c r="B208" i="11"/>
  <c r="G207" i="11"/>
  <c r="B207" i="11"/>
  <c r="G206" i="11"/>
  <c r="B206" i="11"/>
  <c r="G205" i="11"/>
  <c r="B205" i="11"/>
  <c r="G204" i="11"/>
  <c r="B204" i="11"/>
  <c r="G203" i="11"/>
  <c r="B203" i="11"/>
  <c r="G202" i="11"/>
  <c r="B202" i="11"/>
  <c r="G201" i="11"/>
  <c r="B201" i="11"/>
  <c r="G200" i="11"/>
  <c r="B200" i="11"/>
  <c r="G199" i="11"/>
  <c r="B199" i="11"/>
  <c r="G198" i="11"/>
  <c r="B198" i="11"/>
  <c r="G197" i="11"/>
  <c r="B197" i="11"/>
  <c r="G196" i="11"/>
  <c r="B196" i="11"/>
  <c r="G195" i="11"/>
  <c r="B195" i="11"/>
  <c r="G194" i="11"/>
  <c r="B194" i="11"/>
  <c r="G193" i="11"/>
  <c r="B193" i="11"/>
  <c r="G192" i="11"/>
  <c r="B192" i="11"/>
  <c r="G191" i="11"/>
  <c r="B191" i="11"/>
  <c r="G190" i="11"/>
  <c r="B190" i="11"/>
  <c r="G189" i="11"/>
  <c r="B189" i="11"/>
  <c r="G188" i="11"/>
  <c r="B188" i="11"/>
  <c r="G187" i="11"/>
  <c r="B187" i="11"/>
  <c r="G186" i="11"/>
  <c r="B186" i="11"/>
  <c r="G185" i="11"/>
  <c r="B185" i="11"/>
  <c r="G184" i="11"/>
  <c r="B184" i="11"/>
  <c r="G183" i="11"/>
  <c r="B183" i="11"/>
  <c r="G182" i="11"/>
  <c r="B182" i="11"/>
  <c r="G181" i="11"/>
  <c r="B181" i="11"/>
  <c r="G180" i="11"/>
  <c r="B180" i="11"/>
  <c r="G179" i="11"/>
  <c r="B179" i="11"/>
  <c r="G178" i="11"/>
  <c r="B178" i="11"/>
  <c r="G177" i="11"/>
  <c r="B177" i="11"/>
  <c r="G176" i="11"/>
  <c r="B176" i="11"/>
  <c r="G175" i="11"/>
  <c r="B175" i="11"/>
  <c r="G174" i="11"/>
  <c r="B174" i="11"/>
  <c r="G173" i="11"/>
  <c r="B173" i="11"/>
  <c r="G172" i="11"/>
  <c r="B172" i="11"/>
  <c r="G171" i="11"/>
  <c r="B171" i="11"/>
  <c r="G170" i="11"/>
  <c r="B170" i="11"/>
  <c r="G169" i="11"/>
  <c r="B169" i="11"/>
  <c r="G168" i="11"/>
  <c r="B168" i="11"/>
  <c r="G167" i="11"/>
  <c r="B167" i="11"/>
  <c r="G166" i="11"/>
  <c r="B166" i="11"/>
  <c r="G165" i="11"/>
  <c r="B165" i="11"/>
  <c r="G164" i="11"/>
  <c r="B164" i="11"/>
  <c r="G163" i="11"/>
  <c r="B163" i="11"/>
  <c r="G162" i="11"/>
  <c r="B162" i="11"/>
  <c r="G161" i="11"/>
  <c r="B161" i="11"/>
  <c r="G160" i="11"/>
  <c r="B160" i="11"/>
  <c r="G159" i="11"/>
  <c r="B159" i="11"/>
  <c r="G158" i="11"/>
  <c r="B158" i="11"/>
  <c r="G157" i="11"/>
  <c r="B157" i="11"/>
  <c r="G156" i="11"/>
  <c r="B156" i="11"/>
  <c r="G155" i="11"/>
  <c r="B155" i="11"/>
  <c r="G154" i="11"/>
  <c r="B154" i="11"/>
  <c r="G153" i="11"/>
  <c r="B153" i="11"/>
  <c r="G152" i="11"/>
  <c r="B152" i="11"/>
  <c r="G151" i="11"/>
  <c r="B151" i="11"/>
  <c r="G150" i="11"/>
  <c r="B150" i="11"/>
  <c r="G149" i="11"/>
  <c r="B149" i="11"/>
  <c r="G148" i="11"/>
  <c r="B148" i="11"/>
  <c r="G147" i="11"/>
  <c r="B147" i="11"/>
  <c r="G146" i="11"/>
  <c r="B146" i="11"/>
  <c r="G145" i="11"/>
  <c r="B145" i="11"/>
  <c r="G144" i="11"/>
  <c r="B144" i="11"/>
  <c r="G143" i="11"/>
  <c r="B143" i="11"/>
  <c r="G142" i="11"/>
  <c r="B142" i="11"/>
  <c r="G141" i="11"/>
  <c r="B141" i="11"/>
  <c r="G140" i="11"/>
  <c r="B140" i="11"/>
  <c r="G139" i="11"/>
  <c r="B139" i="11"/>
  <c r="G138" i="11"/>
  <c r="B138" i="11"/>
  <c r="G137" i="11"/>
  <c r="B137" i="11"/>
  <c r="G136" i="11"/>
  <c r="B136" i="11"/>
  <c r="G135" i="11"/>
  <c r="B135" i="11"/>
  <c r="G134" i="11"/>
  <c r="B134" i="11"/>
  <c r="G133" i="11"/>
  <c r="B133" i="11"/>
  <c r="G132" i="11"/>
  <c r="B132" i="11"/>
  <c r="G131" i="11"/>
  <c r="B131" i="11"/>
  <c r="G130" i="11"/>
  <c r="B130" i="11"/>
  <c r="G129" i="11"/>
  <c r="B129" i="11"/>
  <c r="G128" i="11"/>
  <c r="B128" i="11"/>
  <c r="G127" i="11"/>
  <c r="B127" i="11"/>
  <c r="G126" i="11"/>
  <c r="B126" i="11"/>
  <c r="G125" i="11"/>
  <c r="B125" i="11"/>
  <c r="G124" i="11"/>
  <c r="B124" i="11"/>
  <c r="G123" i="11"/>
  <c r="B123" i="11"/>
  <c r="G122" i="11"/>
  <c r="B122" i="11"/>
  <c r="G121" i="11"/>
  <c r="B121" i="11"/>
  <c r="G120" i="11"/>
  <c r="B120" i="11"/>
  <c r="G119" i="11"/>
  <c r="B119" i="11"/>
  <c r="G118" i="11"/>
  <c r="B118" i="11"/>
  <c r="G117" i="11"/>
  <c r="B117" i="11"/>
  <c r="G116" i="11"/>
  <c r="B116" i="11"/>
  <c r="G115" i="11"/>
  <c r="B115" i="11"/>
  <c r="G114" i="11"/>
  <c r="B114" i="11"/>
  <c r="G113" i="11"/>
  <c r="B113" i="11"/>
  <c r="G112" i="11"/>
  <c r="B112" i="11"/>
  <c r="G111" i="11"/>
  <c r="B111" i="11"/>
  <c r="G110" i="11"/>
  <c r="B110" i="11"/>
  <c r="G109" i="11"/>
  <c r="B109" i="11"/>
  <c r="G108" i="11"/>
  <c r="B108" i="11"/>
  <c r="G107" i="11"/>
  <c r="B107" i="11"/>
  <c r="G106" i="11"/>
  <c r="B106" i="11"/>
  <c r="G105" i="11"/>
  <c r="B105" i="11"/>
  <c r="G104" i="11"/>
  <c r="B104" i="11"/>
  <c r="G103" i="11"/>
  <c r="B103" i="11"/>
  <c r="G102" i="11"/>
  <c r="B102" i="11"/>
  <c r="G101" i="11"/>
  <c r="B101" i="11"/>
  <c r="G100" i="11"/>
  <c r="B100" i="11"/>
  <c r="G99" i="11"/>
  <c r="B99" i="11"/>
  <c r="G98" i="11"/>
  <c r="B98" i="11"/>
  <c r="G97" i="11"/>
  <c r="B97" i="11"/>
  <c r="G96" i="11"/>
  <c r="B96" i="11"/>
  <c r="G95" i="11"/>
  <c r="B95" i="11"/>
  <c r="G94" i="11"/>
  <c r="B94" i="11"/>
  <c r="G93" i="11"/>
  <c r="B93" i="11"/>
  <c r="G92" i="11"/>
  <c r="B92" i="11"/>
  <c r="G91" i="11"/>
  <c r="B91" i="11"/>
  <c r="G90" i="11"/>
  <c r="B90" i="11"/>
  <c r="G89" i="11"/>
  <c r="B89" i="11"/>
  <c r="G88" i="11"/>
  <c r="B88" i="11"/>
  <c r="G87" i="11"/>
  <c r="B87" i="11"/>
  <c r="G86" i="11"/>
  <c r="B86" i="11"/>
  <c r="G85" i="11"/>
  <c r="B85" i="11"/>
  <c r="G84" i="11"/>
  <c r="B84" i="11"/>
  <c r="G83" i="11"/>
  <c r="B83" i="11"/>
  <c r="G82" i="11"/>
  <c r="B82" i="11"/>
  <c r="F623" i="10"/>
  <c r="C623" i="10"/>
  <c r="F622" i="10"/>
  <c r="C622" i="10"/>
  <c r="F621" i="10"/>
  <c r="C621" i="10"/>
  <c r="F620" i="10"/>
  <c r="C620" i="10"/>
  <c r="F619" i="10"/>
  <c r="C619" i="10"/>
  <c r="F618" i="10"/>
  <c r="C618" i="10"/>
  <c r="F617" i="10"/>
  <c r="C617" i="10"/>
  <c r="F616" i="10"/>
  <c r="C616" i="10"/>
  <c r="F615" i="10"/>
  <c r="C615" i="10"/>
  <c r="F614" i="10"/>
  <c r="C614" i="10"/>
  <c r="F613" i="10"/>
  <c r="C613" i="10"/>
  <c r="F612" i="10"/>
  <c r="C612" i="10"/>
  <c r="F611" i="10"/>
  <c r="C611" i="10"/>
  <c r="F610" i="10"/>
  <c r="C610" i="10"/>
  <c r="F609" i="10"/>
  <c r="C609" i="10"/>
  <c r="F608" i="10"/>
  <c r="C608" i="10"/>
  <c r="F607" i="10"/>
  <c r="C607" i="10"/>
  <c r="F606" i="10"/>
  <c r="C606" i="10"/>
  <c r="F605" i="10"/>
  <c r="C605" i="10"/>
  <c r="F604" i="10"/>
  <c r="C604" i="10"/>
  <c r="F603" i="10"/>
  <c r="C603" i="10"/>
  <c r="F602" i="10"/>
  <c r="C602" i="10"/>
  <c r="F601" i="10"/>
  <c r="C601" i="10"/>
  <c r="F600" i="10"/>
  <c r="C600" i="10"/>
  <c r="F599" i="10"/>
  <c r="C599" i="10"/>
  <c r="F598" i="10"/>
  <c r="C598" i="10"/>
  <c r="F597" i="10"/>
  <c r="C597" i="10"/>
  <c r="F596" i="10"/>
  <c r="C596" i="10"/>
  <c r="F595" i="10"/>
  <c r="C595" i="10"/>
  <c r="F594" i="10"/>
  <c r="C594" i="10"/>
  <c r="F593" i="10"/>
  <c r="C593" i="10"/>
  <c r="F592" i="10"/>
  <c r="C592" i="10"/>
  <c r="F591" i="10"/>
  <c r="C591" i="10"/>
  <c r="F590" i="10"/>
  <c r="C590" i="10"/>
  <c r="F589" i="10"/>
  <c r="C589" i="10"/>
  <c r="F588" i="10"/>
  <c r="C588" i="10"/>
  <c r="F587" i="10"/>
  <c r="C587" i="10"/>
  <c r="F586" i="10"/>
  <c r="C586" i="10"/>
  <c r="F585" i="10"/>
  <c r="C585" i="10"/>
  <c r="F584" i="10"/>
  <c r="C584" i="10"/>
  <c r="F583" i="10"/>
  <c r="C583" i="10"/>
  <c r="F582" i="10"/>
  <c r="C582" i="10"/>
  <c r="F581" i="10"/>
  <c r="C581" i="10"/>
  <c r="F580" i="10"/>
  <c r="C580" i="10"/>
  <c r="F579" i="10"/>
  <c r="C579" i="10"/>
  <c r="F578" i="10"/>
  <c r="C578" i="10"/>
  <c r="F577" i="10"/>
  <c r="C577" i="10"/>
  <c r="F576" i="10"/>
  <c r="C576" i="10"/>
  <c r="F575" i="10"/>
  <c r="C575" i="10"/>
  <c r="F574" i="10"/>
  <c r="C574" i="10"/>
  <c r="F573" i="10"/>
  <c r="C573" i="10"/>
  <c r="F572" i="10"/>
  <c r="C572" i="10"/>
  <c r="F571" i="10"/>
  <c r="C571" i="10"/>
  <c r="F570" i="10"/>
  <c r="C570" i="10"/>
  <c r="F569" i="10"/>
  <c r="C569" i="10"/>
  <c r="F568" i="10"/>
  <c r="C568" i="10"/>
  <c r="F567" i="10"/>
  <c r="C567" i="10"/>
  <c r="F566" i="10"/>
  <c r="C566" i="10"/>
  <c r="F565" i="10"/>
  <c r="C565" i="10"/>
  <c r="F564" i="10"/>
  <c r="C564" i="10"/>
  <c r="F563" i="10"/>
  <c r="C563" i="10"/>
  <c r="F562" i="10"/>
  <c r="C562" i="10"/>
  <c r="F561" i="10"/>
  <c r="C561" i="10"/>
  <c r="F560" i="10"/>
  <c r="C560" i="10"/>
  <c r="F559" i="10"/>
  <c r="C559" i="10"/>
  <c r="F558" i="10"/>
  <c r="C558" i="10"/>
  <c r="F557" i="10"/>
  <c r="C557" i="10"/>
  <c r="F556" i="10"/>
  <c r="C556" i="10"/>
  <c r="F555" i="10"/>
  <c r="C555" i="10"/>
  <c r="F554" i="10"/>
  <c r="C554" i="10"/>
  <c r="F553" i="10"/>
  <c r="C553" i="10"/>
  <c r="F552" i="10"/>
  <c r="C552" i="10"/>
  <c r="F551" i="10"/>
  <c r="C551" i="10"/>
  <c r="F550" i="10"/>
  <c r="C550" i="10"/>
  <c r="F549" i="10"/>
  <c r="C549" i="10"/>
  <c r="F548" i="10"/>
  <c r="C548" i="10"/>
  <c r="F547" i="10"/>
  <c r="C547" i="10"/>
  <c r="F546" i="10"/>
  <c r="C546" i="10"/>
  <c r="F545" i="10"/>
  <c r="C545" i="10"/>
  <c r="F544" i="10"/>
  <c r="C544" i="10"/>
  <c r="F543" i="10"/>
  <c r="C543" i="10"/>
  <c r="F542" i="10"/>
  <c r="C542" i="10"/>
  <c r="F541" i="10"/>
  <c r="C541" i="10"/>
  <c r="F540" i="10"/>
  <c r="C540" i="10"/>
  <c r="F539" i="10"/>
  <c r="C539" i="10"/>
  <c r="F538" i="10"/>
  <c r="C538" i="10"/>
  <c r="F537" i="10"/>
  <c r="C537" i="10"/>
  <c r="F536" i="10"/>
  <c r="C536" i="10"/>
  <c r="F535" i="10"/>
  <c r="C535" i="10"/>
  <c r="F534" i="10"/>
  <c r="C534" i="10"/>
  <c r="F533" i="10"/>
  <c r="C533" i="10"/>
  <c r="F532" i="10"/>
  <c r="C532" i="10"/>
  <c r="F531" i="10"/>
  <c r="C531" i="10"/>
  <c r="F530" i="10"/>
  <c r="C530" i="10"/>
  <c r="F529" i="10"/>
  <c r="C529" i="10"/>
  <c r="F528" i="10"/>
  <c r="C528" i="10"/>
  <c r="F527" i="10"/>
  <c r="C527" i="10"/>
  <c r="F526" i="10"/>
  <c r="C526" i="10"/>
  <c r="F525" i="10"/>
  <c r="C525" i="10"/>
  <c r="F524" i="10"/>
  <c r="C524" i="10"/>
  <c r="F523" i="10"/>
  <c r="C523" i="10"/>
  <c r="F522" i="10"/>
  <c r="C522" i="10"/>
  <c r="F521" i="10"/>
  <c r="C521" i="10"/>
  <c r="F520" i="10"/>
  <c r="C520" i="10"/>
  <c r="F519" i="10"/>
  <c r="C519" i="10"/>
  <c r="F518" i="10"/>
  <c r="C518" i="10"/>
  <c r="F517" i="10"/>
  <c r="C517" i="10"/>
  <c r="F516" i="10"/>
  <c r="C516" i="10"/>
  <c r="F515" i="10"/>
  <c r="C515" i="10"/>
  <c r="F514" i="10"/>
  <c r="C514" i="10"/>
  <c r="F513" i="10"/>
  <c r="C513" i="10"/>
  <c r="F512" i="10"/>
  <c r="C512" i="10"/>
  <c r="F511" i="10"/>
  <c r="C511" i="10"/>
  <c r="F510" i="10"/>
  <c r="C510" i="10"/>
  <c r="F509" i="10"/>
  <c r="C509" i="10"/>
  <c r="F508" i="10"/>
  <c r="C508" i="10"/>
  <c r="F507" i="10"/>
  <c r="C507" i="10"/>
  <c r="F506" i="10"/>
  <c r="C506" i="10"/>
  <c r="F505" i="10"/>
  <c r="C505" i="10"/>
  <c r="F504" i="10"/>
  <c r="C504" i="10"/>
  <c r="F503" i="10"/>
  <c r="C503" i="10"/>
  <c r="F502" i="10"/>
  <c r="C502" i="10"/>
  <c r="F501" i="10"/>
  <c r="C501" i="10"/>
  <c r="F500" i="10"/>
  <c r="C500" i="10"/>
  <c r="F499" i="10"/>
  <c r="C499" i="10"/>
  <c r="F498" i="10"/>
  <c r="C498" i="10"/>
  <c r="F497" i="10"/>
  <c r="C497" i="10"/>
  <c r="F496" i="10"/>
  <c r="C496" i="10"/>
  <c r="F495" i="10"/>
  <c r="C495" i="10"/>
  <c r="F494" i="10"/>
  <c r="C494" i="10"/>
  <c r="F493" i="10"/>
  <c r="C493" i="10"/>
  <c r="F492" i="10"/>
  <c r="C492" i="10"/>
  <c r="F491" i="10"/>
  <c r="C491" i="10"/>
  <c r="F490" i="10"/>
  <c r="C490" i="10"/>
  <c r="F489" i="10"/>
  <c r="C489" i="10"/>
  <c r="F488" i="10"/>
  <c r="C488" i="10"/>
  <c r="F487" i="10"/>
  <c r="C487" i="10"/>
  <c r="F486" i="10"/>
  <c r="C486" i="10"/>
  <c r="F485" i="10"/>
  <c r="C485" i="10"/>
  <c r="F484" i="10"/>
  <c r="C484" i="10"/>
  <c r="F483" i="10"/>
  <c r="C483" i="10"/>
  <c r="F482" i="10"/>
  <c r="C482" i="10"/>
  <c r="F481" i="10"/>
  <c r="C481" i="10"/>
  <c r="F480" i="10"/>
  <c r="C480" i="10"/>
  <c r="F479" i="10"/>
  <c r="C479" i="10"/>
  <c r="F478" i="10"/>
  <c r="C478" i="10"/>
  <c r="F477" i="10"/>
  <c r="C477" i="10"/>
  <c r="F476" i="10"/>
  <c r="C476" i="10"/>
  <c r="F475" i="10"/>
  <c r="C475" i="10"/>
  <c r="F474" i="10"/>
  <c r="C474" i="10"/>
  <c r="F473" i="10"/>
  <c r="C473" i="10"/>
  <c r="F472" i="10"/>
  <c r="C472" i="10"/>
  <c r="F471" i="10"/>
  <c r="C471" i="10"/>
  <c r="F470" i="10"/>
  <c r="C470" i="10"/>
  <c r="F469" i="10"/>
  <c r="C469" i="10"/>
  <c r="F468" i="10"/>
  <c r="C468" i="10"/>
  <c r="F467" i="10"/>
  <c r="C467" i="10"/>
  <c r="F466" i="10"/>
  <c r="C466" i="10"/>
  <c r="F465" i="10"/>
  <c r="C465" i="10"/>
  <c r="F464" i="10"/>
  <c r="C464" i="10"/>
  <c r="F463" i="10"/>
  <c r="C463" i="10"/>
  <c r="F462" i="10"/>
  <c r="C462" i="10"/>
  <c r="F461" i="10"/>
  <c r="C461" i="10"/>
  <c r="F460" i="10"/>
  <c r="C460" i="10"/>
  <c r="F459" i="10"/>
  <c r="C459" i="10"/>
  <c r="F458" i="10"/>
  <c r="C458" i="10"/>
  <c r="F457" i="10"/>
  <c r="C457" i="10"/>
  <c r="F456" i="10"/>
  <c r="C456" i="10"/>
  <c r="F455" i="10"/>
  <c r="C455" i="10"/>
  <c r="F454" i="10"/>
  <c r="C454" i="10"/>
  <c r="F453" i="10"/>
  <c r="C453" i="10"/>
  <c r="F452" i="10"/>
  <c r="C452" i="10"/>
  <c r="F451" i="10"/>
  <c r="C451" i="10"/>
  <c r="F450" i="10"/>
  <c r="C450" i="10"/>
  <c r="F449" i="10"/>
  <c r="C449" i="10"/>
  <c r="F448" i="10"/>
  <c r="C448" i="10"/>
  <c r="F447" i="10"/>
  <c r="C447" i="10"/>
  <c r="F446" i="10"/>
  <c r="C446" i="10"/>
  <c r="F445" i="10"/>
  <c r="C445" i="10"/>
  <c r="F444" i="10"/>
  <c r="C444" i="10"/>
  <c r="F443" i="10"/>
  <c r="C443" i="10"/>
  <c r="F442" i="10"/>
  <c r="C442" i="10"/>
  <c r="F441" i="10"/>
  <c r="C441" i="10"/>
  <c r="F440" i="10"/>
  <c r="C440" i="10"/>
  <c r="F439" i="10"/>
  <c r="C439" i="10"/>
  <c r="F438" i="10"/>
  <c r="C438" i="10"/>
  <c r="F437" i="10"/>
  <c r="C437" i="10"/>
  <c r="F436" i="10"/>
  <c r="C436" i="10"/>
  <c r="F435" i="10"/>
  <c r="C435" i="10"/>
  <c r="F434" i="10"/>
  <c r="C434" i="10"/>
  <c r="F433" i="10"/>
  <c r="C433" i="10"/>
  <c r="F432" i="10"/>
  <c r="C432" i="10"/>
  <c r="F431" i="10"/>
  <c r="C431" i="10"/>
  <c r="F430" i="10"/>
  <c r="C430" i="10"/>
  <c r="F429" i="10"/>
  <c r="C429" i="10"/>
  <c r="F428" i="10"/>
  <c r="C428" i="10"/>
  <c r="F427" i="10"/>
  <c r="C427" i="10"/>
  <c r="F426" i="10"/>
  <c r="C426" i="10"/>
  <c r="F425" i="10"/>
  <c r="C425" i="10"/>
  <c r="F424" i="10"/>
  <c r="C424" i="10"/>
  <c r="F423" i="10"/>
  <c r="C423" i="10"/>
  <c r="F422" i="10"/>
  <c r="C422" i="10"/>
  <c r="F421" i="10"/>
  <c r="C421" i="10"/>
  <c r="F420" i="10"/>
  <c r="C420" i="10"/>
  <c r="F419" i="10"/>
  <c r="C419" i="10"/>
  <c r="F418" i="10"/>
  <c r="C418" i="10"/>
  <c r="F417" i="10"/>
  <c r="C417" i="10"/>
  <c r="F416" i="10"/>
  <c r="C416" i="10"/>
  <c r="F415" i="10"/>
  <c r="C415" i="10"/>
  <c r="F414" i="10"/>
  <c r="C414" i="10"/>
  <c r="F413" i="10"/>
  <c r="C413" i="10"/>
  <c r="F412" i="10"/>
  <c r="C412" i="10"/>
  <c r="F411" i="10"/>
  <c r="C411" i="10"/>
  <c r="F410" i="10"/>
  <c r="C410" i="10"/>
  <c r="F409" i="10"/>
  <c r="C409" i="10"/>
  <c r="F408" i="10"/>
  <c r="C408" i="10"/>
  <c r="F407" i="10"/>
  <c r="C407" i="10"/>
  <c r="F406" i="10"/>
  <c r="C406" i="10"/>
  <c r="F405" i="10"/>
  <c r="C405" i="10"/>
  <c r="F404" i="10"/>
  <c r="C404" i="10"/>
  <c r="F403" i="10"/>
  <c r="C403" i="10"/>
  <c r="F402" i="10"/>
  <c r="C402" i="10"/>
  <c r="F401" i="10"/>
  <c r="C401" i="10"/>
  <c r="F400" i="10"/>
  <c r="C400" i="10"/>
  <c r="F399" i="10"/>
  <c r="C399" i="10"/>
  <c r="F398" i="10"/>
  <c r="C398" i="10"/>
  <c r="F397" i="10"/>
  <c r="C397" i="10"/>
  <c r="F396" i="10"/>
  <c r="C396" i="10"/>
  <c r="F395" i="10"/>
  <c r="C395" i="10"/>
  <c r="F394" i="10"/>
  <c r="C394" i="10"/>
  <c r="F393" i="10"/>
  <c r="C393" i="10"/>
  <c r="F392" i="10"/>
  <c r="C392" i="10"/>
  <c r="F391" i="10"/>
  <c r="C391" i="10"/>
  <c r="F390" i="10"/>
  <c r="C390" i="10"/>
  <c r="F389" i="10"/>
  <c r="C389" i="10"/>
  <c r="F388" i="10"/>
  <c r="C388" i="10"/>
  <c r="F387" i="10"/>
  <c r="C387" i="10"/>
  <c r="F386" i="10"/>
  <c r="C386" i="10"/>
  <c r="F385" i="10"/>
  <c r="C385" i="10"/>
  <c r="F384" i="10"/>
  <c r="C384" i="10"/>
  <c r="F383" i="10"/>
  <c r="C383" i="10"/>
  <c r="F382" i="10"/>
  <c r="C382" i="10"/>
  <c r="F381" i="10"/>
  <c r="C381" i="10"/>
  <c r="F380" i="10"/>
  <c r="C380" i="10"/>
  <c r="F379" i="10"/>
  <c r="C379" i="10"/>
  <c r="F378" i="10"/>
  <c r="C378" i="10"/>
  <c r="F377" i="10"/>
  <c r="C377" i="10"/>
  <c r="F376" i="10"/>
  <c r="C376" i="10"/>
  <c r="F375" i="10"/>
  <c r="C375" i="10"/>
  <c r="F374" i="10"/>
  <c r="C374" i="10"/>
  <c r="F373" i="10"/>
  <c r="C373" i="10"/>
  <c r="F372" i="10"/>
  <c r="C372" i="10"/>
  <c r="F371" i="10"/>
  <c r="C371" i="10"/>
  <c r="F370" i="10"/>
  <c r="C370" i="10"/>
  <c r="F369" i="10"/>
  <c r="C369" i="10"/>
  <c r="F368" i="10"/>
  <c r="C368" i="10"/>
  <c r="F367" i="10"/>
  <c r="C367" i="10"/>
  <c r="F366" i="10"/>
  <c r="C366" i="10"/>
  <c r="F365" i="10"/>
  <c r="C365" i="10"/>
  <c r="F364" i="10"/>
  <c r="C364" i="10"/>
  <c r="F363" i="10"/>
  <c r="C363" i="10"/>
  <c r="F362" i="10"/>
  <c r="C362" i="10"/>
  <c r="F361" i="10"/>
  <c r="C361" i="10"/>
  <c r="F360" i="10"/>
  <c r="C360" i="10"/>
  <c r="F359" i="10"/>
  <c r="C359" i="10"/>
  <c r="F358" i="10"/>
  <c r="C358" i="10"/>
  <c r="F357" i="10"/>
  <c r="C357" i="10"/>
  <c r="F356" i="10"/>
  <c r="C356" i="10"/>
  <c r="F355" i="10"/>
  <c r="C355" i="10"/>
  <c r="F354" i="10"/>
  <c r="C354" i="10"/>
  <c r="F353" i="10"/>
  <c r="C353" i="10"/>
  <c r="F352" i="10"/>
  <c r="C352" i="10"/>
  <c r="F351" i="10"/>
  <c r="C351" i="10"/>
  <c r="F350" i="10"/>
  <c r="C350" i="10"/>
  <c r="F349" i="10"/>
  <c r="C349" i="10"/>
  <c r="F348" i="10"/>
  <c r="C348" i="10"/>
  <c r="F347" i="10"/>
  <c r="C347" i="10"/>
  <c r="F346" i="10"/>
  <c r="C346" i="10"/>
  <c r="F345" i="10"/>
  <c r="C345" i="10"/>
  <c r="F344" i="10"/>
  <c r="C344" i="10"/>
  <c r="F343" i="10"/>
  <c r="C343" i="10"/>
  <c r="F342" i="10"/>
  <c r="C342" i="10"/>
  <c r="F341" i="10"/>
  <c r="C341" i="10"/>
  <c r="F340" i="10"/>
  <c r="C340" i="10"/>
  <c r="F339" i="10"/>
  <c r="C339" i="10"/>
  <c r="F338" i="10"/>
  <c r="C338" i="10"/>
  <c r="F337" i="10"/>
  <c r="C337" i="10"/>
  <c r="F336" i="10"/>
  <c r="C336" i="10"/>
  <c r="F335" i="10"/>
  <c r="C335" i="10"/>
  <c r="F334" i="10"/>
  <c r="C334" i="10"/>
  <c r="F333" i="10"/>
  <c r="C333" i="10"/>
  <c r="F332" i="10"/>
  <c r="C332" i="10"/>
  <c r="F331" i="10"/>
  <c r="C331" i="10"/>
  <c r="F330" i="10"/>
  <c r="C330" i="10"/>
  <c r="F329" i="10"/>
  <c r="C329" i="10"/>
  <c r="F328" i="10"/>
  <c r="C328" i="10"/>
  <c r="F327" i="10"/>
  <c r="C327" i="10"/>
  <c r="F326" i="10"/>
  <c r="C326" i="10"/>
  <c r="F325" i="10"/>
  <c r="C325" i="10"/>
  <c r="F324" i="10"/>
  <c r="C324" i="10"/>
  <c r="F323" i="10"/>
  <c r="C323" i="10"/>
  <c r="F322" i="10"/>
  <c r="C322" i="10"/>
  <c r="F321" i="10"/>
  <c r="C321" i="10"/>
  <c r="F320" i="10"/>
  <c r="C320" i="10"/>
  <c r="F319" i="10"/>
  <c r="C319" i="10"/>
  <c r="F318" i="10"/>
  <c r="C318" i="10"/>
  <c r="F317" i="10"/>
  <c r="C317" i="10"/>
  <c r="F316" i="10"/>
  <c r="C316" i="10"/>
  <c r="F315" i="10"/>
  <c r="C315" i="10"/>
  <c r="F314" i="10"/>
  <c r="C314" i="10"/>
  <c r="F313" i="10"/>
  <c r="C313" i="10"/>
  <c r="F312" i="10"/>
  <c r="C312" i="10"/>
  <c r="F311" i="10"/>
  <c r="C311" i="10"/>
  <c r="F310" i="10"/>
  <c r="C310" i="10"/>
  <c r="F309" i="10"/>
  <c r="C309" i="10"/>
  <c r="F308" i="10"/>
  <c r="C308" i="10"/>
  <c r="F307" i="10"/>
  <c r="C307" i="10"/>
  <c r="F306" i="10"/>
  <c r="C306" i="10"/>
  <c r="F305" i="10"/>
  <c r="C305" i="10"/>
  <c r="F304" i="10"/>
  <c r="C304" i="10"/>
  <c r="F303" i="10"/>
  <c r="C303" i="10"/>
  <c r="F302" i="10"/>
  <c r="C302" i="10"/>
  <c r="F301" i="10"/>
  <c r="C301" i="10"/>
  <c r="F300" i="10"/>
  <c r="C300" i="10"/>
  <c r="F299" i="10"/>
  <c r="C299" i="10"/>
  <c r="F298" i="10"/>
  <c r="C298" i="10"/>
  <c r="F297" i="10"/>
  <c r="C297" i="10"/>
  <c r="F296" i="10"/>
  <c r="C296" i="10"/>
  <c r="F295" i="10"/>
  <c r="C295" i="10"/>
  <c r="F294" i="10"/>
  <c r="C294" i="10"/>
  <c r="F293" i="10"/>
  <c r="C293" i="10"/>
  <c r="F292" i="10"/>
  <c r="C292" i="10"/>
  <c r="F291" i="10"/>
  <c r="C291" i="10"/>
  <c r="F290" i="10"/>
  <c r="C290" i="10"/>
  <c r="F289" i="10"/>
  <c r="C289" i="10"/>
  <c r="F288" i="10"/>
  <c r="C288" i="10"/>
  <c r="F287" i="10"/>
  <c r="C287" i="10"/>
  <c r="F286" i="10"/>
  <c r="C286" i="10"/>
  <c r="F285" i="10"/>
  <c r="C285" i="10"/>
  <c r="F284" i="10"/>
  <c r="C284" i="10"/>
  <c r="F283" i="10"/>
  <c r="C283" i="10"/>
  <c r="F282" i="10"/>
  <c r="C282" i="10"/>
  <c r="F281" i="10"/>
  <c r="C281" i="10"/>
  <c r="F280" i="10"/>
  <c r="C280" i="10"/>
  <c r="F279" i="10"/>
  <c r="C279" i="10"/>
  <c r="F278" i="10"/>
  <c r="C278" i="10"/>
  <c r="F277" i="10"/>
  <c r="C277" i="10"/>
  <c r="F276" i="10"/>
  <c r="C276" i="10"/>
  <c r="F275" i="10"/>
  <c r="C275" i="10"/>
  <c r="F274" i="10"/>
  <c r="C274" i="10"/>
  <c r="F273" i="10"/>
  <c r="C273" i="10"/>
  <c r="F272" i="10"/>
  <c r="C272" i="10"/>
  <c r="F271" i="10"/>
  <c r="C271" i="10"/>
  <c r="F270" i="10"/>
  <c r="C270" i="10"/>
  <c r="F269" i="10"/>
  <c r="C269" i="10"/>
  <c r="F268" i="10"/>
  <c r="C268" i="10"/>
  <c r="F267" i="10"/>
  <c r="C267" i="10"/>
  <c r="F266" i="10"/>
  <c r="C266" i="10"/>
  <c r="F265" i="10"/>
  <c r="C265" i="10"/>
  <c r="F264" i="10"/>
  <c r="C264" i="10"/>
  <c r="F263" i="10"/>
  <c r="C263" i="10"/>
  <c r="F262" i="10"/>
  <c r="C262" i="10"/>
  <c r="F261" i="10"/>
  <c r="C261" i="10"/>
  <c r="F260" i="10"/>
  <c r="C260" i="10"/>
  <c r="F259" i="10"/>
  <c r="C259" i="10"/>
  <c r="F258" i="10"/>
  <c r="C258" i="10"/>
  <c r="F257" i="10"/>
  <c r="C257" i="10"/>
  <c r="F256" i="10"/>
  <c r="C256" i="10"/>
  <c r="F255" i="10"/>
  <c r="C255" i="10"/>
  <c r="F254" i="10"/>
  <c r="C254" i="10"/>
  <c r="F253" i="10"/>
  <c r="C253" i="10"/>
  <c r="F252" i="10"/>
  <c r="C252" i="10"/>
  <c r="F251" i="10"/>
  <c r="C251" i="10"/>
  <c r="F250" i="10"/>
  <c r="C250" i="10"/>
  <c r="F249" i="10"/>
  <c r="C249" i="10"/>
  <c r="F248" i="10"/>
  <c r="C248" i="10"/>
  <c r="F247" i="10"/>
  <c r="C247" i="10"/>
  <c r="F246" i="10"/>
  <c r="C246" i="10"/>
  <c r="F245" i="10"/>
  <c r="C245" i="10"/>
  <c r="F244" i="10"/>
  <c r="C244" i="10"/>
  <c r="F243" i="10"/>
  <c r="C243" i="10"/>
  <c r="F242" i="10"/>
  <c r="C242" i="10"/>
  <c r="F241" i="10"/>
  <c r="C241" i="10"/>
  <c r="F240" i="10"/>
  <c r="C240" i="10"/>
  <c r="F239" i="10"/>
  <c r="C239" i="10"/>
  <c r="F238" i="10"/>
  <c r="C238" i="10"/>
  <c r="F237" i="10"/>
  <c r="C237" i="10"/>
  <c r="F236" i="10"/>
  <c r="C236" i="10"/>
  <c r="F235" i="10"/>
  <c r="C235" i="10"/>
  <c r="F234" i="10"/>
  <c r="C234" i="10"/>
  <c r="F233" i="10"/>
  <c r="C233" i="10"/>
  <c r="F232" i="10"/>
  <c r="C232" i="10"/>
  <c r="F231" i="10"/>
  <c r="C231" i="10"/>
  <c r="F230" i="10"/>
  <c r="C230" i="10"/>
  <c r="F229" i="10"/>
  <c r="C229" i="10"/>
  <c r="F228" i="10"/>
  <c r="C228" i="10"/>
  <c r="F227" i="10"/>
  <c r="C227" i="10"/>
  <c r="F226" i="10"/>
  <c r="C226" i="10"/>
  <c r="F225" i="10"/>
  <c r="C225" i="10"/>
  <c r="F224" i="10"/>
  <c r="C224" i="10"/>
  <c r="F223" i="10"/>
  <c r="C223" i="10"/>
  <c r="F222" i="10"/>
  <c r="C222" i="10"/>
  <c r="F221" i="10"/>
  <c r="C221" i="10"/>
  <c r="F220" i="10"/>
  <c r="C220" i="10"/>
  <c r="F219" i="10"/>
  <c r="C219" i="10"/>
  <c r="F218" i="10"/>
  <c r="C218" i="10"/>
  <c r="F217" i="10"/>
  <c r="C217" i="10"/>
  <c r="F216" i="10"/>
  <c r="C216" i="10"/>
  <c r="F215" i="10"/>
  <c r="C215" i="10"/>
  <c r="F214" i="10"/>
  <c r="C214" i="10"/>
  <c r="F213" i="10"/>
  <c r="C213" i="10"/>
  <c r="F212" i="10"/>
  <c r="C212" i="10"/>
  <c r="F211" i="10"/>
  <c r="C211" i="10"/>
  <c r="F210" i="10"/>
  <c r="C210" i="10"/>
  <c r="F209" i="10"/>
  <c r="C209" i="10"/>
  <c r="F208" i="10"/>
  <c r="C208" i="10"/>
  <c r="F207" i="10"/>
  <c r="C207" i="10"/>
  <c r="F206" i="10"/>
  <c r="C206" i="10"/>
  <c r="F205" i="10"/>
  <c r="C205" i="10"/>
  <c r="F204" i="10"/>
  <c r="C204" i="10"/>
  <c r="F203" i="10"/>
  <c r="C203" i="10"/>
  <c r="F202" i="10"/>
  <c r="C202" i="10"/>
  <c r="F201" i="10"/>
  <c r="C201" i="10"/>
  <c r="F200" i="10"/>
  <c r="C200" i="10"/>
  <c r="F199" i="10"/>
  <c r="C199" i="10"/>
  <c r="F198" i="10"/>
  <c r="C198" i="10"/>
  <c r="F197" i="10"/>
  <c r="C197" i="10"/>
  <c r="F196" i="10"/>
  <c r="C196" i="10"/>
  <c r="F195" i="10"/>
  <c r="C195" i="10"/>
  <c r="F194" i="10"/>
  <c r="C194" i="10"/>
  <c r="F193" i="10"/>
  <c r="C193" i="10"/>
  <c r="F192" i="10"/>
  <c r="C192" i="10"/>
  <c r="F191" i="10"/>
  <c r="C191" i="10"/>
  <c r="F190" i="10"/>
  <c r="C190" i="10"/>
  <c r="F189" i="10"/>
  <c r="C189" i="10"/>
  <c r="F188" i="10"/>
  <c r="C188" i="10"/>
  <c r="F187" i="10"/>
  <c r="C187" i="10"/>
  <c r="F186" i="10"/>
  <c r="C186" i="10"/>
  <c r="F185" i="10"/>
  <c r="C185" i="10"/>
  <c r="F184" i="10"/>
  <c r="C184" i="10"/>
  <c r="F183" i="10"/>
  <c r="C183" i="10"/>
  <c r="F182" i="10"/>
  <c r="C182" i="10"/>
  <c r="F181" i="10"/>
  <c r="C181" i="10"/>
  <c r="F180" i="10"/>
  <c r="C180" i="10"/>
  <c r="F179" i="10"/>
  <c r="C179" i="10"/>
  <c r="F178" i="10"/>
  <c r="C178" i="10"/>
  <c r="F177" i="10"/>
  <c r="C177" i="10"/>
  <c r="F176" i="10"/>
  <c r="C176" i="10"/>
  <c r="F175" i="10"/>
  <c r="C175" i="10"/>
  <c r="F174" i="10"/>
  <c r="C174" i="10"/>
  <c r="F173" i="10"/>
  <c r="C173" i="10"/>
  <c r="F172" i="10"/>
  <c r="C172" i="10"/>
  <c r="F171" i="10"/>
  <c r="C171" i="10"/>
  <c r="F170" i="10"/>
  <c r="C170" i="10"/>
  <c r="F169" i="10"/>
  <c r="C169" i="10"/>
  <c r="F168" i="10"/>
  <c r="C168" i="10"/>
  <c r="F167" i="10"/>
  <c r="C167" i="10"/>
  <c r="F166" i="10"/>
  <c r="C166" i="10"/>
  <c r="F165" i="10"/>
  <c r="C165" i="10"/>
  <c r="F164" i="10"/>
  <c r="C164" i="10"/>
  <c r="F163" i="10"/>
  <c r="C163" i="10"/>
  <c r="F162" i="10"/>
  <c r="C162" i="10"/>
  <c r="F161" i="10"/>
  <c r="C161" i="10"/>
  <c r="F160" i="10"/>
  <c r="C160" i="10"/>
  <c r="F159" i="10"/>
  <c r="C159" i="10"/>
  <c r="F158" i="10"/>
  <c r="C158" i="10"/>
  <c r="F157" i="10"/>
  <c r="C157" i="10"/>
  <c r="F156" i="10"/>
  <c r="C156" i="10"/>
  <c r="F155" i="10"/>
  <c r="C155" i="10"/>
  <c r="F154" i="10"/>
  <c r="C154" i="10"/>
  <c r="F153" i="10"/>
  <c r="C153" i="10"/>
  <c r="F152" i="10"/>
  <c r="C152" i="10"/>
  <c r="F151" i="10"/>
  <c r="C151" i="10"/>
  <c r="F150" i="10"/>
  <c r="C150" i="10"/>
  <c r="F149" i="10"/>
  <c r="C149" i="10"/>
  <c r="F148" i="10"/>
  <c r="C148" i="10"/>
  <c r="F147" i="10"/>
  <c r="C147" i="10"/>
  <c r="F146" i="10"/>
  <c r="C146" i="10"/>
  <c r="F145" i="10"/>
  <c r="C145" i="10"/>
  <c r="F144" i="10"/>
  <c r="C144" i="10"/>
  <c r="F143" i="10"/>
  <c r="C143" i="10"/>
  <c r="F142" i="10"/>
  <c r="C142" i="10"/>
  <c r="F141" i="10"/>
  <c r="C141" i="10"/>
  <c r="F140" i="10"/>
  <c r="C140" i="10"/>
  <c r="F139" i="10"/>
  <c r="C139" i="10"/>
  <c r="F138" i="10"/>
  <c r="C138" i="10"/>
  <c r="F137" i="10"/>
  <c r="C137" i="10"/>
  <c r="F136" i="10"/>
  <c r="C136" i="10"/>
  <c r="F135" i="10"/>
  <c r="C135" i="10"/>
  <c r="F134" i="10"/>
  <c r="C134" i="10"/>
  <c r="F133" i="10"/>
  <c r="C133" i="10"/>
  <c r="F132" i="10"/>
  <c r="C132" i="10"/>
  <c r="F131" i="10"/>
  <c r="C131" i="10"/>
  <c r="F130" i="10"/>
  <c r="C130" i="10"/>
  <c r="F129" i="10"/>
  <c r="C129" i="10"/>
  <c r="F128" i="10"/>
  <c r="C128" i="10"/>
  <c r="F127" i="10"/>
  <c r="C127" i="10"/>
  <c r="F126" i="10"/>
  <c r="C126" i="10"/>
  <c r="F125" i="10"/>
  <c r="C125" i="10"/>
  <c r="F124" i="10"/>
  <c r="C124" i="10"/>
  <c r="F123" i="10"/>
  <c r="C123" i="10"/>
  <c r="F122" i="10"/>
  <c r="C122" i="10"/>
  <c r="F121" i="10"/>
  <c r="C121" i="10"/>
  <c r="F120" i="10"/>
  <c r="C120" i="10"/>
  <c r="F119" i="10"/>
  <c r="C119" i="10"/>
  <c r="F118" i="10"/>
  <c r="C118" i="10"/>
  <c r="F117" i="10"/>
  <c r="C117" i="10"/>
  <c r="F116" i="10"/>
  <c r="C116" i="10"/>
  <c r="F115" i="10"/>
  <c r="C115" i="10"/>
  <c r="F114" i="10"/>
  <c r="C114" i="10"/>
  <c r="F113" i="10"/>
  <c r="C113" i="10"/>
  <c r="F112" i="10"/>
  <c r="C112" i="10"/>
  <c r="F111" i="10"/>
  <c r="C111" i="10"/>
  <c r="F110" i="10"/>
  <c r="C110" i="10"/>
  <c r="F109" i="10"/>
  <c r="C109" i="10"/>
  <c r="F108" i="10"/>
  <c r="C108" i="10"/>
  <c r="F107" i="10"/>
  <c r="C107" i="10"/>
  <c r="F106" i="10"/>
  <c r="C106" i="10"/>
  <c r="F105" i="10"/>
  <c r="C105" i="10"/>
  <c r="F104" i="10"/>
  <c r="C104" i="10"/>
  <c r="F103" i="10"/>
  <c r="C103" i="10"/>
  <c r="F102" i="10"/>
  <c r="C102" i="10"/>
  <c r="F101" i="10"/>
  <c r="C101" i="10"/>
  <c r="F100" i="10"/>
  <c r="C100" i="10"/>
  <c r="F99" i="10"/>
  <c r="C99" i="10"/>
  <c r="F98" i="10"/>
  <c r="C98" i="10"/>
  <c r="F97" i="10"/>
  <c r="C97" i="10"/>
  <c r="F96" i="10"/>
  <c r="C96" i="10"/>
  <c r="F95" i="10"/>
  <c r="C95" i="10"/>
  <c r="F94" i="10"/>
  <c r="C94" i="10"/>
  <c r="F93" i="10"/>
  <c r="C93" i="10"/>
  <c r="F92" i="10"/>
  <c r="C92" i="10"/>
  <c r="F91" i="10"/>
  <c r="C91" i="10"/>
  <c r="F90" i="10"/>
  <c r="C90" i="10"/>
  <c r="F89" i="10"/>
  <c r="C89" i="10"/>
  <c r="F88" i="10"/>
  <c r="C88" i="10"/>
  <c r="F87" i="10"/>
  <c r="C87" i="10"/>
  <c r="F86" i="10"/>
  <c r="C86" i="10"/>
  <c r="F85" i="10"/>
  <c r="C85" i="10"/>
  <c r="F84" i="10"/>
  <c r="C84" i="10"/>
  <c r="F83" i="10"/>
  <c r="C83" i="10"/>
  <c r="F82" i="10"/>
  <c r="C82" i="10"/>
  <c r="J649" i="12"/>
  <c r="F649" i="12"/>
  <c r="E649" i="12"/>
  <c r="C649" i="12"/>
  <c r="D649" i="12" s="1"/>
  <c r="J648" i="12"/>
  <c r="F648" i="12"/>
  <c r="E648" i="12"/>
  <c r="C648" i="12"/>
  <c r="D648" i="12" s="1"/>
  <c r="J647" i="12"/>
  <c r="F647" i="12"/>
  <c r="E647" i="12"/>
  <c r="C647" i="12"/>
  <c r="D647" i="12" s="1"/>
  <c r="J646" i="12"/>
  <c r="F646" i="12"/>
  <c r="E646" i="12"/>
  <c r="C646" i="12"/>
  <c r="D646" i="12" s="1"/>
  <c r="J645" i="12"/>
  <c r="F645" i="12"/>
  <c r="E645" i="12"/>
  <c r="C645" i="12"/>
  <c r="K645" i="12" s="1"/>
  <c r="J644" i="12"/>
  <c r="F644" i="12"/>
  <c r="E644" i="12"/>
  <c r="C644" i="12"/>
  <c r="K644" i="12" s="1"/>
  <c r="J643" i="12"/>
  <c r="F643" i="12"/>
  <c r="E643" i="12"/>
  <c r="C643" i="12"/>
  <c r="K643" i="12" s="1"/>
  <c r="J642" i="12"/>
  <c r="F642" i="12"/>
  <c r="E642" i="12"/>
  <c r="C642" i="12"/>
  <c r="K642" i="12" s="1"/>
  <c r="J641" i="12"/>
  <c r="F641" i="12"/>
  <c r="E641" i="12"/>
  <c r="C641" i="12"/>
  <c r="D641" i="12" s="1"/>
  <c r="J640" i="12"/>
  <c r="F640" i="12"/>
  <c r="E640" i="12"/>
  <c r="C640" i="12"/>
  <c r="D640" i="12" s="1"/>
  <c r="J639" i="12"/>
  <c r="F639" i="12"/>
  <c r="E639" i="12"/>
  <c r="C639" i="12"/>
  <c r="D639" i="12" s="1"/>
  <c r="J638" i="12"/>
  <c r="F638" i="12"/>
  <c r="E638" i="12"/>
  <c r="C638" i="12"/>
  <c r="K638" i="12" s="1"/>
  <c r="J637" i="12"/>
  <c r="F637" i="12"/>
  <c r="E637" i="12"/>
  <c r="C637" i="12"/>
  <c r="K637" i="12" s="1"/>
  <c r="J636" i="12"/>
  <c r="F636" i="12"/>
  <c r="E636" i="12"/>
  <c r="C636" i="12"/>
  <c r="K636" i="12" s="1"/>
  <c r="J635" i="12"/>
  <c r="F635" i="12"/>
  <c r="E635" i="12"/>
  <c r="C635" i="12"/>
  <c r="K635" i="12" s="1"/>
  <c r="J634" i="12"/>
  <c r="F634" i="12"/>
  <c r="E634" i="12"/>
  <c r="C634" i="12"/>
  <c r="K634" i="12" s="1"/>
  <c r="J633" i="12"/>
  <c r="F633" i="12"/>
  <c r="E633" i="12"/>
  <c r="C633" i="12"/>
  <c r="D633" i="12" s="1"/>
  <c r="J632" i="12"/>
  <c r="F632" i="12"/>
  <c r="E632" i="12"/>
  <c r="C632" i="12"/>
  <c r="D632" i="12" s="1"/>
  <c r="J631" i="12"/>
  <c r="F631" i="12"/>
  <c r="E631" i="12"/>
  <c r="C631" i="12"/>
  <c r="D631" i="12" s="1"/>
  <c r="J630" i="12"/>
  <c r="F630" i="12"/>
  <c r="E630" i="12"/>
  <c r="C630" i="12"/>
  <c r="D630" i="12" s="1"/>
  <c r="J629" i="12"/>
  <c r="F629" i="12"/>
  <c r="E629" i="12"/>
  <c r="C629" i="12"/>
  <c r="K629" i="12" s="1"/>
  <c r="J628" i="12"/>
  <c r="F628" i="12"/>
  <c r="E628" i="12"/>
  <c r="C628" i="12"/>
  <c r="K628" i="12" s="1"/>
  <c r="J627" i="12"/>
  <c r="F627" i="12"/>
  <c r="E627" i="12"/>
  <c r="C627" i="12"/>
  <c r="K627" i="12" s="1"/>
  <c r="J626" i="12"/>
  <c r="F626" i="12"/>
  <c r="E626" i="12"/>
  <c r="C626" i="12"/>
  <c r="K626" i="12" s="1"/>
  <c r="J625" i="12"/>
  <c r="F625" i="12"/>
  <c r="E625" i="12"/>
  <c r="C625" i="12"/>
  <c r="D625" i="12" s="1"/>
  <c r="J624" i="12"/>
  <c r="F624" i="12"/>
  <c r="E624" i="12"/>
  <c r="C624" i="12"/>
  <c r="D624" i="12" s="1"/>
  <c r="J623" i="12"/>
  <c r="F623" i="12"/>
  <c r="E623" i="12"/>
  <c r="C623" i="12"/>
  <c r="D623" i="12" s="1"/>
  <c r="J622" i="12"/>
  <c r="F622" i="12"/>
  <c r="E622" i="12"/>
  <c r="C622" i="12"/>
  <c r="D622" i="12" s="1"/>
  <c r="J621" i="12"/>
  <c r="F621" i="12"/>
  <c r="E621" i="12"/>
  <c r="C621" i="12"/>
  <c r="K621" i="12" s="1"/>
  <c r="J620" i="12"/>
  <c r="F620" i="12"/>
  <c r="E620" i="12"/>
  <c r="C620" i="12"/>
  <c r="K620" i="12" s="1"/>
  <c r="J619" i="12"/>
  <c r="F619" i="12"/>
  <c r="E619" i="12"/>
  <c r="C619" i="12"/>
  <c r="K619" i="12" s="1"/>
  <c r="J618" i="12"/>
  <c r="F618" i="12"/>
  <c r="E618" i="12"/>
  <c r="C618" i="12"/>
  <c r="K618" i="12" s="1"/>
  <c r="J617" i="12"/>
  <c r="F617" i="12"/>
  <c r="E617" i="12"/>
  <c r="C617" i="12"/>
  <c r="D617" i="12" s="1"/>
  <c r="J616" i="12"/>
  <c r="F616" i="12"/>
  <c r="E616" i="12"/>
  <c r="C616" i="12"/>
  <c r="D616" i="12" s="1"/>
  <c r="J615" i="12"/>
  <c r="F615" i="12"/>
  <c r="E615" i="12"/>
  <c r="C615" i="12"/>
  <c r="D615" i="12" s="1"/>
  <c r="J614" i="12"/>
  <c r="F614" i="12"/>
  <c r="E614" i="12"/>
  <c r="C614" i="12"/>
  <c r="D614" i="12" s="1"/>
  <c r="J613" i="12"/>
  <c r="F613" i="12"/>
  <c r="E613" i="12"/>
  <c r="C613" i="12"/>
  <c r="K613" i="12" s="1"/>
  <c r="J612" i="12"/>
  <c r="F612" i="12"/>
  <c r="E612" i="12"/>
  <c r="C612" i="12"/>
  <c r="K612" i="12" s="1"/>
  <c r="J611" i="12"/>
  <c r="F611" i="12"/>
  <c r="E611" i="12"/>
  <c r="C611" i="12"/>
  <c r="K611" i="12" s="1"/>
  <c r="J610" i="12"/>
  <c r="F610" i="12"/>
  <c r="E610" i="12"/>
  <c r="C610" i="12"/>
  <c r="K610" i="12" s="1"/>
  <c r="J609" i="12"/>
  <c r="F609" i="12"/>
  <c r="E609" i="12"/>
  <c r="C609" i="12"/>
  <c r="D609" i="12" s="1"/>
  <c r="J608" i="12"/>
  <c r="F608" i="12"/>
  <c r="E608" i="12"/>
  <c r="C608" i="12"/>
  <c r="D608" i="12" s="1"/>
  <c r="J607" i="12"/>
  <c r="F607" i="12"/>
  <c r="E607" i="12"/>
  <c r="C607" i="12"/>
  <c r="D607" i="12" s="1"/>
  <c r="J606" i="12"/>
  <c r="F606" i="12"/>
  <c r="E606" i="12"/>
  <c r="C606" i="12"/>
  <c r="D606" i="12" s="1"/>
  <c r="J605" i="12"/>
  <c r="F605" i="12"/>
  <c r="E605" i="12"/>
  <c r="C605" i="12"/>
  <c r="K605" i="12" s="1"/>
  <c r="J604" i="12"/>
  <c r="F604" i="12"/>
  <c r="E604" i="12"/>
  <c r="C604" i="12"/>
  <c r="K604" i="12" s="1"/>
  <c r="J603" i="12"/>
  <c r="F603" i="12"/>
  <c r="E603" i="12"/>
  <c r="C603" i="12"/>
  <c r="K603" i="12" s="1"/>
  <c r="J602" i="12"/>
  <c r="F602" i="12"/>
  <c r="E602" i="12"/>
  <c r="C602" i="12"/>
  <c r="K602" i="12" s="1"/>
  <c r="J601" i="12"/>
  <c r="F601" i="12"/>
  <c r="E601" i="12"/>
  <c r="C601" i="12"/>
  <c r="D601" i="12" s="1"/>
  <c r="J600" i="12"/>
  <c r="F600" i="12"/>
  <c r="E600" i="12"/>
  <c r="C600" i="12"/>
  <c r="D600" i="12" s="1"/>
  <c r="J599" i="12"/>
  <c r="F599" i="12"/>
  <c r="E599" i="12"/>
  <c r="C599" i="12"/>
  <c r="D599" i="12" s="1"/>
  <c r="J598" i="12"/>
  <c r="F598" i="12"/>
  <c r="E598" i="12"/>
  <c r="C598" i="12"/>
  <c r="D598" i="12" s="1"/>
  <c r="J597" i="12"/>
  <c r="F597" i="12"/>
  <c r="E597" i="12"/>
  <c r="C597" i="12"/>
  <c r="K597" i="12" s="1"/>
  <c r="J596" i="12"/>
  <c r="F596" i="12"/>
  <c r="E596" i="12"/>
  <c r="C596" i="12"/>
  <c r="K596" i="12" s="1"/>
  <c r="J595" i="12"/>
  <c r="F595" i="12"/>
  <c r="E595" i="12"/>
  <c r="C595" i="12"/>
  <c r="K595" i="12" s="1"/>
  <c r="J594" i="12"/>
  <c r="F594" i="12"/>
  <c r="E594" i="12"/>
  <c r="C594" i="12"/>
  <c r="K594" i="12" s="1"/>
  <c r="J593" i="12"/>
  <c r="F593" i="12"/>
  <c r="E593" i="12"/>
  <c r="C593" i="12"/>
  <c r="D593" i="12" s="1"/>
  <c r="J592" i="12"/>
  <c r="F592" i="12"/>
  <c r="E592" i="12"/>
  <c r="C592" i="12"/>
  <c r="D592" i="12" s="1"/>
  <c r="J591" i="12"/>
  <c r="F591" i="12"/>
  <c r="E591" i="12"/>
  <c r="C591" i="12"/>
  <c r="D591" i="12" s="1"/>
  <c r="J590" i="12"/>
  <c r="F590" i="12"/>
  <c r="E590" i="12"/>
  <c r="C590" i="12"/>
  <c r="K590" i="12" s="1"/>
  <c r="J589" i="12"/>
  <c r="F589" i="12"/>
  <c r="E589" i="12"/>
  <c r="C589" i="12"/>
  <c r="K589" i="12" s="1"/>
  <c r="J588" i="12"/>
  <c r="F588" i="12"/>
  <c r="E588" i="12"/>
  <c r="C588" i="12"/>
  <c r="K588" i="12" s="1"/>
  <c r="J587" i="12"/>
  <c r="F587" i="12"/>
  <c r="E587" i="12"/>
  <c r="C587" i="12"/>
  <c r="K587" i="12" s="1"/>
  <c r="C587" i="11"/>
  <c r="J586" i="12"/>
  <c r="F586" i="12"/>
  <c r="E586" i="12"/>
  <c r="C586" i="12"/>
  <c r="K586" i="12" s="1"/>
  <c r="C586" i="11"/>
  <c r="J585" i="12"/>
  <c r="F585" i="12"/>
  <c r="E585" i="12"/>
  <c r="C585" i="12"/>
  <c r="D585" i="12" s="1"/>
  <c r="C585" i="11"/>
  <c r="J584" i="12"/>
  <c r="F584" i="12"/>
  <c r="E584" i="12"/>
  <c r="C584" i="12"/>
  <c r="D584" i="12" s="1"/>
  <c r="C584" i="11"/>
  <c r="J583" i="12"/>
  <c r="F583" i="12"/>
  <c r="E583" i="12"/>
  <c r="C583" i="12"/>
  <c r="D583" i="12" s="1"/>
  <c r="C583" i="11"/>
  <c r="J582" i="12"/>
  <c r="F582" i="12"/>
  <c r="E582" i="12"/>
  <c r="C582" i="12"/>
  <c r="D582" i="12" s="1"/>
  <c r="C582" i="11"/>
  <c r="J581" i="12"/>
  <c r="F581" i="12"/>
  <c r="E581" i="12"/>
  <c r="C581" i="12"/>
  <c r="K581" i="12" s="1"/>
  <c r="C581" i="11"/>
  <c r="J580" i="12"/>
  <c r="F580" i="12"/>
  <c r="E580" i="12"/>
  <c r="C580" i="12"/>
  <c r="K580" i="12" s="1"/>
  <c r="C580" i="11"/>
  <c r="J579" i="12"/>
  <c r="F579" i="12"/>
  <c r="E579" i="12"/>
  <c r="C579" i="12"/>
  <c r="K579" i="12" s="1"/>
  <c r="C579" i="11"/>
  <c r="J578" i="12"/>
  <c r="F578" i="12"/>
  <c r="E578" i="12"/>
  <c r="C578" i="12"/>
  <c r="K578" i="12" s="1"/>
  <c r="C578" i="11"/>
  <c r="J577" i="12"/>
  <c r="F577" i="12"/>
  <c r="E577" i="12"/>
  <c r="C577" i="12"/>
  <c r="D577" i="12" s="1"/>
  <c r="C577" i="11"/>
  <c r="J576" i="12"/>
  <c r="F576" i="12"/>
  <c r="E576" i="12"/>
  <c r="C576" i="12"/>
  <c r="D576" i="12" s="1"/>
  <c r="C576" i="11"/>
  <c r="J575" i="12"/>
  <c r="F575" i="12"/>
  <c r="E575" i="12"/>
  <c r="C575" i="12"/>
  <c r="D575" i="12" s="1"/>
  <c r="C575" i="11"/>
  <c r="J574" i="12"/>
  <c r="F574" i="12"/>
  <c r="E574" i="12"/>
  <c r="C574" i="12"/>
  <c r="D574" i="12" s="1"/>
  <c r="C574" i="11"/>
  <c r="J573" i="12"/>
  <c r="F573" i="12"/>
  <c r="E573" i="12"/>
  <c r="C573" i="12"/>
  <c r="K573" i="12" s="1"/>
  <c r="C573" i="11"/>
  <c r="J572" i="12"/>
  <c r="F572" i="12"/>
  <c r="E572" i="12"/>
  <c r="C572" i="12"/>
  <c r="K572" i="12" s="1"/>
  <c r="C572" i="11"/>
  <c r="J571" i="12"/>
  <c r="F571" i="12"/>
  <c r="E571" i="12"/>
  <c r="C571" i="12"/>
  <c r="K571" i="12" s="1"/>
  <c r="C571" i="11"/>
  <c r="J570" i="12"/>
  <c r="F570" i="12"/>
  <c r="E570" i="12"/>
  <c r="C570" i="12"/>
  <c r="K570" i="12" s="1"/>
  <c r="C570" i="11"/>
  <c r="J569" i="12"/>
  <c r="F569" i="12"/>
  <c r="E569" i="12"/>
  <c r="C569" i="12"/>
  <c r="D569" i="12" s="1"/>
  <c r="C569" i="11"/>
  <c r="J568" i="12"/>
  <c r="F568" i="12"/>
  <c r="E568" i="12"/>
  <c r="C568" i="12"/>
  <c r="D568" i="12" s="1"/>
  <c r="C568" i="11"/>
  <c r="J567" i="12"/>
  <c r="F567" i="12"/>
  <c r="E567" i="12"/>
  <c r="C567" i="12"/>
  <c r="D567" i="12" s="1"/>
  <c r="C567" i="11"/>
  <c r="J566" i="12"/>
  <c r="F566" i="12"/>
  <c r="E566" i="12"/>
  <c r="C566" i="12"/>
  <c r="D566" i="12" s="1"/>
  <c r="C566" i="11"/>
  <c r="J565" i="12"/>
  <c r="F565" i="12"/>
  <c r="E565" i="12"/>
  <c r="C565" i="12"/>
  <c r="K565" i="12" s="1"/>
  <c r="C565" i="11"/>
  <c r="J564" i="12"/>
  <c r="F564" i="12"/>
  <c r="E564" i="12"/>
  <c r="C564" i="12"/>
  <c r="K564" i="12" s="1"/>
  <c r="C564" i="11"/>
  <c r="J563" i="12"/>
  <c r="F563" i="12"/>
  <c r="E563" i="12"/>
  <c r="C563" i="12"/>
  <c r="K563" i="12" s="1"/>
  <c r="C563" i="11"/>
  <c r="J562" i="12"/>
  <c r="F562" i="12"/>
  <c r="E562" i="12"/>
  <c r="C562" i="12"/>
  <c r="K562" i="12" s="1"/>
  <c r="C562" i="11"/>
  <c r="J561" i="12"/>
  <c r="F561" i="12"/>
  <c r="E561" i="12"/>
  <c r="C561" i="12"/>
  <c r="D561" i="12" s="1"/>
  <c r="C561" i="11"/>
  <c r="J560" i="12"/>
  <c r="F560" i="12"/>
  <c r="E560" i="12"/>
  <c r="C560" i="12"/>
  <c r="D560" i="12" s="1"/>
  <c r="C560" i="11"/>
  <c r="J559" i="12"/>
  <c r="F559" i="12"/>
  <c r="E559" i="12"/>
  <c r="C559" i="12"/>
  <c r="D559" i="12" s="1"/>
  <c r="C559" i="11"/>
  <c r="J558" i="12"/>
  <c r="F558" i="12"/>
  <c r="E558" i="12"/>
  <c r="C558" i="12"/>
  <c r="K558" i="12" s="1"/>
  <c r="C558" i="11"/>
  <c r="J557" i="12"/>
  <c r="F557" i="12"/>
  <c r="E557" i="12"/>
  <c r="C557" i="12"/>
  <c r="K557" i="12" s="1"/>
  <c r="C557" i="11"/>
  <c r="J556" i="12"/>
  <c r="F556" i="12"/>
  <c r="E556" i="12"/>
  <c r="C556" i="12"/>
  <c r="K556" i="12" s="1"/>
  <c r="C556" i="11"/>
  <c r="J555" i="12"/>
  <c r="F555" i="12"/>
  <c r="E555" i="12"/>
  <c r="C555" i="12"/>
  <c r="K555" i="12" s="1"/>
  <c r="C555" i="11"/>
  <c r="J554" i="12"/>
  <c r="F554" i="12"/>
  <c r="E554" i="12"/>
  <c r="C554" i="12"/>
  <c r="K554" i="12" s="1"/>
  <c r="C554" i="11"/>
  <c r="J553" i="12"/>
  <c r="F553" i="12"/>
  <c r="E553" i="12"/>
  <c r="C553" i="12"/>
  <c r="D553" i="12" s="1"/>
  <c r="C553" i="11"/>
  <c r="J552" i="12"/>
  <c r="F552" i="12"/>
  <c r="E552" i="12"/>
  <c r="C552" i="12"/>
  <c r="D552" i="12" s="1"/>
  <c r="C552" i="11"/>
  <c r="J551" i="12"/>
  <c r="F551" i="12"/>
  <c r="E551" i="12"/>
  <c r="C551" i="12"/>
  <c r="D551" i="12" s="1"/>
  <c r="C551" i="11"/>
  <c r="J550" i="12"/>
  <c r="F550" i="12"/>
  <c r="E550" i="12"/>
  <c r="C550" i="12"/>
  <c r="D550" i="12" s="1"/>
  <c r="C550" i="11"/>
  <c r="J549" i="12"/>
  <c r="F549" i="12"/>
  <c r="E549" i="12"/>
  <c r="C549" i="12"/>
  <c r="K549" i="12" s="1"/>
  <c r="C549" i="11"/>
  <c r="J548" i="12"/>
  <c r="F548" i="12"/>
  <c r="E548" i="12"/>
  <c r="C548" i="12"/>
  <c r="K548" i="12" s="1"/>
  <c r="C548" i="11"/>
  <c r="J547" i="12"/>
  <c r="F547" i="12"/>
  <c r="E547" i="12"/>
  <c r="C547" i="12"/>
  <c r="K547" i="12" s="1"/>
  <c r="C547" i="11"/>
  <c r="J546" i="12"/>
  <c r="F546" i="12"/>
  <c r="E546" i="12"/>
  <c r="C546" i="12"/>
  <c r="K546" i="12" s="1"/>
  <c r="C546" i="11"/>
  <c r="J545" i="12"/>
  <c r="F545" i="12"/>
  <c r="E545" i="12"/>
  <c r="C545" i="12"/>
  <c r="D545" i="12" s="1"/>
  <c r="C545" i="11"/>
  <c r="J544" i="12"/>
  <c r="F544" i="12"/>
  <c r="E544" i="12"/>
  <c r="C544" i="12"/>
  <c r="D544" i="12" s="1"/>
  <c r="C544" i="11"/>
  <c r="J543" i="12"/>
  <c r="F543" i="12"/>
  <c r="E543" i="12"/>
  <c r="C543" i="12"/>
  <c r="D543" i="12" s="1"/>
  <c r="C543" i="11"/>
  <c r="J542" i="12"/>
  <c r="F542" i="12"/>
  <c r="E542" i="12"/>
  <c r="C542" i="12"/>
  <c r="K542" i="12" s="1"/>
  <c r="C542" i="11"/>
  <c r="J541" i="12"/>
  <c r="F541" i="12"/>
  <c r="E541" i="12"/>
  <c r="C541" i="12"/>
  <c r="K541" i="12" s="1"/>
  <c r="C541" i="11"/>
  <c r="J540" i="12"/>
  <c r="F540" i="12"/>
  <c r="E540" i="12"/>
  <c r="C540" i="12"/>
  <c r="K540" i="12" s="1"/>
  <c r="C540" i="11"/>
  <c r="J539" i="12"/>
  <c r="F539" i="12"/>
  <c r="E539" i="12"/>
  <c r="C539" i="12"/>
  <c r="K539" i="12" s="1"/>
  <c r="C539" i="11"/>
  <c r="J538" i="12"/>
  <c r="F538" i="12"/>
  <c r="E538" i="12"/>
  <c r="C538" i="12"/>
  <c r="K538" i="12" s="1"/>
  <c r="C538" i="11"/>
  <c r="J537" i="12"/>
  <c r="F537" i="12"/>
  <c r="E537" i="12"/>
  <c r="C537" i="12"/>
  <c r="D537" i="12" s="1"/>
  <c r="C537" i="11"/>
  <c r="J536" i="12"/>
  <c r="F536" i="12"/>
  <c r="E536" i="12"/>
  <c r="C536" i="12"/>
  <c r="D536" i="12" s="1"/>
  <c r="C536" i="11"/>
  <c r="J535" i="12"/>
  <c r="F535" i="12"/>
  <c r="E535" i="12"/>
  <c r="C535" i="12"/>
  <c r="D535" i="12" s="1"/>
  <c r="C535" i="11"/>
  <c r="J534" i="12"/>
  <c r="F534" i="12"/>
  <c r="E534" i="12"/>
  <c r="C534" i="12"/>
  <c r="D534" i="12" s="1"/>
  <c r="C534" i="11"/>
  <c r="J533" i="12"/>
  <c r="F533" i="12"/>
  <c r="E533" i="12"/>
  <c r="C533" i="12"/>
  <c r="K533" i="12" s="1"/>
  <c r="C533" i="11"/>
  <c r="J532" i="12"/>
  <c r="F532" i="12"/>
  <c r="E532" i="12"/>
  <c r="C532" i="12"/>
  <c r="K532" i="12" s="1"/>
  <c r="C532" i="11"/>
  <c r="J531" i="12"/>
  <c r="F531" i="12"/>
  <c r="E531" i="12"/>
  <c r="C531" i="12"/>
  <c r="K531" i="12" s="1"/>
  <c r="C531" i="11"/>
  <c r="J530" i="12"/>
  <c r="F530" i="12"/>
  <c r="E530" i="12"/>
  <c r="C530" i="12"/>
  <c r="K530" i="12" s="1"/>
  <c r="C530" i="11"/>
  <c r="J529" i="12"/>
  <c r="F529" i="12"/>
  <c r="E529" i="12"/>
  <c r="C529" i="12"/>
  <c r="D529" i="12" s="1"/>
  <c r="C529" i="11"/>
  <c r="J528" i="12"/>
  <c r="F528" i="12"/>
  <c r="E528" i="12"/>
  <c r="C528" i="12"/>
  <c r="D528" i="12" s="1"/>
  <c r="C528" i="11"/>
  <c r="J527" i="12"/>
  <c r="F527" i="12"/>
  <c r="E527" i="12"/>
  <c r="C527" i="12"/>
  <c r="D527" i="12" s="1"/>
  <c r="C527" i="11"/>
  <c r="J526" i="12"/>
  <c r="F526" i="12"/>
  <c r="E526" i="12"/>
  <c r="C526" i="12"/>
  <c r="K526" i="12" s="1"/>
  <c r="C526" i="11"/>
  <c r="J525" i="12"/>
  <c r="F525" i="12"/>
  <c r="E525" i="12"/>
  <c r="C525" i="12"/>
  <c r="K525" i="12" s="1"/>
  <c r="C525" i="11"/>
  <c r="J524" i="12"/>
  <c r="F524" i="12"/>
  <c r="E524" i="12"/>
  <c r="C524" i="12"/>
  <c r="K524" i="12" s="1"/>
  <c r="C524" i="11"/>
  <c r="J523" i="12"/>
  <c r="F523" i="12"/>
  <c r="E523" i="12"/>
  <c r="C523" i="12"/>
  <c r="K523" i="12" s="1"/>
  <c r="C523" i="11"/>
  <c r="J522" i="12"/>
  <c r="F522" i="12"/>
  <c r="E522" i="12"/>
  <c r="C522" i="12"/>
  <c r="K522" i="12" s="1"/>
  <c r="C522" i="11"/>
  <c r="J521" i="12"/>
  <c r="F521" i="12"/>
  <c r="E521" i="12"/>
  <c r="C521" i="12"/>
  <c r="D521" i="12" s="1"/>
  <c r="C521" i="11"/>
  <c r="J520" i="12"/>
  <c r="F520" i="12"/>
  <c r="E520" i="12"/>
  <c r="C520" i="12"/>
  <c r="D520" i="12" s="1"/>
  <c r="C520" i="11"/>
  <c r="J519" i="12"/>
  <c r="F519" i="12"/>
  <c r="E519" i="12"/>
  <c r="C519" i="12"/>
  <c r="D519" i="12" s="1"/>
  <c r="C519" i="11"/>
  <c r="J518" i="12"/>
  <c r="F518" i="12"/>
  <c r="E518" i="12"/>
  <c r="C518" i="12"/>
  <c r="D518" i="12" s="1"/>
  <c r="C518" i="11"/>
  <c r="J517" i="12"/>
  <c r="F517" i="12"/>
  <c r="E517" i="12"/>
  <c r="C517" i="12"/>
  <c r="K517" i="12" s="1"/>
  <c r="C517" i="11"/>
  <c r="J516" i="12"/>
  <c r="F516" i="12"/>
  <c r="E516" i="12"/>
  <c r="C516" i="12"/>
  <c r="K516" i="12" s="1"/>
  <c r="C516" i="11"/>
  <c r="J515" i="12"/>
  <c r="F515" i="12"/>
  <c r="E515" i="12"/>
  <c r="C515" i="12"/>
  <c r="K515" i="12" s="1"/>
  <c r="C515" i="11"/>
  <c r="J514" i="12"/>
  <c r="F514" i="12"/>
  <c r="E514" i="12"/>
  <c r="C514" i="12"/>
  <c r="K514" i="12" s="1"/>
  <c r="C514" i="11"/>
  <c r="J513" i="12"/>
  <c r="F513" i="12"/>
  <c r="E513" i="12"/>
  <c r="C513" i="12"/>
  <c r="D513" i="12" s="1"/>
  <c r="C513" i="11"/>
  <c r="J512" i="12"/>
  <c r="F512" i="12"/>
  <c r="E512" i="12"/>
  <c r="C512" i="12"/>
  <c r="D512" i="12" s="1"/>
  <c r="C512" i="11"/>
  <c r="J511" i="12"/>
  <c r="F511" i="12"/>
  <c r="E511" i="12"/>
  <c r="C511" i="12"/>
  <c r="D511" i="12" s="1"/>
  <c r="C511" i="11"/>
  <c r="J510" i="12"/>
  <c r="F510" i="12"/>
  <c r="E510" i="12"/>
  <c r="C510" i="12"/>
  <c r="D510" i="12" s="1"/>
  <c r="C510" i="11"/>
  <c r="J509" i="12"/>
  <c r="F509" i="12"/>
  <c r="E509" i="12"/>
  <c r="C509" i="12"/>
  <c r="K509" i="12" s="1"/>
  <c r="C509" i="11"/>
  <c r="J508" i="12"/>
  <c r="F508" i="12"/>
  <c r="E508" i="12"/>
  <c r="C508" i="12"/>
  <c r="K508" i="12" s="1"/>
  <c r="C508" i="11"/>
  <c r="J507" i="12"/>
  <c r="F507" i="12"/>
  <c r="E507" i="12"/>
  <c r="C507" i="12"/>
  <c r="K507" i="12" s="1"/>
  <c r="C507" i="11"/>
  <c r="J506" i="12"/>
  <c r="F506" i="12"/>
  <c r="E506" i="12"/>
  <c r="C506" i="12"/>
  <c r="K506" i="12" s="1"/>
  <c r="C506" i="11"/>
  <c r="J505" i="12"/>
  <c r="F505" i="12"/>
  <c r="E505" i="12"/>
  <c r="C505" i="12"/>
  <c r="D505" i="12" s="1"/>
  <c r="C505" i="11"/>
  <c r="J504" i="12"/>
  <c r="F504" i="12"/>
  <c r="E504" i="12"/>
  <c r="C504" i="12"/>
  <c r="D504" i="12" s="1"/>
  <c r="C504" i="11"/>
  <c r="J503" i="12"/>
  <c r="F503" i="12"/>
  <c r="E503" i="12"/>
  <c r="C503" i="12"/>
  <c r="D503" i="12" s="1"/>
  <c r="C503" i="11"/>
  <c r="J502" i="12"/>
  <c r="F502" i="12"/>
  <c r="E502" i="12"/>
  <c r="C502" i="12"/>
  <c r="K502" i="12" s="1"/>
  <c r="C502" i="11"/>
  <c r="J501" i="12"/>
  <c r="F501" i="12"/>
  <c r="E501" i="12"/>
  <c r="C501" i="12"/>
  <c r="K501" i="12" s="1"/>
  <c r="C501" i="11"/>
  <c r="J500" i="12"/>
  <c r="F500" i="12"/>
  <c r="E500" i="12"/>
  <c r="C500" i="12"/>
  <c r="K500" i="12" s="1"/>
  <c r="C500" i="11"/>
  <c r="J499" i="12"/>
  <c r="F499" i="12"/>
  <c r="E499" i="12"/>
  <c r="C499" i="12"/>
  <c r="K499" i="12" s="1"/>
  <c r="C499" i="11"/>
  <c r="J498" i="12"/>
  <c r="F498" i="12"/>
  <c r="E498" i="12"/>
  <c r="C498" i="12"/>
  <c r="K498" i="12" s="1"/>
  <c r="C498" i="11"/>
  <c r="J497" i="12"/>
  <c r="F497" i="12"/>
  <c r="E497" i="12"/>
  <c r="C497" i="12"/>
  <c r="D497" i="12" s="1"/>
  <c r="C497" i="11"/>
  <c r="J496" i="12"/>
  <c r="F496" i="12"/>
  <c r="E496" i="12"/>
  <c r="C496" i="12"/>
  <c r="D496" i="12" s="1"/>
  <c r="C496" i="11"/>
  <c r="J495" i="12"/>
  <c r="F495" i="12"/>
  <c r="E495" i="12"/>
  <c r="C495" i="12"/>
  <c r="D495" i="12" s="1"/>
  <c r="C495" i="11"/>
  <c r="J494" i="12"/>
  <c r="F494" i="12"/>
  <c r="E494" i="12"/>
  <c r="C494" i="12"/>
  <c r="K494" i="12" s="1"/>
  <c r="C494" i="11"/>
  <c r="J493" i="12"/>
  <c r="F493" i="12"/>
  <c r="E493" i="12"/>
  <c r="C493" i="12"/>
  <c r="K493" i="12" s="1"/>
  <c r="C493" i="11"/>
  <c r="J492" i="12"/>
  <c r="F492" i="12"/>
  <c r="E492" i="12"/>
  <c r="C492" i="12"/>
  <c r="K492" i="12" s="1"/>
  <c r="C492" i="11"/>
  <c r="J491" i="12"/>
  <c r="F491" i="12"/>
  <c r="E491" i="12"/>
  <c r="C491" i="12"/>
  <c r="K491" i="12" s="1"/>
  <c r="C491" i="11"/>
  <c r="J490" i="12"/>
  <c r="F490" i="12"/>
  <c r="E490" i="12"/>
  <c r="C490" i="12"/>
  <c r="K490" i="12" s="1"/>
  <c r="C490" i="11"/>
  <c r="J489" i="12"/>
  <c r="F489" i="12"/>
  <c r="E489" i="12"/>
  <c r="C489" i="12"/>
  <c r="D489" i="12" s="1"/>
  <c r="C489" i="11"/>
  <c r="J488" i="12"/>
  <c r="F488" i="12"/>
  <c r="E488" i="12"/>
  <c r="C488" i="12"/>
  <c r="D488" i="12" s="1"/>
  <c r="C488" i="11"/>
  <c r="J487" i="12"/>
  <c r="F487" i="12"/>
  <c r="E487" i="12"/>
  <c r="C487" i="12"/>
  <c r="D487" i="12" s="1"/>
  <c r="C487" i="11"/>
  <c r="J486" i="12"/>
  <c r="F486" i="12"/>
  <c r="E486" i="12"/>
  <c r="C486" i="12"/>
  <c r="K486" i="12" s="1"/>
  <c r="C486" i="11"/>
  <c r="J485" i="12"/>
  <c r="F485" i="12"/>
  <c r="E485" i="12"/>
  <c r="C485" i="12"/>
  <c r="K485" i="12" s="1"/>
  <c r="C485" i="11"/>
  <c r="J484" i="12"/>
  <c r="F484" i="12"/>
  <c r="E484" i="12"/>
  <c r="C484" i="12"/>
  <c r="K484" i="12" s="1"/>
  <c r="C484" i="11"/>
  <c r="J483" i="12"/>
  <c r="F483" i="12"/>
  <c r="E483" i="12"/>
  <c r="C483" i="12"/>
  <c r="K483" i="12" s="1"/>
  <c r="C483" i="11"/>
  <c r="J482" i="12"/>
  <c r="F482" i="12"/>
  <c r="E482" i="12"/>
  <c r="C482" i="12"/>
  <c r="K482" i="12" s="1"/>
  <c r="C482" i="11"/>
  <c r="J481" i="12"/>
  <c r="F481" i="12"/>
  <c r="E481" i="12"/>
  <c r="C481" i="12"/>
  <c r="D481" i="12" s="1"/>
  <c r="C481" i="11"/>
  <c r="J480" i="12"/>
  <c r="F480" i="12"/>
  <c r="E480" i="12"/>
  <c r="C480" i="12"/>
  <c r="D480" i="12" s="1"/>
  <c r="C480" i="11"/>
  <c r="J479" i="12"/>
  <c r="F479" i="12"/>
  <c r="E479" i="12"/>
  <c r="C479" i="12"/>
  <c r="D479" i="12" s="1"/>
  <c r="C479" i="11"/>
  <c r="J478" i="12"/>
  <c r="F478" i="12"/>
  <c r="E478" i="12"/>
  <c r="C478" i="12"/>
  <c r="D478" i="12" s="1"/>
  <c r="C478" i="11"/>
  <c r="J477" i="12"/>
  <c r="F477" i="12"/>
  <c r="E477" i="12"/>
  <c r="C477" i="12"/>
  <c r="K477" i="12" s="1"/>
  <c r="C477" i="11"/>
  <c r="J476" i="12"/>
  <c r="F476" i="12"/>
  <c r="E476" i="12"/>
  <c r="C476" i="12"/>
  <c r="K476" i="12" s="1"/>
  <c r="C476" i="11"/>
  <c r="J475" i="12"/>
  <c r="F475" i="12"/>
  <c r="E475" i="12"/>
  <c r="C475" i="12"/>
  <c r="K475" i="12" s="1"/>
  <c r="C475" i="11"/>
  <c r="J474" i="12"/>
  <c r="F474" i="12"/>
  <c r="E474" i="12"/>
  <c r="C474" i="12"/>
  <c r="K474" i="12" s="1"/>
  <c r="C474" i="11"/>
  <c r="J473" i="12"/>
  <c r="F473" i="12"/>
  <c r="E473" i="12"/>
  <c r="C473" i="12"/>
  <c r="D473" i="12" s="1"/>
  <c r="C473" i="11"/>
  <c r="J472" i="12"/>
  <c r="F472" i="12"/>
  <c r="E472" i="12"/>
  <c r="C472" i="12"/>
  <c r="D472" i="12" s="1"/>
  <c r="C472" i="11"/>
  <c r="J471" i="12"/>
  <c r="F471" i="12"/>
  <c r="E471" i="12"/>
  <c r="C471" i="12"/>
  <c r="D471" i="12" s="1"/>
  <c r="C471" i="11"/>
  <c r="J470" i="12"/>
  <c r="F470" i="12"/>
  <c r="E470" i="12"/>
  <c r="C470" i="12"/>
  <c r="K470" i="12" s="1"/>
  <c r="C470" i="11"/>
  <c r="J469" i="12"/>
  <c r="F469" i="12"/>
  <c r="E469" i="12"/>
  <c r="C469" i="12"/>
  <c r="K469" i="12" s="1"/>
  <c r="C469" i="11"/>
  <c r="J468" i="12"/>
  <c r="F468" i="12"/>
  <c r="E468" i="12"/>
  <c r="C468" i="12"/>
  <c r="K468" i="12" s="1"/>
  <c r="C468" i="11"/>
  <c r="J467" i="12"/>
  <c r="F467" i="12"/>
  <c r="E467" i="12"/>
  <c r="C467" i="12"/>
  <c r="K467" i="12" s="1"/>
  <c r="C467" i="11"/>
  <c r="J466" i="12"/>
  <c r="F466" i="12"/>
  <c r="E466" i="12"/>
  <c r="C466" i="12"/>
  <c r="K466" i="12" s="1"/>
  <c r="C466" i="11"/>
  <c r="J465" i="12"/>
  <c r="F465" i="12"/>
  <c r="E465" i="12"/>
  <c r="C465" i="12"/>
  <c r="D465" i="12" s="1"/>
  <c r="C465" i="11"/>
  <c r="J464" i="12"/>
  <c r="F464" i="12"/>
  <c r="E464" i="12"/>
  <c r="C464" i="12"/>
  <c r="D464" i="12" s="1"/>
  <c r="C464" i="11"/>
  <c r="J463" i="12"/>
  <c r="F463" i="12"/>
  <c r="E463" i="12"/>
  <c r="C463" i="12"/>
  <c r="D463" i="12" s="1"/>
  <c r="C463" i="11"/>
  <c r="J462" i="12"/>
  <c r="F462" i="12"/>
  <c r="E462" i="12"/>
  <c r="C462" i="12"/>
  <c r="K462" i="12" s="1"/>
  <c r="C462" i="11"/>
  <c r="J461" i="12"/>
  <c r="F461" i="12"/>
  <c r="E461" i="12"/>
  <c r="C461" i="12"/>
  <c r="K461" i="12" s="1"/>
  <c r="C461" i="11"/>
  <c r="J460" i="12"/>
  <c r="F460" i="12"/>
  <c r="E460" i="12"/>
  <c r="C460" i="12"/>
  <c r="K460" i="12" s="1"/>
  <c r="C460" i="11"/>
  <c r="J459" i="12"/>
  <c r="F459" i="12"/>
  <c r="E459" i="12"/>
  <c r="C459" i="12"/>
  <c r="K459" i="12" s="1"/>
  <c r="C459" i="11"/>
  <c r="J458" i="12"/>
  <c r="F458" i="12"/>
  <c r="E458" i="12"/>
  <c r="C458" i="12"/>
  <c r="K458" i="12" s="1"/>
  <c r="C458" i="11"/>
  <c r="J457" i="12"/>
  <c r="F457" i="12"/>
  <c r="E457" i="12"/>
  <c r="C457" i="12"/>
  <c r="D457" i="12" s="1"/>
  <c r="C457" i="11"/>
  <c r="J456" i="12"/>
  <c r="F456" i="12"/>
  <c r="E456" i="12"/>
  <c r="C456" i="12"/>
  <c r="D456" i="12" s="1"/>
  <c r="C456" i="11"/>
  <c r="J455" i="12"/>
  <c r="F455" i="12"/>
  <c r="E455" i="12"/>
  <c r="C455" i="12"/>
  <c r="D455" i="12" s="1"/>
  <c r="C455" i="11"/>
  <c r="J454" i="12"/>
  <c r="F454" i="12"/>
  <c r="E454" i="12"/>
  <c r="C454" i="12"/>
  <c r="K454" i="12" s="1"/>
  <c r="C454" i="11"/>
  <c r="J453" i="12"/>
  <c r="F453" i="12"/>
  <c r="E453" i="12"/>
  <c r="C453" i="12"/>
  <c r="K453" i="12" s="1"/>
  <c r="C453" i="11"/>
  <c r="J452" i="12"/>
  <c r="F452" i="12"/>
  <c r="E452" i="12"/>
  <c r="C452" i="12"/>
  <c r="K452" i="12" s="1"/>
  <c r="C452" i="11"/>
  <c r="J451" i="12"/>
  <c r="F451" i="12"/>
  <c r="E451" i="12"/>
  <c r="C451" i="12"/>
  <c r="K451" i="12" s="1"/>
  <c r="C451" i="11"/>
  <c r="J450" i="12"/>
  <c r="F450" i="12"/>
  <c r="E450" i="12"/>
  <c r="C450" i="12"/>
  <c r="K450" i="12" s="1"/>
  <c r="C450" i="11"/>
  <c r="J449" i="12"/>
  <c r="F449" i="12"/>
  <c r="E449" i="12"/>
  <c r="C449" i="12"/>
  <c r="D449" i="12" s="1"/>
  <c r="C449" i="11"/>
  <c r="J448" i="12"/>
  <c r="F448" i="12"/>
  <c r="E448" i="12"/>
  <c r="C448" i="12"/>
  <c r="D448" i="12" s="1"/>
  <c r="C448" i="11"/>
  <c r="J447" i="12"/>
  <c r="F447" i="12"/>
  <c r="E447" i="12"/>
  <c r="C447" i="12"/>
  <c r="D447" i="12" s="1"/>
  <c r="C447" i="11"/>
  <c r="J446" i="12"/>
  <c r="F446" i="12"/>
  <c r="E446" i="12"/>
  <c r="C446" i="12"/>
  <c r="D446" i="12" s="1"/>
  <c r="C446" i="11"/>
  <c r="J445" i="12"/>
  <c r="F445" i="12"/>
  <c r="E445" i="12"/>
  <c r="C445" i="12"/>
  <c r="K445" i="12" s="1"/>
  <c r="C445" i="11"/>
  <c r="J444" i="12"/>
  <c r="F444" i="12"/>
  <c r="E444" i="12"/>
  <c r="C444" i="12"/>
  <c r="K444" i="12" s="1"/>
  <c r="C444" i="11"/>
  <c r="J443" i="12"/>
  <c r="F443" i="12"/>
  <c r="E443" i="12"/>
  <c r="C443" i="12"/>
  <c r="K443" i="12" s="1"/>
  <c r="C443" i="11"/>
  <c r="J442" i="12"/>
  <c r="F442" i="12"/>
  <c r="E442" i="12"/>
  <c r="C442" i="12"/>
  <c r="K442" i="12" s="1"/>
  <c r="C442" i="11"/>
  <c r="J441" i="12"/>
  <c r="F441" i="12"/>
  <c r="E441" i="12"/>
  <c r="C441" i="12"/>
  <c r="D441" i="12" s="1"/>
  <c r="C441" i="11"/>
  <c r="J440" i="12"/>
  <c r="F440" i="12"/>
  <c r="E440" i="12"/>
  <c r="C440" i="12"/>
  <c r="D440" i="12" s="1"/>
  <c r="C440" i="11"/>
  <c r="J439" i="12"/>
  <c r="F439" i="12"/>
  <c r="E439" i="12"/>
  <c r="C439" i="12"/>
  <c r="D439" i="12" s="1"/>
  <c r="C439" i="11"/>
  <c r="J438" i="12"/>
  <c r="F438" i="12"/>
  <c r="E438" i="12"/>
  <c r="C438" i="12"/>
  <c r="K438" i="12" s="1"/>
  <c r="C438" i="11"/>
  <c r="J437" i="12"/>
  <c r="F437" i="12"/>
  <c r="E437" i="12"/>
  <c r="C437" i="12"/>
  <c r="K437" i="12" s="1"/>
  <c r="C437" i="11"/>
  <c r="J436" i="12"/>
  <c r="F436" i="12"/>
  <c r="E436" i="12"/>
  <c r="C436" i="12"/>
  <c r="K436" i="12" s="1"/>
  <c r="C436" i="11"/>
  <c r="J435" i="12"/>
  <c r="F435" i="12"/>
  <c r="E435" i="12"/>
  <c r="C435" i="12"/>
  <c r="K435" i="12" s="1"/>
  <c r="C435" i="11"/>
  <c r="J434" i="12"/>
  <c r="F434" i="12"/>
  <c r="E434" i="12"/>
  <c r="C434" i="12"/>
  <c r="K434" i="12" s="1"/>
  <c r="C434" i="11"/>
  <c r="J433" i="12"/>
  <c r="F433" i="12"/>
  <c r="E433" i="12"/>
  <c r="C433" i="12"/>
  <c r="D433" i="12" s="1"/>
  <c r="C433" i="11"/>
  <c r="J432" i="12"/>
  <c r="F432" i="12"/>
  <c r="E432" i="12"/>
  <c r="C432" i="12"/>
  <c r="D432" i="12" s="1"/>
  <c r="C432" i="11"/>
  <c r="J431" i="12"/>
  <c r="F431" i="12"/>
  <c r="E431" i="12"/>
  <c r="C431" i="12"/>
  <c r="D431" i="12" s="1"/>
  <c r="C431" i="11"/>
  <c r="J430" i="12"/>
  <c r="F430" i="12"/>
  <c r="E430" i="12"/>
  <c r="C430" i="12"/>
  <c r="D430" i="12" s="1"/>
  <c r="C430" i="11"/>
  <c r="J429" i="12"/>
  <c r="F429" i="12"/>
  <c r="E429" i="12"/>
  <c r="C429" i="12"/>
  <c r="K429" i="12" s="1"/>
  <c r="C429" i="11"/>
  <c r="J428" i="12"/>
  <c r="F428" i="12"/>
  <c r="E428" i="12"/>
  <c r="C428" i="12"/>
  <c r="K428" i="12" s="1"/>
  <c r="C428" i="11"/>
  <c r="J427" i="12"/>
  <c r="F427" i="12"/>
  <c r="E427" i="12"/>
  <c r="C427" i="12"/>
  <c r="K427" i="12" s="1"/>
  <c r="C427" i="11"/>
  <c r="J426" i="12"/>
  <c r="F426" i="12"/>
  <c r="E426" i="12"/>
  <c r="C426" i="12"/>
  <c r="K426" i="12" s="1"/>
  <c r="C426" i="11"/>
  <c r="J425" i="12"/>
  <c r="F425" i="12"/>
  <c r="E425" i="12"/>
  <c r="C425" i="12"/>
  <c r="D425" i="12" s="1"/>
  <c r="C425" i="11"/>
  <c r="J424" i="12"/>
  <c r="F424" i="12"/>
  <c r="E424" i="12"/>
  <c r="C424" i="12"/>
  <c r="D424" i="12" s="1"/>
  <c r="C424" i="11"/>
  <c r="J423" i="12"/>
  <c r="F423" i="12"/>
  <c r="E423" i="12"/>
  <c r="C423" i="12"/>
  <c r="D423" i="12" s="1"/>
  <c r="C423" i="11"/>
  <c r="J422" i="12"/>
  <c r="F422" i="12"/>
  <c r="E422" i="12"/>
  <c r="C422" i="12"/>
  <c r="K422" i="12" s="1"/>
  <c r="C422" i="11"/>
  <c r="J421" i="12"/>
  <c r="F421" i="12"/>
  <c r="E421" i="12"/>
  <c r="C421" i="12"/>
  <c r="K421" i="12" s="1"/>
  <c r="C421" i="11"/>
  <c r="J420" i="12"/>
  <c r="F420" i="12"/>
  <c r="E420" i="12"/>
  <c r="C420" i="12"/>
  <c r="K420" i="12" s="1"/>
  <c r="C420" i="11"/>
  <c r="J419" i="12"/>
  <c r="F419" i="12"/>
  <c r="E419" i="12"/>
  <c r="C419" i="12"/>
  <c r="K419" i="12" s="1"/>
  <c r="C419" i="11"/>
  <c r="J418" i="12"/>
  <c r="F418" i="12"/>
  <c r="E418" i="12"/>
  <c r="C418" i="12"/>
  <c r="K418" i="12" s="1"/>
  <c r="C418" i="11"/>
  <c r="J417" i="12"/>
  <c r="F417" i="12"/>
  <c r="E417" i="12"/>
  <c r="C417" i="12"/>
  <c r="D417" i="12" s="1"/>
  <c r="C417" i="11"/>
  <c r="J416" i="12"/>
  <c r="F416" i="12"/>
  <c r="E416" i="12"/>
  <c r="C416" i="12"/>
  <c r="D416" i="12" s="1"/>
  <c r="C416" i="11"/>
  <c r="J415" i="12"/>
  <c r="F415" i="12"/>
  <c r="E415" i="12"/>
  <c r="C415" i="12"/>
  <c r="D415" i="12" s="1"/>
  <c r="C415" i="11"/>
  <c r="J414" i="12"/>
  <c r="F414" i="12"/>
  <c r="E414" i="12"/>
  <c r="C414" i="12"/>
  <c r="K414" i="12" s="1"/>
  <c r="C414" i="11"/>
  <c r="J413" i="12"/>
  <c r="F413" i="12"/>
  <c r="E413" i="12"/>
  <c r="C413" i="12"/>
  <c r="K413" i="12" s="1"/>
  <c r="C413" i="11"/>
  <c r="J412" i="12"/>
  <c r="F412" i="12"/>
  <c r="E412" i="12"/>
  <c r="C412" i="12"/>
  <c r="K412" i="12" s="1"/>
  <c r="C412" i="11"/>
  <c r="J411" i="12"/>
  <c r="F411" i="12"/>
  <c r="E411" i="12"/>
  <c r="C411" i="12"/>
  <c r="K411" i="12" s="1"/>
  <c r="C411" i="11"/>
  <c r="J410" i="12"/>
  <c r="F410" i="12"/>
  <c r="E410" i="12"/>
  <c r="C410" i="12"/>
  <c r="K410" i="12" s="1"/>
  <c r="C410" i="11"/>
  <c r="J409" i="12"/>
  <c r="F409" i="12"/>
  <c r="E409" i="12"/>
  <c r="C409" i="12"/>
  <c r="D409" i="12" s="1"/>
  <c r="C409" i="11"/>
  <c r="J408" i="12"/>
  <c r="F408" i="12"/>
  <c r="E408" i="12"/>
  <c r="C408" i="12"/>
  <c r="D408" i="12" s="1"/>
  <c r="C408" i="11"/>
  <c r="J407" i="12"/>
  <c r="F407" i="12"/>
  <c r="E407" i="12"/>
  <c r="C407" i="12"/>
  <c r="D407" i="12" s="1"/>
  <c r="C407" i="11"/>
  <c r="J406" i="12"/>
  <c r="F406" i="12"/>
  <c r="E406" i="12"/>
  <c r="C406" i="12"/>
  <c r="K406" i="12" s="1"/>
  <c r="C406" i="11"/>
  <c r="J405" i="12"/>
  <c r="F405" i="12"/>
  <c r="E405" i="12"/>
  <c r="C405" i="12"/>
  <c r="K405" i="12" s="1"/>
  <c r="C405" i="11"/>
  <c r="J404" i="12"/>
  <c r="F404" i="12"/>
  <c r="E404" i="12"/>
  <c r="C404" i="12"/>
  <c r="K404" i="12" s="1"/>
  <c r="C404" i="11"/>
  <c r="J403" i="12"/>
  <c r="F403" i="12"/>
  <c r="E403" i="12"/>
  <c r="C403" i="12"/>
  <c r="K403" i="12" s="1"/>
  <c r="C403" i="11"/>
  <c r="J402" i="12"/>
  <c r="F402" i="12"/>
  <c r="E402" i="12"/>
  <c r="C402" i="12"/>
  <c r="K402" i="12" s="1"/>
  <c r="C402" i="11"/>
  <c r="J401" i="12"/>
  <c r="F401" i="12"/>
  <c r="E401" i="12"/>
  <c r="C401" i="12"/>
  <c r="D401" i="12" s="1"/>
  <c r="C401" i="11"/>
  <c r="J400" i="12"/>
  <c r="F400" i="12"/>
  <c r="E400" i="12"/>
  <c r="C400" i="12"/>
  <c r="D400" i="12" s="1"/>
  <c r="C400" i="11"/>
  <c r="J399" i="12"/>
  <c r="F399" i="12"/>
  <c r="E399" i="12"/>
  <c r="C399" i="12"/>
  <c r="D399" i="12" s="1"/>
  <c r="C399" i="11"/>
  <c r="J398" i="12"/>
  <c r="F398" i="12"/>
  <c r="E398" i="12"/>
  <c r="C398" i="12"/>
  <c r="K398" i="12" s="1"/>
  <c r="C398" i="11"/>
  <c r="J397" i="12"/>
  <c r="F397" i="12"/>
  <c r="E397" i="12"/>
  <c r="C397" i="12"/>
  <c r="K397" i="12" s="1"/>
  <c r="C397" i="11"/>
  <c r="J396" i="12"/>
  <c r="F396" i="12"/>
  <c r="E396" i="12"/>
  <c r="C396" i="12"/>
  <c r="K396" i="12" s="1"/>
  <c r="C396" i="11"/>
  <c r="J395" i="12"/>
  <c r="F395" i="12"/>
  <c r="E395" i="12"/>
  <c r="C395" i="12"/>
  <c r="K395" i="12" s="1"/>
  <c r="C395" i="11"/>
  <c r="J394" i="12"/>
  <c r="F394" i="12"/>
  <c r="E394" i="12"/>
  <c r="C394" i="12"/>
  <c r="K394" i="12" s="1"/>
  <c r="C394" i="11"/>
  <c r="J393" i="12"/>
  <c r="F393" i="12"/>
  <c r="E393" i="12"/>
  <c r="C393" i="12"/>
  <c r="D393" i="12" s="1"/>
  <c r="C393" i="11"/>
  <c r="J392" i="12"/>
  <c r="F392" i="12"/>
  <c r="E392" i="12"/>
  <c r="C392" i="12"/>
  <c r="D392" i="12" s="1"/>
  <c r="C392" i="11"/>
  <c r="J391" i="12"/>
  <c r="F391" i="12"/>
  <c r="E391" i="12"/>
  <c r="C391" i="12"/>
  <c r="D391" i="12" s="1"/>
  <c r="C391" i="11"/>
  <c r="J390" i="12"/>
  <c r="F390" i="12"/>
  <c r="E390" i="12"/>
  <c r="C390" i="12"/>
  <c r="D390" i="12" s="1"/>
  <c r="C390" i="11"/>
  <c r="J389" i="12"/>
  <c r="F389" i="12"/>
  <c r="E389" i="12"/>
  <c r="C389" i="12"/>
  <c r="K389" i="12" s="1"/>
  <c r="C389" i="11"/>
  <c r="J388" i="12"/>
  <c r="F388" i="12"/>
  <c r="E388" i="12"/>
  <c r="C388" i="12"/>
  <c r="K388" i="12" s="1"/>
  <c r="C388" i="11"/>
  <c r="J387" i="12"/>
  <c r="F387" i="12"/>
  <c r="E387" i="12"/>
  <c r="C387" i="12"/>
  <c r="K387" i="12" s="1"/>
  <c r="C387" i="11"/>
  <c r="J386" i="12"/>
  <c r="F386" i="12"/>
  <c r="E386" i="12"/>
  <c r="C386" i="12"/>
  <c r="K386" i="12" s="1"/>
  <c r="C386" i="11"/>
  <c r="J385" i="12"/>
  <c r="F385" i="12"/>
  <c r="E385" i="12"/>
  <c r="C385" i="12"/>
  <c r="D385" i="12" s="1"/>
  <c r="C385" i="11"/>
  <c r="J384" i="12"/>
  <c r="F384" i="12"/>
  <c r="E384" i="12"/>
  <c r="C384" i="12"/>
  <c r="D384" i="12" s="1"/>
  <c r="C384" i="11"/>
  <c r="J383" i="12"/>
  <c r="F383" i="12"/>
  <c r="E383" i="12"/>
  <c r="C383" i="12"/>
  <c r="D383" i="12" s="1"/>
  <c r="C383" i="11"/>
  <c r="J382" i="12"/>
  <c r="F382" i="12"/>
  <c r="E382" i="12"/>
  <c r="C382" i="12"/>
  <c r="K382" i="12" s="1"/>
  <c r="C382" i="11"/>
  <c r="J381" i="12"/>
  <c r="F381" i="12"/>
  <c r="E381" i="12"/>
  <c r="C381" i="12"/>
  <c r="K381" i="12" s="1"/>
  <c r="C381" i="11"/>
  <c r="J380" i="12"/>
  <c r="F380" i="12"/>
  <c r="E380" i="12"/>
  <c r="C380" i="12"/>
  <c r="K380" i="12" s="1"/>
  <c r="C380" i="11"/>
  <c r="J379" i="12"/>
  <c r="F379" i="12"/>
  <c r="E379" i="12"/>
  <c r="C379" i="12"/>
  <c r="K379" i="12" s="1"/>
  <c r="C379" i="11"/>
  <c r="J378" i="12"/>
  <c r="F378" i="12"/>
  <c r="E378" i="12"/>
  <c r="C378" i="12"/>
  <c r="K378" i="12" s="1"/>
  <c r="C378" i="11"/>
  <c r="J377" i="12"/>
  <c r="F377" i="12"/>
  <c r="E377" i="12"/>
  <c r="C377" i="12"/>
  <c r="D377" i="12" s="1"/>
  <c r="C377" i="11"/>
  <c r="J376" i="12"/>
  <c r="F376" i="12"/>
  <c r="E376" i="12"/>
  <c r="C376" i="12"/>
  <c r="D376" i="12" s="1"/>
  <c r="C376" i="11"/>
  <c r="J375" i="12"/>
  <c r="F375" i="12"/>
  <c r="E375" i="12"/>
  <c r="C375" i="12"/>
  <c r="D375" i="12" s="1"/>
  <c r="C375" i="11"/>
  <c r="J374" i="12"/>
  <c r="F374" i="12"/>
  <c r="E374" i="12"/>
  <c r="C374" i="12"/>
  <c r="K374" i="12" s="1"/>
  <c r="C374" i="11"/>
  <c r="J373" i="12"/>
  <c r="F373" i="12"/>
  <c r="E373" i="12"/>
  <c r="C373" i="12"/>
  <c r="K373" i="12" s="1"/>
  <c r="C373" i="11"/>
  <c r="J372" i="12"/>
  <c r="F372" i="12"/>
  <c r="E372" i="12"/>
  <c r="C372" i="12"/>
  <c r="K372" i="12" s="1"/>
  <c r="C372" i="11"/>
  <c r="J371" i="12"/>
  <c r="F371" i="12"/>
  <c r="E371" i="12"/>
  <c r="C371" i="12"/>
  <c r="K371" i="12" s="1"/>
  <c r="C371" i="11"/>
  <c r="J370" i="12"/>
  <c r="F370" i="12"/>
  <c r="E370" i="12"/>
  <c r="C370" i="12"/>
  <c r="K370" i="12" s="1"/>
  <c r="C370" i="11"/>
  <c r="J369" i="12"/>
  <c r="F369" i="12"/>
  <c r="E369" i="12"/>
  <c r="C369" i="12"/>
  <c r="D369" i="12" s="1"/>
  <c r="C369" i="11"/>
  <c r="J368" i="12"/>
  <c r="F368" i="12"/>
  <c r="E368" i="12"/>
  <c r="C368" i="12"/>
  <c r="D368" i="12" s="1"/>
  <c r="C368" i="11"/>
  <c r="J367" i="12"/>
  <c r="F367" i="12"/>
  <c r="E367" i="12"/>
  <c r="C367" i="12"/>
  <c r="D367" i="12" s="1"/>
  <c r="C367" i="11"/>
  <c r="J366" i="12"/>
  <c r="F366" i="12"/>
  <c r="E366" i="12"/>
  <c r="C366" i="12"/>
  <c r="K366" i="12" s="1"/>
  <c r="C366" i="11"/>
  <c r="J365" i="12"/>
  <c r="F365" i="12"/>
  <c r="E365" i="12"/>
  <c r="C365" i="12"/>
  <c r="K365" i="12" s="1"/>
  <c r="C365" i="11"/>
  <c r="J364" i="12"/>
  <c r="F364" i="12"/>
  <c r="E364" i="12"/>
  <c r="C364" i="12"/>
  <c r="K364" i="12" s="1"/>
  <c r="C364" i="11"/>
  <c r="J363" i="12"/>
  <c r="F363" i="12"/>
  <c r="E363" i="12"/>
  <c r="C363" i="12"/>
  <c r="K363" i="12" s="1"/>
  <c r="C363" i="11"/>
  <c r="J362" i="12"/>
  <c r="F362" i="12"/>
  <c r="E362" i="12"/>
  <c r="C362" i="12"/>
  <c r="D362" i="12" s="1"/>
  <c r="C362" i="11"/>
  <c r="J361" i="12"/>
  <c r="F361" i="12"/>
  <c r="E361" i="12"/>
  <c r="C361" i="12"/>
  <c r="D361" i="12" s="1"/>
  <c r="C361" i="11"/>
  <c r="J360" i="12"/>
  <c r="F360" i="12"/>
  <c r="E360" i="12"/>
  <c r="C360" i="12"/>
  <c r="D360" i="12" s="1"/>
  <c r="C360" i="11"/>
  <c r="J359" i="12"/>
  <c r="F359" i="12"/>
  <c r="E359" i="12"/>
  <c r="C359" i="12"/>
  <c r="D359" i="12" s="1"/>
  <c r="C359" i="11"/>
  <c r="J358" i="12"/>
  <c r="F358" i="12"/>
  <c r="E358" i="12"/>
  <c r="C358" i="12"/>
  <c r="D358" i="12" s="1"/>
  <c r="C358" i="11"/>
  <c r="J357" i="12"/>
  <c r="F357" i="12"/>
  <c r="E357" i="12"/>
  <c r="C357" i="12"/>
  <c r="K357" i="12" s="1"/>
  <c r="C357" i="11"/>
  <c r="J356" i="12"/>
  <c r="F356" i="12"/>
  <c r="E356" i="12"/>
  <c r="C356" i="12"/>
  <c r="K356" i="12" s="1"/>
  <c r="C356" i="11"/>
  <c r="J355" i="12"/>
  <c r="F355" i="12"/>
  <c r="E355" i="12"/>
  <c r="C355" i="12"/>
  <c r="K355" i="12" s="1"/>
  <c r="C355" i="11"/>
  <c r="J354" i="12"/>
  <c r="F354" i="12"/>
  <c r="E354" i="12"/>
  <c r="C354" i="12"/>
  <c r="K354" i="12" s="1"/>
  <c r="C354" i="11"/>
  <c r="J353" i="12"/>
  <c r="F353" i="12"/>
  <c r="E353" i="12"/>
  <c r="C353" i="12"/>
  <c r="D353" i="12" s="1"/>
  <c r="C353" i="11"/>
  <c r="J352" i="12"/>
  <c r="F352" i="12"/>
  <c r="E352" i="12"/>
  <c r="C352" i="12"/>
  <c r="D352" i="12" s="1"/>
  <c r="C352" i="11"/>
  <c r="J351" i="12"/>
  <c r="F351" i="12"/>
  <c r="E351" i="12"/>
  <c r="C351" i="12"/>
  <c r="D351" i="12" s="1"/>
  <c r="C351" i="11"/>
  <c r="J350" i="12"/>
  <c r="F350" i="12"/>
  <c r="E350" i="12"/>
  <c r="C350" i="12"/>
  <c r="D350" i="12" s="1"/>
  <c r="C350" i="11"/>
  <c r="J349" i="12"/>
  <c r="F349" i="12"/>
  <c r="E349" i="12"/>
  <c r="C349" i="12"/>
  <c r="K349" i="12" s="1"/>
  <c r="C349" i="11"/>
  <c r="J348" i="12"/>
  <c r="F348" i="12"/>
  <c r="E348" i="12"/>
  <c r="C348" i="12"/>
  <c r="K348" i="12" s="1"/>
  <c r="C348" i="11"/>
  <c r="J347" i="12"/>
  <c r="F347" i="12"/>
  <c r="E347" i="12"/>
  <c r="C347" i="12"/>
  <c r="K347" i="12" s="1"/>
  <c r="C347" i="11"/>
  <c r="J346" i="12"/>
  <c r="F346" i="12"/>
  <c r="E346" i="12"/>
  <c r="C346" i="12"/>
  <c r="D346" i="12" s="1"/>
  <c r="C346" i="11"/>
  <c r="J345" i="12"/>
  <c r="F345" i="12"/>
  <c r="E345" i="12"/>
  <c r="C345" i="12"/>
  <c r="D345" i="12" s="1"/>
  <c r="C345" i="11"/>
  <c r="J344" i="12"/>
  <c r="F344" i="12"/>
  <c r="E344" i="12"/>
  <c r="C344" i="12"/>
  <c r="D344" i="12" s="1"/>
  <c r="C344" i="11"/>
  <c r="J343" i="12"/>
  <c r="F343" i="12"/>
  <c r="E343" i="12"/>
  <c r="C343" i="12"/>
  <c r="D343" i="12" s="1"/>
  <c r="C343" i="11"/>
  <c r="J342" i="12"/>
  <c r="F342" i="12"/>
  <c r="E342" i="12"/>
  <c r="C342" i="12"/>
  <c r="D342" i="12" s="1"/>
  <c r="C342" i="11"/>
  <c r="J341" i="12"/>
  <c r="F341" i="12"/>
  <c r="E341" i="12"/>
  <c r="C341" i="12"/>
  <c r="K341" i="12" s="1"/>
  <c r="C341" i="11"/>
  <c r="J340" i="12"/>
  <c r="F340" i="12"/>
  <c r="E340" i="12"/>
  <c r="C340" i="12"/>
  <c r="K340" i="12" s="1"/>
  <c r="C340" i="11"/>
  <c r="J339" i="12"/>
  <c r="F339" i="12"/>
  <c r="E339" i="12"/>
  <c r="C339" i="12"/>
  <c r="K339" i="12" s="1"/>
  <c r="C339" i="11"/>
  <c r="J338" i="12"/>
  <c r="F338" i="12"/>
  <c r="E338" i="12"/>
  <c r="C338" i="12"/>
  <c r="K338" i="12" s="1"/>
  <c r="C338" i="11"/>
  <c r="J337" i="12"/>
  <c r="F337" i="12"/>
  <c r="E337" i="12"/>
  <c r="C337" i="12"/>
  <c r="D337" i="12" s="1"/>
  <c r="C337" i="11"/>
  <c r="J336" i="12"/>
  <c r="F336" i="12"/>
  <c r="E336" i="12"/>
  <c r="C336" i="12"/>
  <c r="D336" i="12" s="1"/>
  <c r="C336" i="11"/>
  <c r="J335" i="12"/>
  <c r="F335" i="12"/>
  <c r="E335" i="12"/>
  <c r="C335" i="12"/>
  <c r="D335" i="12" s="1"/>
  <c r="C335" i="11"/>
  <c r="J334" i="12"/>
  <c r="F334" i="12"/>
  <c r="E334" i="12"/>
  <c r="C334" i="12"/>
  <c r="D334" i="12" s="1"/>
  <c r="C334" i="11"/>
  <c r="J333" i="12"/>
  <c r="F333" i="12"/>
  <c r="E333" i="12"/>
  <c r="C333" i="12"/>
  <c r="K333" i="12" s="1"/>
  <c r="C333" i="11"/>
  <c r="J332" i="12"/>
  <c r="F332" i="12"/>
  <c r="E332" i="12"/>
  <c r="C332" i="12"/>
  <c r="K332" i="12" s="1"/>
  <c r="C332" i="11"/>
  <c r="J331" i="12"/>
  <c r="F331" i="12"/>
  <c r="E331" i="12"/>
  <c r="C331" i="12"/>
  <c r="K331" i="12" s="1"/>
  <c r="C331" i="11"/>
  <c r="J330" i="12"/>
  <c r="F330" i="12"/>
  <c r="E330" i="12"/>
  <c r="C330" i="12"/>
  <c r="D330" i="12" s="1"/>
  <c r="C330" i="11"/>
  <c r="J329" i="12"/>
  <c r="F329" i="12"/>
  <c r="E329" i="12"/>
  <c r="C329" i="12"/>
  <c r="D329" i="12" s="1"/>
  <c r="C329" i="11"/>
  <c r="J328" i="12"/>
  <c r="F328" i="12"/>
  <c r="E328" i="12"/>
  <c r="C328" i="12"/>
  <c r="D328" i="12" s="1"/>
  <c r="C328" i="11"/>
  <c r="J327" i="12"/>
  <c r="F327" i="12"/>
  <c r="E327" i="12"/>
  <c r="C327" i="12"/>
  <c r="D327" i="12" s="1"/>
  <c r="C327" i="11"/>
  <c r="J326" i="12"/>
  <c r="F326" i="12"/>
  <c r="E326" i="12"/>
  <c r="C326" i="12"/>
  <c r="D326" i="12" s="1"/>
  <c r="C326" i="11"/>
  <c r="J325" i="12"/>
  <c r="F325" i="12"/>
  <c r="E325" i="12"/>
  <c r="C325" i="12"/>
  <c r="K325" i="12" s="1"/>
  <c r="C325" i="11"/>
  <c r="J324" i="12"/>
  <c r="F324" i="12"/>
  <c r="E324" i="12"/>
  <c r="C324" i="12"/>
  <c r="K324" i="12" s="1"/>
  <c r="C324" i="11"/>
  <c r="J323" i="12"/>
  <c r="F323" i="12"/>
  <c r="E323" i="12"/>
  <c r="C323" i="12"/>
  <c r="K323" i="12" s="1"/>
  <c r="C323" i="11"/>
  <c r="J322" i="12"/>
  <c r="F322" i="12"/>
  <c r="E322" i="12"/>
  <c r="C322" i="12"/>
  <c r="K322" i="12" s="1"/>
  <c r="C322" i="11"/>
  <c r="J321" i="12"/>
  <c r="F321" i="12"/>
  <c r="E321" i="12"/>
  <c r="C321" i="12"/>
  <c r="D321" i="12" s="1"/>
  <c r="C321" i="11"/>
  <c r="J320" i="12"/>
  <c r="F320" i="12"/>
  <c r="E320" i="12"/>
  <c r="C320" i="12"/>
  <c r="D320" i="12" s="1"/>
  <c r="C320" i="11"/>
  <c r="J319" i="12"/>
  <c r="F319" i="12"/>
  <c r="E319" i="12"/>
  <c r="C319" i="12"/>
  <c r="D319" i="12" s="1"/>
  <c r="C319" i="11"/>
  <c r="J318" i="12"/>
  <c r="F318" i="12"/>
  <c r="E318" i="12"/>
  <c r="C318" i="12"/>
  <c r="K318" i="12" s="1"/>
  <c r="C318" i="11"/>
  <c r="J317" i="12"/>
  <c r="F317" i="12"/>
  <c r="E317" i="12"/>
  <c r="C317" i="12"/>
  <c r="K317" i="12" s="1"/>
  <c r="C317" i="11"/>
  <c r="J316" i="12"/>
  <c r="F316" i="12"/>
  <c r="E316" i="12"/>
  <c r="C316" i="12"/>
  <c r="K316" i="12" s="1"/>
  <c r="C316" i="11"/>
  <c r="J315" i="12"/>
  <c r="F315" i="12"/>
  <c r="E315" i="12"/>
  <c r="C315" i="12"/>
  <c r="K315" i="12" s="1"/>
  <c r="C315" i="11"/>
  <c r="J314" i="12"/>
  <c r="F314" i="12"/>
  <c r="E314" i="12"/>
  <c r="C314" i="12"/>
  <c r="K314" i="12" s="1"/>
  <c r="C314" i="11"/>
  <c r="J313" i="12"/>
  <c r="F313" i="12"/>
  <c r="E313" i="12"/>
  <c r="C313" i="12"/>
  <c r="D313" i="12" s="1"/>
  <c r="C313" i="11"/>
  <c r="J312" i="12"/>
  <c r="F312" i="12"/>
  <c r="E312" i="12"/>
  <c r="C312" i="12"/>
  <c r="D312" i="12" s="1"/>
  <c r="C312" i="11"/>
  <c r="J311" i="12"/>
  <c r="F311" i="12"/>
  <c r="E311" i="12"/>
  <c r="C311" i="12"/>
  <c r="D311" i="12" s="1"/>
  <c r="C311" i="11"/>
  <c r="J310" i="12"/>
  <c r="F310" i="12"/>
  <c r="E310" i="12"/>
  <c r="C310" i="12"/>
  <c r="K310" i="12" s="1"/>
  <c r="C310" i="11"/>
  <c r="J309" i="12"/>
  <c r="F309" i="12"/>
  <c r="E309" i="12"/>
  <c r="C309" i="12"/>
  <c r="K309" i="12" s="1"/>
  <c r="C309" i="11"/>
  <c r="J308" i="12"/>
  <c r="F308" i="12"/>
  <c r="E308" i="12"/>
  <c r="C308" i="12"/>
  <c r="K308" i="12" s="1"/>
  <c r="C308" i="11"/>
  <c r="J307" i="12"/>
  <c r="F307" i="12"/>
  <c r="E307" i="12"/>
  <c r="C307" i="12"/>
  <c r="K307" i="12" s="1"/>
  <c r="C307" i="11"/>
  <c r="J306" i="12"/>
  <c r="F306" i="12"/>
  <c r="E306" i="12"/>
  <c r="C306" i="12"/>
  <c r="K306" i="12" s="1"/>
  <c r="C306" i="11"/>
  <c r="J305" i="12"/>
  <c r="F305" i="12"/>
  <c r="E305" i="12"/>
  <c r="C305" i="12"/>
  <c r="D305" i="12" s="1"/>
  <c r="C305" i="11"/>
  <c r="J304" i="12"/>
  <c r="F304" i="12"/>
  <c r="E304" i="12"/>
  <c r="C304" i="12"/>
  <c r="D304" i="12" s="1"/>
  <c r="C304" i="11"/>
  <c r="J303" i="12"/>
  <c r="F303" i="12"/>
  <c r="E303" i="12"/>
  <c r="C303" i="12"/>
  <c r="D303" i="12" s="1"/>
  <c r="C303" i="11"/>
  <c r="J302" i="12"/>
  <c r="F302" i="12"/>
  <c r="E302" i="12"/>
  <c r="C302" i="12"/>
  <c r="D302" i="12" s="1"/>
  <c r="C302" i="11"/>
  <c r="J301" i="12"/>
  <c r="F301" i="12"/>
  <c r="E301" i="12"/>
  <c r="C301" i="12"/>
  <c r="K301" i="12" s="1"/>
  <c r="C301" i="11"/>
  <c r="J300" i="12"/>
  <c r="F300" i="12"/>
  <c r="E300" i="12"/>
  <c r="C300" i="12"/>
  <c r="K300" i="12" s="1"/>
  <c r="C300" i="11"/>
  <c r="J299" i="12"/>
  <c r="F299" i="12"/>
  <c r="E299" i="12"/>
  <c r="C299" i="12"/>
  <c r="K299" i="12" s="1"/>
  <c r="C299" i="11"/>
  <c r="J298" i="12"/>
  <c r="F298" i="12"/>
  <c r="E298" i="12"/>
  <c r="C298" i="12"/>
  <c r="K298" i="12" s="1"/>
  <c r="C298" i="11"/>
  <c r="J297" i="12"/>
  <c r="F297" i="12"/>
  <c r="E297" i="12"/>
  <c r="C297" i="12"/>
  <c r="D297" i="12" s="1"/>
  <c r="C297" i="11"/>
  <c r="J296" i="12"/>
  <c r="F296" i="12"/>
  <c r="E296" i="12"/>
  <c r="C296" i="12"/>
  <c r="D296" i="12" s="1"/>
  <c r="C296" i="11"/>
  <c r="J295" i="12"/>
  <c r="F295" i="12"/>
  <c r="E295" i="12"/>
  <c r="C295" i="12"/>
  <c r="D295" i="12" s="1"/>
  <c r="C295" i="11"/>
  <c r="J294" i="12"/>
  <c r="F294" i="12"/>
  <c r="E294" i="12"/>
  <c r="C294" i="12"/>
  <c r="K294" i="12" s="1"/>
  <c r="C294" i="11"/>
  <c r="J293" i="12"/>
  <c r="F293" i="12"/>
  <c r="E293" i="12"/>
  <c r="C293" i="12"/>
  <c r="K293" i="12" s="1"/>
  <c r="C293" i="11"/>
  <c r="J292" i="12"/>
  <c r="F292" i="12"/>
  <c r="E292" i="12"/>
  <c r="C292" i="12"/>
  <c r="K292" i="12" s="1"/>
  <c r="C292" i="11"/>
  <c r="J291" i="12"/>
  <c r="F291" i="12"/>
  <c r="E291" i="12"/>
  <c r="C291" i="12"/>
  <c r="K291" i="12" s="1"/>
  <c r="C291" i="11"/>
  <c r="J290" i="12"/>
  <c r="F290" i="12"/>
  <c r="E290" i="12"/>
  <c r="C290" i="12"/>
  <c r="D290" i="12" s="1"/>
  <c r="C290" i="11"/>
  <c r="J289" i="12"/>
  <c r="F289" i="12"/>
  <c r="E289" i="12"/>
  <c r="C289" i="12"/>
  <c r="D289" i="12" s="1"/>
  <c r="C289" i="11"/>
  <c r="J288" i="12"/>
  <c r="F288" i="12"/>
  <c r="E288" i="12"/>
  <c r="C288" i="12"/>
  <c r="D288" i="12" s="1"/>
  <c r="C288" i="11"/>
  <c r="J287" i="12"/>
  <c r="F287" i="12"/>
  <c r="E287" i="12"/>
  <c r="C287" i="12"/>
  <c r="D287" i="12" s="1"/>
  <c r="C287" i="11"/>
  <c r="J286" i="12"/>
  <c r="F286" i="12"/>
  <c r="E286" i="12"/>
  <c r="C286" i="12"/>
  <c r="D286" i="12" s="1"/>
  <c r="C286" i="11"/>
  <c r="J285" i="12"/>
  <c r="F285" i="12"/>
  <c r="E285" i="12"/>
  <c r="C285" i="12"/>
  <c r="K285" i="12" s="1"/>
  <c r="C285" i="11"/>
  <c r="J284" i="12"/>
  <c r="F284" i="12"/>
  <c r="E284" i="12"/>
  <c r="C284" i="12"/>
  <c r="K284" i="12" s="1"/>
  <c r="C284" i="11"/>
  <c r="J283" i="12"/>
  <c r="F283" i="12"/>
  <c r="E283" i="12"/>
  <c r="C283" i="12"/>
  <c r="K283" i="12" s="1"/>
  <c r="C283" i="11"/>
  <c r="J282" i="12"/>
  <c r="F282" i="12"/>
  <c r="E282" i="12"/>
  <c r="C282" i="12"/>
  <c r="K282" i="12" s="1"/>
  <c r="C282" i="11"/>
  <c r="J281" i="12"/>
  <c r="F281" i="12"/>
  <c r="E281" i="12"/>
  <c r="C281" i="12"/>
  <c r="D281" i="12" s="1"/>
  <c r="C281" i="11"/>
  <c r="J280" i="12"/>
  <c r="F280" i="12"/>
  <c r="E280" i="12"/>
  <c r="C280" i="12"/>
  <c r="D280" i="12" s="1"/>
  <c r="C280" i="11"/>
  <c r="J279" i="12"/>
  <c r="F279" i="12"/>
  <c r="E279" i="12"/>
  <c r="C279" i="12"/>
  <c r="D279" i="12" s="1"/>
  <c r="C279" i="11"/>
  <c r="J278" i="12"/>
  <c r="F278" i="12"/>
  <c r="E278" i="12"/>
  <c r="C278" i="12"/>
  <c r="D278" i="12" s="1"/>
  <c r="C278" i="11"/>
  <c r="J277" i="12"/>
  <c r="F277" i="12"/>
  <c r="E277" i="12"/>
  <c r="C277" i="12"/>
  <c r="K277" i="12" s="1"/>
  <c r="C277" i="11"/>
  <c r="J276" i="12"/>
  <c r="F276" i="12"/>
  <c r="E276" i="12"/>
  <c r="C276" i="12"/>
  <c r="K276" i="12" s="1"/>
  <c r="C276" i="11"/>
  <c r="J275" i="12"/>
  <c r="F275" i="12"/>
  <c r="E275" i="12"/>
  <c r="C275" i="12"/>
  <c r="K275" i="12" s="1"/>
  <c r="C275" i="11"/>
  <c r="J274" i="12"/>
  <c r="F274" i="12"/>
  <c r="E274" i="12"/>
  <c r="C274" i="12"/>
  <c r="D274" i="12" s="1"/>
  <c r="C274" i="11"/>
  <c r="J273" i="12"/>
  <c r="F273" i="12"/>
  <c r="E273" i="12"/>
  <c r="C273" i="12"/>
  <c r="D273" i="12" s="1"/>
  <c r="C273" i="11"/>
  <c r="J272" i="12"/>
  <c r="F272" i="12"/>
  <c r="E272" i="12"/>
  <c r="C272" i="12"/>
  <c r="D272" i="12" s="1"/>
  <c r="C272" i="11"/>
  <c r="J271" i="12"/>
  <c r="F271" i="12"/>
  <c r="E271" i="12"/>
  <c r="C271" i="12"/>
  <c r="D271" i="12" s="1"/>
  <c r="C271" i="11"/>
  <c r="J270" i="12"/>
  <c r="F270" i="12"/>
  <c r="E270" i="12"/>
  <c r="C270" i="12"/>
  <c r="K270" i="12" s="1"/>
  <c r="C270" i="11"/>
  <c r="J269" i="12"/>
  <c r="F269" i="12"/>
  <c r="E269" i="12"/>
  <c r="C269" i="12"/>
  <c r="K269" i="12" s="1"/>
  <c r="C269" i="11"/>
  <c r="J268" i="12"/>
  <c r="F268" i="12"/>
  <c r="E268" i="12"/>
  <c r="C268" i="12"/>
  <c r="K268" i="12" s="1"/>
  <c r="C268" i="11"/>
  <c r="J267" i="12"/>
  <c r="F267" i="12"/>
  <c r="E267" i="12"/>
  <c r="C267" i="12"/>
  <c r="K267" i="12" s="1"/>
  <c r="C267" i="11"/>
  <c r="J266" i="12"/>
  <c r="F266" i="12"/>
  <c r="E266" i="12"/>
  <c r="C266" i="12"/>
  <c r="K266" i="12" s="1"/>
  <c r="C266" i="11"/>
  <c r="J265" i="12"/>
  <c r="F265" i="12"/>
  <c r="E265" i="12"/>
  <c r="C265" i="12"/>
  <c r="D265" i="12" s="1"/>
  <c r="C265" i="11"/>
  <c r="J264" i="12"/>
  <c r="F264" i="12"/>
  <c r="E264" i="12"/>
  <c r="C264" i="12"/>
  <c r="D264" i="12" s="1"/>
  <c r="C264" i="11"/>
  <c r="J263" i="12"/>
  <c r="F263" i="12"/>
  <c r="E263" i="12"/>
  <c r="C263" i="12"/>
  <c r="D263" i="12" s="1"/>
  <c r="C263" i="11"/>
  <c r="J262" i="12"/>
  <c r="F262" i="12"/>
  <c r="E262" i="12"/>
  <c r="C262" i="12"/>
  <c r="K262" i="12" s="1"/>
  <c r="C262" i="11"/>
  <c r="J261" i="12"/>
  <c r="F261" i="12"/>
  <c r="E261" i="12"/>
  <c r="C261" i="12"/>
  <c r="K261" i="12" s="1"/>
  <c r="C261" i="11"/>
  <c r="J260" i="12"/>
  <c r="F260" i="12"/>
  <c r="E260" i="12"/>
  <c r="C260" i="12"/>
  <c r="K260" i="12" s="1"/>
  <c r="C260" i="11"/>
  <c r="J259" i="12"/>
  <c r="F259" i="12"/>
  <c r="E259" i="12"/>
  <c r="C259" i="12"/>
  <c r="K259" i="12" s="1"/>
  <c r="C259" i="11"/>
  <c r="J258" i="12"/>
  <c r="F258" i="12"/>
  <c r="E258" i="12"/>
  <c r="C258" i="12"/>
  <c r="D258" i="12" s="1"/>
  <c r="C258" i="11"/>
  <c r="J257" i="12"/>
  <c r="F257" i="12"/>
  <c r="E257" i="12"/>
  <c r="C257" i="12"/>
  <c r="D257" i="12" s="1"/>
  <c r="C257" i="11"/>
  <c r="J256" i="12"/>
  <c r="F256" i="12"/>
  <c r="E256" i="12"/>
  <c r="C256" i="12"/>
  <c r="D256" i="12" s="1"/>
  <c r="C256" i="11"/>
  <c r="J255" i="12"/>
  <c r="F255" i="12"/>
  <c r="E255" i="12"/>
  <c r="C255" i="12"/>
  <c r="D255" i="12" s="1"/>
  <c r="C255" i="11"/>
  <c r="J254" i="12"/>
  <c r="F254" i="12"/>
  <c r="E254" i="12"/>
  <c r="C254" i="12"/>
  <c r="D254" i="12" s="1"/>
  <c r="C254" i="11"/>
  <c r="J253" i="12"/>
  <c r="F253" i="12"/>
  <c r="E253" i="12"/>
  <c r="C253" i="12"/>
  <c r="K253" i="12" s="1"/>
  <c r="C253" i="11"/>
  <c r="J252" i="12"/>
  <c r="F252" i="12"/>
  <c r="E252" i="12"/>
  <c r="C252" i="12"/>
  <c r="K252" i="12" s="1"/>
  <c r="C252" i="11"/>
  <c r="J251" i="12"/>
  <c r="F251" i="12"/>
  <c r="E251" i="12"/>
  <c r="C251" i="12"/>
  <c r="K251" i="12" s="1"/>
  <c r="C251" i="11"/>
  <c r="J250" i="12"/>
  <c r="F250" i="12"/>
  <c r="E250" i="12"/>
  <c r="C250" i="12"/>
  <c r="K250" i="12" s="1"/>
  <c r="C250" i="11"/>
  <c r="J249" i="12"/>
  <c r="F249" i="12"/>
  <c r="E249" i="12"/>
  <c r="C249" i="12"/>
  <c r="D249" i="12" s="1"/>
  <c r="C249" i="11"/>
  <c r="J248" i="12"/>
  <c r="F248" i="12"/>
  <c r="E248" i="12"/>
  <c r="C248" i="12"/>
  <c r="D248" i="12" s="1"/>
  <c r="C248" i="11"/>
  <c r="J247" i="12"/>
  <c r="F247" i="12"/>
  <c r="E247" i="12"/>
  <c r="C247" i="12"/>
  <c r="D247" i="12" s="1"/>
  <c r="C247" i="11"/>
  <c r="J246" i="12"/>
  <c r="F246" i="12"/>
  <c r="E246" i="12"/>
  <c r="C246" i="12"/>
  <c r="D246" i="12" s="1"/>
  <c r="C246" i="11"/>
  <c r="J245" i="12"/>
  <c r="F245" i="12"/>
  <c r="E245" i="12"/>
  <c r="C245" i="12"/>
  <c r="K245" i="12" s="1"/>
  <c r="C245" i="11"/>
  <c r="J244" i="12"/>
  <c r="F244" i="12"/>
  <c r="E244" i="12"/>
  <c r="C244" i="12"/>
  <c r="K244" i="12" s="1"/>
  <c r="C244" i="11"/>
  <c r="J243" i="12"/>
  <c r="F243" i="12"/>
  <c r="E243" i="12"/>
  <c r="C243" i="12"/>
  <c r="K243" i="12" s="1"/>
  <c r="C243" i="11"/>
  <c r="J242" i="12"/>
  <c r="F242" i="12"/>
  <c r="E242" i="12"/>
  <c r="C242" i="12"/>
  <c r="D242" i="12" s="1"/>
  <c r="C242" i="11"/>
  <c r="J241" i="12"/>
  <c r="F241" i="12"/>
  <c r="E241" i="12"/>
  <c r="C241" i="12"/>
  <c r="D241" i="12" s="1"/>
  <c r="C241" i="11"/>
  <c r="J240" i="12"/>
  <c r="F240" i="12"/>
  <c r="E240" i="12"/>
  <c r="C240" i="12"/>
  <c r="D240" i="12" s="1"/>
  <c r="C240" i="11"/>
  <c r="J239" i="12"/>
  <c r="F239" i="12"/>
  <c r="E239" i="12"/>
  <c r="C239" i="12"/>
  <c r="D239" i="12" s="1"/>
  <c r="C239" i="11"/>
  <c r="J238" i="12"/>
  <c r="F238" i="12"/>
  <c r="E238" i="12"/>
  <c r="C238" i="12"/>
  <c r="D238" i="12" s="1"/>
  <c r="C238" i="11"/>
  <c r="J237" i="12"/>
  <c r="F237" i="12"/>
  <c r="E237" i="12"/>
  <c r="C237" i="12"/>
  <c r="K237" i="12" s="1"/>
  <c r="C237" i="11"/>
  <c r="J236" i="12"/>
  <c r="F236" i="12"/>
  <c r="E236" i="12"/>
  <c r="C236" i="12"/>
  <c r="K236" i="12" s="1"/>
  <c r="C236" i="11"/>
  <c r="J235" i="12"/>
  <c r="F235" i="12"/>
  <c r="E235" i="12"/>
  <c r="C235" i="12"/>
  <c r="K235" i="12" s="1"/>
  <c r="C235" i="11"/>
  <c r="J234" i="12"/>
  <c r="F234" i="12"/>
  <c r="E234" i="12"/>
  <c r="C234" i="12"/>
  <c r="D234" i="12" s="1"/>
  <c r="C234" i="11"/>
  <c r="J233" i="12"/>
  <c r="F233" i="12"/>
  <c r="E233" i="12"/>
  <c r="C233" i="12"/>
  <c r="D233" i="12" s="1"/>
  <c r="C233" i="11"/>
  <c r="J232" i="12"/>
  <c r="F232" i="12"/>
  <c r="E232" i="12"/>
  <c r="C232" i="12"/>
  <c r="D232" i="12" s="1"/>
  <c r="C232" i="11"/>
  <c r="J231" i="12"/>
  <c r="F231" i="12"/>
  <c r="E231" i="12"/>
  <c r="C231" i="12"/>
  <c r="D231" i="12" s="1"/>
  <c r="C231" i="11"/>
  <c r="J230" i="12"/>
  <c r="F230" i="12"/>
  <c r="E230" i="12"/>
  <c r="C230" i="12"/>
  <c r="D230" i="12" s="1"/>
  <c r="C230" i="11"/>
  <c r="J229" i="12"/>
  <c r="F229" i="12"/>
  <c r="E229" i="12"/>
  <c r="C229" i="12"/>
  <c r="K229" i="12" s="1"/>
  <c r="C229" i="11"/>
  <c r="J228" i="12"/>
  <c r="F228" i="12"/>
  <c r="E228" i="12"/>
  <c r="C228" i="12"/>
  <c r="K228" i="12" s="1"/>
  <c r="C228" i="11"/>
  <c r="J227" i="12"/>
  <c r="F227" i="12"/>
  <c r="E227" i="12"/>
  <c r="C227" i="12"/>
  <c r="K227" i="12" s="1"/>
  <c r="C227" i="11"/>
  <c r="J226" i="12"/>
  <c r="F226" i="12"/>
  <c r="E226" i="12"/>
  <c r="C226" i="12"/>
  <c r="K226" i="12" s="1"/>
  <c r="C226" i="11"/>
  <c r="J225" i="12"/>
  <c r="F225" i="12"/>
  <c r="E225" i="12"/>
  <c r="C225" i="12"/>
  <c r="D225" i="12" s="1"/>
  <c r="C225" i="11"/>
  <c r="J224" i="12"/>
  <c r="F224" i="12"/>
  <c r="E224" i="12"/>
  <c r="C224" i="12"/>
  <c r="D224" i="12" s="1"/>
  <c r="C224" i="11"/>
  <c r="J223" i="12"/>
  <c r="F223" i="12"/>
  <c r="E223" i="12"/>
  <c r="C223" i="12"/>
  <c r="D223" i="12" s="1"/>
  <c r="C223" i="11"/>
  <c r="J222" i="12"/>
  <c r="F222" i="12"/>
  <c r="E222" i="12"/>
  <c r="C222" i="12"/>
  <c r="K222" i="12" s="1"/>
  <c r="C222" i="11"/>
  <c r="J221" i="12"/>
  <c r="F221" i="12"/>
  <c r="E221" i="12"/>
  <c r="C221" i="12"/>
  <c r="K221" i="12" s="1"/>
  <c r="C221" i="11"/>
  <c r="J220" i="12"/>
  <c r="F220" i="12"/>
  <c r="E220" i="12"/>
  <c r="C220" i="12"/>
  <c r="K220" i="12" s="1"/>
  <c r="C220" i="11"/>
  <c r="J219" i="12"/>
  <c r="F219" i="12"/>
  <c r="E219" i="12"/>
  <c r="C219" i="12"/>
  <c r="K219" i="12" s="1"/>
  <c r="C219" i="11"/>
  <c r="J218" i="12"/>
  <c r="F218" i="12"/>
  <c r="E218" i="12"/>
  <c r="C218" i="12"/>
  <c r="D218" i="12" s="1"/>
  <c r="C218" i="11"/>
  <c r="J217" i="12"/>
  <c r="F217" i="12"/>
  <c r="E217" i="12"/>
  <c r="C217" i="12"/>
  <c r="D217" i="12" s="1"/>
  <c r="C217" i="11"/>
  <c r="J216" i="12"/>
  <c r="F216" i="12"/>
  <c r="E216" i="12"/>
  <c r="C216" i="12"/>
  <c r="D216" i="12" s="1"/>
  <c r="C216" i="11"/>
  <c r="J215" i="12"/>
  <c r="F215" i="12"/>
  <c r="E215" i="12"/>
  <c r="C215" i="12"/>
  <c r="D215" i="12" s="1"/>
  <c r="C215" i="11"/>
  <c r="J214" i="12"/>
  <c r="F214" i="12"/>
  <c r="E214" i="12"/>
  <c r="C214" i="12"/>
  <c r="K214" i="12" s="1"/>
  <c r="C214" i="11"/>
  <c r="J213" i="12"/>
  <c r="F213" i="12"/>
  <c r="E213" i="12"/>
  <c r="C213" i="12"/>
  <c r="K213" i="12" s="1"/>
  <c r="C213" i="11"/>
  <c r="J212" i="12"/>
  <c r="F212" i="12"/>
  <c r="E212" i="12"/>
  <c r="C212" i="12"/>
  <c r="K212" i="12" s="1"/>
  <c r="C212" i="11"/>
  <c r="J211" i="12"/>
  <c r="F211" i="12"/>
  <c r="E211" i="12"/>
  <c r="C211" i="12"/>
  <c r="K211" i="12" s="1"/>
  <c r="C211" i="11"/>
  <c r="J210" i="12"/>
  <c r="F210" i="12"/>
  <c r="E210" i="12"/>
  <c r="C210" i="12"/>
  <c r="K210" i="12" s="1"/>
  <c r="C210" i="11"/>
  <c r="J209" i="12"/>
  <c r="F209" i="12"/>
  <c r="E209" i="12"/>
  <c r="C209" i="12"/>
  <c r="D209" i="12" s="1"/>
  <c r="C209" i="11"/>
  <c r="J208" i="12"/>
  <c r="F208" i="12"/>
  <c r="E208" i="12"/>
  <c r="C208" i="12"/>
  <c r="D208" i="12" s="1"/>
  <c r="C208" i="11"/>
  <c r="J207" i="12"/>
  <c r="F207" i="12"/>
  <c r="E207" i="12"/>
  <c r="C207" i="12"/>
  <c r="D207" i="12" s="1"/>
  <c r="C207" i="11"/>
  <c r="J206" i="12"/>
  <c r="F206" i="12"/>
  <c r="E206" i="12"/>
  <c r="C206" i="12"/>
  <c r="K206" i="12" s="1"/>
  <c r="C206" i="11"/>
  <c r="J205" i="12"/>
  <c r="F205" i="12"/>
  <c r="E205" i="12"/>
  <c r="C205" i="12"/>
  <c r="K205" i="12" s="1"/>
  <c r="C205" i="11"/>
  <c r="J204" i="12"/>
  <c r="F204" i="12"/>
  <c r="E204" i="12"/>
  <c r="C204" i="12"/>
  <c r="K204" i="12" s="1"/>
  <c r="C204" i="11"/>
  <c r="J203" i="12"/>
  <c r="F203" i="12"/>
  <c r="E203" i="12"/>
  <c r="C203" i="12"/>
  <c r="K203" i="12" s="1"/>
  <c r="C203" i="11"/>
  <c r="J202" i="12"/>
  <c r="F202" i="12"/>
  <c r="E202" i="12"/>
  <c r="C202" i="12"/>
  <c r="K202" i="12" s="1"/>
  <c r="C202" i="11"/>
  <c r="J201" i="12"/>
  <c r="F201" i="12"/>
  <c r="E201" i="12"/>
  <c r="C201" i="12"/>
  <c r="D201" i="12" s="1"/>
  <c r="C201" i="11"/>
  <c r="J200" i="12"/>
  <c r="F200" i="12"/>
  <c r="E200" i="12"/>
  <c r="C200" i="12"/>
  <c r="D200" i="12" s="1"/>
  <c r="C200" i="11"/>
  <c r="J199" i="12"/>
  <c r="F199" i="12"/>
  <c r="E199" i="12"/>
  <c r="C199" i="12"/>
  <c r="D199" i="12" s="1"/>
  <c r="C199" i="11"/>
  <c r="J198" i="12"/>
  <c r="F198" i="12"/>
  <c r="E198" i="12"/>
  <c r="C198" i="12"/>
  <c r="D198" i="12" s="1"/>
  <c r="C198" i="11"/>
  <c r="J197" i="12"/>
  <c r="F197" i="12"/>
  <c r="E197" i="12"/>
  <c r="C197" i="12"/>
  <c r="K197" i="12" s="1"/>
  <c r="C197" i="11"/>
  <c r="J196" i="12"/>
  <c r="F196" i="12"/>
  <c r="E196" i="12"/>
  <c r="C196" i="12"/>
  <c r="K196" i="12" s="1"/>
  <c r="C196" i="11"/>
  <c r="J195" i="12"/>
  <c r="F195" i="12"/>
  <c r="E195" i="12"/>
  <c r="C195" i="12"/>
  <c r="K195" i="12" s="1"/>
  <c r="C195" i="11"/>
  <c r="J194" i="12"/>
  <c r="F194" i="12"/>
  <c r="E194" i="12"/>
  <c r="C194" i="12"/>
  <c r="K194" i="12" s="1"/>
  <c r="C194" i="11"/>
  <c r="J193" i="12"/>
  <c r="F193" i="12"/>
  <c r="E193" i="12"/>
  <c r="C193" i="12"/>
  <c r="D193" i="12" s="1"/>
  <c r="C193" i="11"/>
  <c r="J192" i="12"/>
  <c r="F192" i="12"/>
  <c r="E192" i="12"/>
  <c r="C192" i="12"/>
  <c r="D192" i="12" s="1"/>
  <c r="C192" i="11"/>
  <c r="J191" i="12"/>
  <c r="F191" i="12"/>
  <c r="E191" i="12"/>
  <c r="C191" i="12"/>
  <c r="D191" i="12" s="1"/>
  <c r="C191" i="11"/>
  <c r="J190" i="12"/>
  <c r="F190" i="12"/>
  <c r="E190" i="12"/>
  <c r="C190" i="12"/>
  <c r="D190" i="12" s="1"/>
  <c r="C190" i="11"/>
  <c r="J189" i="12"/>
  <c r="F189" i="12"/>
  <c r="E189" i="12"/>
  <c r="C189" i="12"/>
  <c r="K189" i="12" s="1"/>
  <c r="C189" i="11"/>
  <c r="J188" i="12"/>
  <c r="F188" i="12"/>
  <c r="E188" i="12"/>
  <c r="C188" i="12"/>
  <c r="K188" i="12" s="1"/>
  <c r="C188" i="11"/>
  <c r="J187" i="12"/>
  <c r="F187" i="12"/>
  <c r="E187" i="12"/>
  <c r="C187" i="12"/>
  <c r="K187" i="12" s="1"/>
  <c r="C187" i="11"/>
  <c r="J186" i="12"/>
  <c r="F186" i="12"/>
  <c r="E186" i="12"/>
  <c r="C186" i="12"/>
  <c r="D186" i="12" s="1"/>
  <c r="C186" i="11"/>
  <c r="J185" i="12"/>
  <c r="F185" i="12"/>
  <c r="E185" i="12"/>
  <c r="C185" i="12"/>
  <c r="D185" i="12" s="1"/>
  <c r="C185" i="11"/>
  <c r="J184" i="12"/>
  <c r="F184" i="12"/>
  <c r="E184" i="12"/>
  <c r="C184" i="12"/>
  <c r="D184" i="12" s="1"/>
  <c r="C184" i="11"/>
  <c r="J183" i="12"/>
  <c r="F183" i="12"/>
  <c r="E183" i="12"/>
  <c r="C183" i="12"/>
  <c r="D183" i="12" s="1"/>
  <c r="C183" i="11"/>
  <c r="J182" i="12"/>
  <c r="F182" i="12"/>
  <c r="E182" i="12"/>
  <c r="C182" i="12"/>
  <c r="D182" i="12" s="1"/>
  <c r="C182" i="11"/>
  <c r="J181" i="12"/>
  <c r="F181" i="12"/>
  <c r="E181" i="12"/>
  <c r="C181" i="12"/>
  <c r="K181" i="12" s="1"/>
  <c r="C181" i="11"/>
  <c r="J180" i="12"/>
  <c r="F180" i="12"/>
  <c r="E180" i="12"/>
  <c r="C180" i="12"/>
  <c r="K180" i="12" s="1"/>
  <c r="C180" i="11"/>
  <c r="J179" i="12"/>
  <c r="F179" i="12"/>
  <c r="E179" i="12"/>
  <c r="C179" i="12"/>
  <c r="K179" i="12" s="1"/>
  <c r="C179" i="11"/>
  <c r="J178" i="12"/>
  <c r="F178" i="12"/>
  <c r="E178" i="12"/>
  <c r="C178" i="12"/>
  <c r="K178" i="12" s="1"/>
  <c r="C178" i="11"/>
  <c r="J177" i="12"/>
  <c r="F177" i="12"/>
  <c r="E177" i="12"/>
  <c r="C177" i="12"/>
  <c r="D177" i="12" s="1"/>
  <c r="C177" i="11"/>
  <c r="J176" i="12"/>
  <c r="F176" i="12"/>
  <c r="E176" i="12"/>
  <c r="C176" i="12"/>
  <c r="D176" i="12" s="1"/>
  <c r="C176" i="11"/>
  <c r="J175" i="12"/>
  <c r="F175" i="12"/>
  <c r="E175" i="12"/>
  <c r="C175" i="12"/>
  <c r="D175" i="12" s="1"/>
  <c r="C175" i="11"/>
  <c r="J174" i="12"/>
  <c r="F174" i="12"/>
  <c r="E174" i="12"/>
  <c r="C174" i="12"/>
  <c r="D174" i="12" s="1"/>
  <c r="C174" i="11"/>
  <c r="J173" i="12"/>
  <c r="F173" i="12"/>
  <c r="E173" i="12"/>
  <c r="C173" i="12"/>
  <c r="K173" i="12" s="1"/>
  <c r="C173" i="11"/>
  <c r="J172" i="12"/>
  <c r="F172" i="12"/>
  <c r="E172" i="12"/>
  <c r="C172" i="12"/>
  <c r="K172" i="12" s="1"/>
  <c r="C172" i="11"/>
  <c r="J171" i="12"/>
  <c r="F171" i="12"/>
  <c r="E171" i="12"/>
  <c r="C171" i="12"/>
  <c r="K171" i="12" s="1"/>
  <c r="C171" i="11"/>
  <c r="J170" i="12"/>
  <c r="F170" i="12"/>
  <c r="E170" i="12"/>
  <c r="C170" i="12"/>
  <c r="D170" i="12" s="1"/>
  <c r="C170" i="11"/>
  <c r="J169" i="12"/>
  <c r="F169" i="12"/>
  <c r="E169" i="12"/>
  <c r="C169" i="12"/>
  <c r="D169" i="12" s="1"/>
  <c r="C169" i="11"/>
  <c r="J168" i="12"/>
  <c r="F168" i="12"/>
  <c r="E168" i="12"/>
  <c r="C168" i="12"/>
  <c r="D168" i="12" s="1"/>
  <c r="C168" i="11"/>
  <c r="J167" i="12"/>
  <c r="F167" i="12"/>
  <c r="E167" i="12"/>
  <c r="C167" i="12"/>
  <c r="D167" i="12" s="1"/>
  <c r="C167" i="11"/>
  <c r="J166" i="12"/>
  <c r="F166" i="12"/>
  <c r="E166" i="12"/>
  <c r="C166" i="12"/>
  <c r="D166" i="12" s="1"/>
  <c r="C166" i="11"/>
  <c r="J165" i="12"/>
  <c r="F165" i="12"/>
  <c r="E165" i="12"/>
  <c r="C165" i="12"/>
  <c r="K165" i="12" s="1"/>
  <c r="C165" i="11"/>
  <c r="J164" i="12"/>
  <c r="F164" i="12"/>
  <c r="E164" i="12"/>
  <c r="C164" i="12"/>
  <c r="K164" i="12" s="1"/>
  <c r="C164" i="11"/>
  <c r="J163" i="12"/>
  <c r="F163" i="12"/>
  <c r="E163" i="12"/>
  <c r="C163" i="12"/>
  <c r="K163" i="12" s="1"/>
  <c r="C163" i="11"/>
  <c r="J162" i="12"/>
  <c r="F162" i="12"/>
  <c r="E162" i="12"/>
  <c r="C162" i="12"/>
  <c r="K162" i="12" s="1"/>
  <c r="C162" i="11"/>
  <c r="J161" i="12"/>
  <c r="F161" i="12"/>
  <c r="E161" i="12"/>
  <c r="C161" i="12"/>
  <c r="D161" i="12" s="1"/>
  <c r="C161" i="11"/>
  <c r="J160" i="12"/>
  <c r="F160" i="12"/>
  <c r="E160" i="12"/>
  <c r="C160" i="12"/>
  <c r="D160" i="12" s="1"/>
  <c r="C160" i="11"/>
  <c r="J159" i="12"/>
  <c r="F159" i="12"/>
  <c r="E159" i="12"/>
  <c r="C159" i="12"/>
  <c r="D159" i="12" s="1"/>
  <c r="C159" i="11"/>
  <c r="J158" i="12"/>
  <c r="F158" i="12"/>
  <c r="E158" i="12"/>
  <c r="C158" i="12"/>
  <c r="K158" i="12" s="1"/>
  <c r="C158" i="11"/>
  <c r="J157" i="12"/>
  <c r="F157" i="12"/>
  <c r="E157" i="12"/>
  <c r="C157" i="12"/>
  <c r="K157" i="12" s="1"/>
  <c r="C157" i="11"/>
  <c r="J156" i="12"/>
  <c r="F156" i="12"/>
  <c r="E156" i="12"/>
  <c r="C156" i="12"/>
  <c r="K156" i="12" s="1"/>
  <c r="C156" i="11"/>
  <c r="J155" i="12"/>
  <c r="F155" i="12"/>
  <c r="E155" i="12"/>
  <c r="C155" i="12"/>
  <c r="K155" i="12" s="1"/>
  <c r="C155" i="11"/>
  <c r="J154" i="12"/>
  <c r="F154" i="12"/>
  <c r="E154" i="12"/>
  <c r="C154" i="12"/>
  <c r="D154" i="12" s="1"/>
  <c r="C154" i="11"/>
  <c r="J153" i="12"/>
  <c r="F153" i="12"/>
  <c r="E153" i="12"/>
  <c r="C153" i="12"/>
  <c r="D153" i="12" s="1"/>
  <c r="C153" i="11"/>
  <c r="J152" i="12"/>
  <c r="F152" i="12"/>
  <c r="E152" i="12"/>
  <c r="C152" i="12"/>
  <c r="D152" i="12" s="1"/>
  <c r="C152" i="11"/>
  <c r="J151" i="12"/>
  <c r="F151" i="12"/>
  <c r="E151" i="12"/>
  <c r="C151" i="12"/>
  <c r="D151" i="12" s="1"/>
  <c r="C151" i="11"/>
  <c r="J150" i="12"/>
  <c r="F150" i="12"/>
  <c r="E150" i="12"/>
  <c r="C150" i="12"/>
  <c r="K150" i="12" s="1"/>
  <c r="C150" i="11"/>
  <c r="J149" i="12"/>
  <c r="F149" i="12"/>
  <c r="E149" i="12"/>
  <c r="C149" i="12"/>
  <c r="K149" i="12" s="1"/>
  <c r="C149" i="11"/>
  <c r="J148" i="12"/>
  <c r="F148" i="12"/>
  <c r="E148" i="12"/>
  <c r="C148" i="12"/>
  <c r="K148" i="12" s="1"/>
  <c r="C148" i="11"/>
  <c r="J147" i="12"/>
  <c r="F147" i="12"/>
  <c r="E147" i="12"/>
  <c r="C147" i="12"/>
  <c r="K147" i="12" s="1"/>
  <c r="C147" i="11"/>
  <c r="J146" i="12"/>
  <c r="F146" i="12"/>
  <c r="E146" i="12"/>
  <c r="C146" i="12"/>
  <c r="D146" i="12" s="1"/>
  <c r="C146" i="11"/>
  <c r="J145" i="12"/>
  <c r="F145" i="12"/>
  <c r="E145" i="12"/>
  <c r="C145" i="12"/>
  <c r="D145" i="12" s="1"/>
  <c r="C145" i="11"/>
  <c r="J144" i="12"/>
  <c r="F144" i="12"/>
  <c r="E144" i="12"/>
  <c r="C144" i="12"/>
  <c r="D144" i="12" s="1"/>
  <c r="C144" i="11"/>
  <c r="J143" i="12"/>
  <c r="F143" i="12"/>
  <c r="E143" i="12"/>
  <c r="C143" i="12"/>
  <c r="D143" i="12" s="1"/>
  <c r="C143" i="11"/>
  <c r="J142" i="12"/>
  <c r="F142" i="12"/>
  <c r="E142" i="12"/>
  <c r="C142" i="12"/>
  <c r="K142" i="12" s="1"/>
  <c r="C142" i="11"/>
  <c r="J141" i="12"/>
  <c r="F141" i="12"/>
  <c r="E141" i="12"/>
  <c r="C141" i="12"/>
  <c r="K141" i="12" s="1"/>
  <c r="C141" i="11"/>
  <c r="J140" i="12"/>
  <c r="F140" i="12"/>
  <c r="E140" i="12"/>
  <c r="C140" i="12"/>
  <c r="K140" i="12" s="1"/>
  <c r="C140" i="11"/>
  <c r="J139" i="12"/>
  <c r="F139" i="12"/>
  <c r="E139" i="12"/>
  <c r="C139" i="12"/>
  <c r="K139" i="12" s="1"/>
  <c r="C139" i="11"/>
  <c r="J138" i="12"/>
  <c r="F138" i="12"/>
  <c r="E138" i="12"/>
  <c r="C138" i="12"/>
  <c r="K138" i="12" s="1"/>
  <c r="C138" i="11"/>
  <c r="J137" i="12"/>
  <c r="F137" i="12"/>
  <c r="E137" i="12"/>
  <c r="C137" i="12"/>
  <c r="D137" i="12" s="1"/>
  <c r="C137" i="11"/>
  <c r="J136" i="12"/>
  <c r="F136" i="12"/>
  <c r="E136" i="12"/>
  <c r="C136" i="12"/>
  <c r="D136" i="12" s="1"/>
  <c r="C136" i="11"/>
  <c r="J135" i="12"/>
  <c r="F135" i="12"/>
  <c r="E135" i="12"/>
  <c r="C135" i="12"/>
  <c r="D135" i="12" s="1"/>
  <c r="C135" i="11"/>
  <c r="J134" i="12"/>
  <c r="F134" i="12"/>
  <c r="E134" i="12"/>
  <c r="C134" i="12"/>
  <c r="K134" i="12" s="1"/>
  <c r="C134" i="11"/>
  <c r="J133" i="12"/>
  <c r="F133" i="12"/>
  <c r="E133" i="12"/>
  <c r="C133" i="12"/>
  <c r="K133" i="12" s="1"/>
  <c r="C133" i="11"/>
  <c r="J132" i="12"/>
  <c r="F132" i="12"/>
  <c r="E132" i="12"/>
  <c r="C132" i="12"/>
  <c r="K132" i="12" s="1"/>
  <c r="C132" i="11"/>
  <c r="J131" i="12"/>
  <c r="F131" i="12"/>
  <c r="E131" i="12"/>
  <c r="C131" i="12"/>
  <c r="K131" i="12" s="1"/>
  <c r="C131" i="11"/>
  <c r="J130" i="12"/>
  <c r="F130" i="12"/>
  <c r="E130" i="12"/>
  <c r="C130" i="12"/>
  <c r="D130" i="12" s="1"/>
  <c r="C130" i="11"/>
  <c r="J129" i="12"/>
  <c r="F129" i="12"/>
  <c r="E129" i="12"/>
  <c r="C129" i="12"/>
  <c r="D129" i="12" s="1"/>
  <c r="C129" i="11"/>
  <c r="J128" i="12"/>
  <c r="F128" i="12"/>
  <c r="E128" i="12"/>
  <c r="C128" i="12"/>
  <c r="D128" i="12" s="1"/>
  <c r="C128" i="11"/>
  <c r="J127" i="12"/>
  <c r="F127" i="12"/>
  <c r="E127" i="12"/>
  <c r="C127" i="12"/>
  <c r="D127" i="12" s="1"/>
  <c r="C127" i="11"/>
  <c r="J126" i="12"/>
  <c r="F126" i="12"/>
  <c r="E126" i="12"/>
  <c r="C126" i="12"/>
  <c r="D126" i="12" s="1"/>
  <c r="C126" i="11"/>
  <c r="J125" i="12"/>
  <c r="F125" i="12"/>
  <c r="E125" i="12"/>
  <c r="C125" i="12"/>
  <c r="K125" i="12" s="1"/>
  <c r="C125" i="11"/>
  <c r="J124" i="12"/>
  <c r="F124" i="12"/>
  <c r="E124" i="12"/>
  <c r="C124" i="12"/>
  <c r="K124" i="12" s="1"/>
  <c r="C124" i="11"/>
  <c r="J123" i="12"/>
  <c r="F123" i="12"/>
  <c r="E123" i="12"/>
  <c r="C123" i="12"/>
  <c r="K123" i="12" s="1"/>
  <c r="C123" i="11"/>
  <c r="J122" i="12"/>
  <c r="F122" i="12"/>
  <c r="E122" i="12"/>
  <c r="C122" i="12"/>
  <c r="D122" i="12" s="1"/>
  <c r="C122" i="11"/>
  <c r="J121" i="12"/>
  <c r="F121" i="12"/>
  <c r="E121" i="12"/>
  <c r="C121" i="12"/>
  <c r="D121" i="12" s="1"/>
  <c r="C121" i="11"/>
  <c r="J120" i="12"/>
  <c r="F120" i="12"/>
  <c r="E120" i="12"/>
  <c r="C120" i="12"/>
  <c r="D120" i="12" s="1"/>
  <c r="C120" i="11"/>
  <c r="J119" i="12"/>
  <c r="F119" i="12"/>
  <c r="E119" i="12"/>
  <c r="C119" i="12"/>
  <c r="D119" i="12" s="1"/>
  <c r="C119" i="11"/>
  <c r="J118" i="12"/>
  <c r="F118" i="12"/>
  <c r="E118" i="12"/>
  <c r="C118" i="12"/>
  <c r="D118" i="12" s="1"/>
  <c r="C118" i="11"/>
  <c r="J117" i="12"/>
  <c r="F117" i="12"/>
  <c r="E117" i="12"/>
  <c r="C117" i="12"/>
  <c r="K117" i="12" s="1"/>
  <c r="C117" i="11"/>
  <c r="J116" i="12"/>
  <c r="F116" i="12"/>
  <c r="E116" i="12"/>
  <c r="C116" i="12"/>
  <c r="K116" i="12" s="1"/>
  <c r="C116" i="11"/>
  <c r="J115" i="12"/>
  <c r="F115" i="12"/>
  <c r="E115" i="12"/>
  <c r="C115" i="12"/>
  <c r="K115" i="12" s="1"/>
  <c r="C115" i="11"/>
  <c r="J114" i="12"/>
  <c r="F114" i="12"/>
  <c r="E114" i="12"/>
  <c r="C114" i="12"/>
  <c r="K114" i="12" s="1"/>
  <c r="C114" i="11"/>
  <c r="J113" i="12"/>
  <c r="F113" i="12"/>
  <c r="E113" i="12"/>
  <c r="C113" i="12"/>
  <c r="D113" i="12" s="1"/>
  <c r="C113" i="11"/>
  <c r="J112" i="12"/>
  <c r="F112" i="12"/>
  <c r="E112" i="12"/>
  <c r="C112" i="12"/>
  <c r="D112" i="12" s="1"/>
  <c r="C112" i="11"/>
  <c r="J111" i="12"/>
  <c r="F111" i="12"/>
  <c r="E111" i="12"/>
  <c r="C111" i="12"/>
  <c r="D111" i="12" s="1"/>
  <c r="C111" i="11"/>
  <c r="J110" i="12"/>
  <c r="F110" i="12"/>
  <c r="E110" i="12"/>
  <c r="C110" i="12"/>
  <c r="D110" i="12" s="1"/>
  <c r="C110" i="11"/>
  <c r="J109" i="12"/>
  <c r="F109" i="12"/>
  <c r="E109" i="12"/>
  <c r="C109" i="12"/>
  <c r="K109" i="12" s="1"/>
  <c r="C109" i="11"/>
  <c r="J108" i="12"/>
  <c r="F108" i="12"/>
  <c r="E108" i="12"/>
  <c r="C108" i="12"/>
  <c r="K108" i="12" s="1"/>
  <c r="C108" i="11"/>
  <c r="J107" i="12"/>
  <c r="F107" i="12"/>
  <c r="E107" i="12"/>
  <c r="C107" i="12"/>
  <c r="K107" i="12" s="1"/>
  <c r="C107" i="11"/>
  <c r="J106" i="12"/>
  <c r="F106" i="12"/>
  <c r="E106" i="12"/>
  <c r="C106" i="12"/>
  <c r="D106" i="12" s="1"/>
  <c r="C106" i="11"/>
  <c r="J105" i="12"/>
  <c r="F105" i="12"/>
  <c r="E105" i="12"/>
  <c r="C105" i="12"/>
  <c r="D105" i="12" s="1"/>
  <c r="C105" i="11"/>
  <c r="J104" i="12"/>
  <c r="F104" i="12"/>
  <c r="E104" i="12"/>
  <c r="C104" i="12"/>
  <c r="D104" i="12" s="1"/>
  <c r="C104" i="11"/>
  <c r="J103" i="12"/>
  <c r="F103" i="12"/>
  <c r="E103" i="12"/>
  <c r="C103" i="12"/>
  <c r="D103" i="12" s="1"/>
  <c r="C103" i="11"/>
  <c r="J102" i="12"/>
  <c r="F102" i="12"/>
  <c r="E102" i="12"/>
  <c r="C102" i="12"/>
  <c r="D102" i="12" s="1"/>
  <c r="C102" i="11"/>
  <c r="J101" i="12"/>
  <c r="F101" i="12"/>
  <c r="E101" i="12"/>
  <c r="C101" i="12"/>
  <c r="K101" i="12" s="1"/>
  <c r="C101" i="11"/>
  <c r="J100" i="12"/>
  <c r="F100" i="12"/>
  <c r="E100" i="12"/>
  <c r="C100" i="12"/>
  <c r="K100" i="12" s="1"/>
  <c r="C100" i="11"/>
  <c r="J99" i="12"/>
  <c r="F99" i="12"/>
  <c r="E99" i="12"/>
  <c r="C99" i="12"/>
  <c r="K99" i="12" s="1"/>
  <c r="C99" i="11"/>
  <c r="J98" i="12"/>
  <c r="F98" i="12"/>
  <c r="E98" i="12"/>
  <c r="C98" i="12"/>
  <c r="D98" i="12" s="1"/>
  <c r="C98" i="11"/>
  <c r="J97" i="12"/>
  <c r="F97" i="12"/>
  <c r="E97" i="12"/>
  <c r="C97" i="12"/>
  <c r="D97" i="12" s="1"/>
  <c r="C97" i="11"/>
  <c r="J96" i="12"/>
  <c r="F96" i="12"/>
  <c r="E96" i="12"/>
  <c r="C96" i="12"/>
  <c r="D96" i="12" s="1"/>
  <c r="C96" i="11"/>
  <c r="J95" i="12"/>
  <c r="F95" i="12"/>
  <c r="E95" i="12"/>
  <c r="C95" i="12"/>
  <c r="D95" i="12" s="1"/>
  <c r="C95" i="11"/>
  <c r="J94" i="12"/>
  <c r="F94" i="12"/>
  <c r="E94" i="12"/>
  <c r="C94" i="12"/>
  <c r="K94" i="12" s="1"/>
  <c r="C94" i="11"/>
  <c r="J93" i="12"/>
  <c r="F93" i="12"/>
  <c r="E93" i="12"/>
  <c r="C93" i="12"/>
  <c r="K93" i="12" s="1"/>
  <c r="C93" i="11"/>
  <c r="J92" i="12"/>
  <c r="F92" i="12"/>
  <c r="E92" i="12"/>
  <c r="C92" i="12"/>
  <c r="K92" i="12" s="1"/>
  <c r="C92" i="11"/>
  <c r="J91" i="12"/>
  <c r="F91" i="12"/>
  <c r="E91" i="12"/>
  <c r="C91" i="12"/>
  <c r="K91" i="12" s="1"/>
  <c r="C91" i="11"/>
  <c r="J90" i="12"/>
  <c r="F90" i="12"/>
  <c r="E90" i="12"/>
  <c r="C90" i="12"/>
  <c r="D90" i="12" s="1"/>
  <c r="C90" i="11"/>
  <c r="J89" i="12"/>
  <c r="F89" i="12"/>
  <c r="E89" i="12"/>
  <c r="C89" i="12"/>
  <c r="D89" i="12" s="1"/>
  <c r="C89" i="11"/>
  <c r="J88" i="12"/>
  <c r="F88" i="12"/>
  <c r="E88" i="12"/>
  <c r="C88" i="12"/>
  <c r="D88" i="12" s="1"/>
  <c r="C88" i="11"/>
  <c r="J87" i="12"/>
  <c r="F87" i="12"/>
  <c r="E87" i="12"/>
  <c r="C87" i="12"/>
  <c r="D87" i="12" s="1"/>
  <c r="C87" i="11"/>
  <c r="J86" i="12"/>
  <c r="F86" i="12"/>
  <c r="E86" i="12"/>
  <c r="C86" i="12"/>
  <c r="K86" i="12" s="1"/>
  <c r="C86" i="11"/>
  <c r="J85" i="12"/>
  <c r="F85" i="12"/>
  <c r="E85" i="12"/>
  <c r="C85" i="12"/>
  <c r="K85" i="12" s="1"/>
  <c r="C85" i="11"/>
  <c r="J84" i="12"/>
  <c r="F84" i="12"/>
  <c r="E84" i="12"/>
  <c r="C84" i="12"/>
  <c r="K84" i="12" s="1"/>
  <c r="C84" i="11"/>
  <c r="J83" i="12"/>
  <c r="F83" i="12"/>
  <c r="E83" i="12"/>
  <c r="C83" i="12"/>
  <c r="K83" i="12" s="1"/>
  <c r="C83" i="11"/>
  <c r="J82" i="12"/>
  <c r="F82" i="12"/>
  <c r="E82" i="12"/>
  <c r="C82" i="12"/>
  <c r="K82" i="12" s="1"/>
  <c r="C82" i="11"/>
  <c r="K550" i="12" l="1"/>
  <c r="K583" i="12"/>
  <c r="K646" i="12"/>
  <c r="K574" i="12"/>
  <c r="K622" i="12"/>
  <c r="K630" i="12"/>
  <c r="K551" i="12"/>
  <c r="K606" i="12"/>
  <c r="K631" i="12"/>
  <c r="D603" i="12"/>
  <c r="K598" i="12"/>
  <c r="D555" i="12"/>
  <c r="D558" i="12"/>
  <c r="D635" i="12"/>
  <c r="D638" i="12"/>
  <c r="K582" i="12"/>
  <c r="D587" i="12"/>
  <c r="D590" i="12"/>
  <c r="K615" i="12"/>
  <c r="K567" i="12"/>
  <c r="K614" i="12"/>
  <c r="D619" i="12"/>
  <c r="K647" i="12"/>
  <c r="K566" i="12"/>
  <c r="D571" i="12"/>
  <c r="K599" i="12"/>
  <c r="D539" i="12"/>
  <c r="D542" i="12"/>
  <c r="K559" i="12"/>
  <c r="K575" i="12"/>
  <c r="K591" i="12"/>
  <c r="K607" i="12"/>
  <c r="K623" i="12"/>
  <c r="K639" i="12"/>
  <c r="D547" i="12"/>
  <c r="D563" i="12"/>
  <c r="D579" i="12"/>
  <c r="D595" i="12"/>
  <c r="D611" i="12"/>
  <c r="D627" i="12"/>
  <c r="D643" i="12"/>
  <c r="K88" i="12"/>
  <c r="D395" i="12"/>
  <c r="D398" i="12"/>
  <c r="K390" i="12"/>
  <c r="K102" i="12"/>
  <c r="K518" i="12"/>
  <c r="D419" i="12"/>
  <c r="D422" i="12"/>
  <c r="K295" i="12"/>
  <c r="D515" i="12"/>
  <c r="K136" i="12"/>
  <c r="K246" i="12"/>
  <c r="K446" i="12"/>
  <c r="K216" i="12"/>
  <c r="K286" i="12"/>
  <c r="K519" i="12"/>
  <c r="D131" i="12"/>
  <c r="D134" i="12"/>
  <c r="K230" i="12"/>
  <c r="K326" i="12"/>
  <c r="D443" i="12"/>
  <c r="D315" i="12"/>
  <c r="D318" i="12"/>
  <c r="D411" i="12"/>
  <c r="D414" i="12"/>
  <c r="K478" i="12"/>
  <c r="K166" i="12"/>
  <c r="K359" i="12"/>
  <c r="K510" i="12"/>
  <c r="K160" i="12"/>
  <c r="K255" i="12"/>
  <c r="D310" i="12"/>
  <c r="K191" i="12"/>
  <c r="K439" i="12"/>
  <c r="K535" i="12"/>
  <c r="D211" i="12"/>
  <c r="D214" i="12"/>
  <c r="K119" i="12"/>
  <c r="K127" i="12"/>
  <c r="K199" i="12"/>
  <c r="K247" i="12"/>
  <c r="D291" i="12"/>
  <c r="D294" i="12"/>
  <c r="D379" i="12"/>
  <c r="D475" i="12"/>
  <c r="K430" i="12"/>
  <c r="K534" i="12"/>
  <c r="D486" i="12"/>
  <c r="D403" i="12"/>
  <c r="D406" i="12"/>
  <c r="D459" i="12"/>
  <c r="D462" i="12"/>
  <c r="D483" i="12"/>
  <c r="D347" i="12"/>
  <c r="K407" i="12"/>
  <c r="D427" i="12"/>
  <c r="D499" i="12"/>
  <c r="D502" i="12"/>
  <c r="D531" i="12"/>
  <c r="D267" i="12"/>
  <c r="D270" i="12"/>
  <c r="D275" i="12"/>
  <c r="K279" i="12"/>
  <c r="K302" i="12"/>
  <c r="K311" i="12"/>
  <c r="K342" i="12"/>
  <c r="K208" i="12"/>
  <c r="D371" i="12"/>
  <c r="D374" i="12"/>
  <c r="D467" i="12"/>
  <c r="D470" i="12"/>
  <c r="K503" i="12"/>
  <c r="D523" i="12"/>
  <c r="D526" i="12"/>
  <c r="D99" i="12"/>
  <c r="K135" i="12"/>
  <c r="D163" i="12"/>
  <c r="D259" i="12"/>
  <c r="D262" i="12"/>
  <c r="D299" i="12"/>
  <c r="D339" i="12"/>
  <c r="D387" i="12"/>
  <c r="K423" i="12"/>
  <c r="D507" i="12"/>
  <c r="K198" i="12"/>
  <c r="D283" i="12"/>
  <c r="D323" i="12"/>
  <c r="K334" i="12"/>
  <c r="K358" i="12"/>
  <c r="D363" i="12"/>
  <c r="D366" i="12"/>
  <c r="D451" i="12"/>
  <c r="D454" i="12"/>
  <c r="K471" i="12"/>
  <c r="D491" i="12"/>
  <c r="D494" i="12"/>
  <c r="K143" i="12"/>
  <c r="K152" i="12"/>
  <c r="D203" i="12"/>
  <c r="D206" i="12"/>
  <c r="D227" i="12"/>
  <c r="K263" i="12"/>
  <c r="K343" i="12"/>
  <c r="K391" i="12"/>
  <c r="K183" i="12"/>
  <c r="K207" i="12"/>
  <c r="K327" i="12"/>
  <c r="D147" i="12"/>
  <c r="D150" i="12"/>
  <c r="D83" i="12"/>
  <c r="D86" i="12"/>
  <c r="K118" i="12"/>
  <c r="K182" i="12"/>
  <c r="K200" i="12"/>
  <c r="K224" i="12"/>
  <c r="D331" i="12"/>
  <c r="D355" i="12"/>
  <c r="K278" i="12"/>
  <c r="K350" i="12"/>
  <c r="K375" i="12"/>
  <c r="K487" i="12"/>
  <c r="D195" i="12"/>
  <c r="D307" i="12"/>
  <c r="D382" i="12"/>
  <c r="D435" i="12"/>
  <c r="D438" i="12"/>
  <c r="K144" i="12"/>
  <c r="K455" i="12"/>
  <c r="K96" i="12"/>
  <c r="D139" i="12"/>
  <c r="D142" i="12"/>
  <c r="K87" i="12"/>
  <c r="K104" i="12"/>
  <c r="K151" i="12"/>
  <c r="K168" i="12"/>
  <c r="K215" i="12"/>
  <c r="K232" i="12"/>
  <c r="K110" i="12"/>
  <c r="K174" i="12"/>
  <c r="K238" i="12"/>
  <c r="K103" i="12"/>
  <c r="D115" i="12"/>
  <c r="K120" i="12"/>
  <c r="K167" i="12"/>
  <c r="D179" i="12"/>
  <c r="K184" i="12"/>
  <c r="K231" i="12"/>
  <c r="D243" i="12"/>
  <c r="K248" i="12"/>
  <c r="K271" i="12"/>
  <c r="K287" i="12"/>
  <c r="K303" i="12"/>
  <c r="K319" i="12"/>
  <c r="K335" i="12"/>
  <c r="K351" i="12"/>
  <c r="K367" i="12"/>
  <c r="K383" i="12"/>
  <c r="K399" i="12"/>
  <c r="K415" i="12"/>
  <c r="K431" i="12"/>
  <c r="K447" i="12"/>
  <c r="K463" i="12"/>
  <c r="K479" i="12"/>
  <c r="K495" i="12"/>
  <c r="K511" i="12"/>
  <c r="K527" i="12"/>
  <c r="K543" i="12"/>
  <c r="D91" i="12"/>
  <c r="D94" i="12"/>
  <c r="K126" i="12"/>
  <c r="D155" i="12"/>
  <c r="D158" i="12"/>
  <c r="K190" i="12"/>
  <c r="D219" i="12"/>
  <c r="D222" i="12"/>
  <c r="K254" i="12"/>
  <c r="K95" i="12"/>
  <c r="D107" i="12"/>
  <c r="K112" i="12"/>
  <c r="K159" i="12"/>
  <c r="D171" i="12"/>
  <c r="K176" i="12"/>
  <c r="K223" i="12"/>
  <c r="D235" i="12"/>
  <c r="K240" i="12"/>
  <c r="K111" i="12"/>
  <c r="D123" i="12"/>
  <c r="K128" i="12"/>
  <c r="K175" i="12"/>
  <c r="D187" i="12"/>
  <c r="K192" i="12"/>
  <c r="K239" i="12"/>
  <c r="D251" i="12"/>
  <c r="K256" i="12"/>
  <c r="D82" i="12"/>
  <c r="D138" i="12"/>
  <c r="D162" i="12"/>
  <c r="D226" i="12"/>
  <c r="D250" i="12"/>
  <c r="D314" i="12"/>
  <c r="D322" i="12"/>
  <c r="D354" i="12"/>
  <c r="D370" i="12"/>
  <c r="D378" i="12"/>
  <c r="D386" i="12"/>
  <c r="D426" i="12"/>
  <c r="D490" i="12"/>
  <c r="D506" i="12"/>
  <c r="D570" i="12"/>
  <c r="D578" i="12"/>
  <c r="D626" i="12"/>
  <c r="D634" i="12"/>
  <c r="K98" i="12"/>
  <c r="K106" i="12"/>
  <c r="K122" i="12"/>
  <c r="K170" i="12"/>
  <c r="K186" i="12"/>
  <c r="K218" i="12"/>
  <c r="K290" i="12"/>
  <c r="K330" i="12"/>
  <c r="K362" i="12"/>
  <c r="D85" i="12"/>
  <c r="K89" i="12"/>
  <c r="D101" i="12"/>
  <c r="D109" i="12"/>
  <c r="D117" i="12"/>
  <c r="D125" i="12"/>
  <c r="K129" i="12"/>
  <c r="D133" i="12"/>
  <c r="K137" i="12"/>
  <c r="D141" i="12"/>
  <c r="K145" i="12"/>
  <c r="D149" i="12"/>
  <c r="K153" i="12"/>
  <c r="D165" i="12"/>
  <c r="K169" i="12"/>
  <c r="D173" i="12"/>
  <c r="K177" i="12"/>
  <c r="D181" i="12"/>
  <c r="K185" i="12"/>
  <c r="D189" i="12"/>
  <c r="K193" i="12"/>
  <c r="D197" i="12"/>
  <c r="K201" i="12"/>
  <c r="D205" i="12"/>
  <c r="K209" i="12"/>
  <c r="D213" i="12"/>
  <c r="K217" i="12"/>
  <c r="D229" i="12"/>
  <c r="D245" i="12"/>
  <c r="K249" i="12"/>
  <c r="D253" i="12"/>
  <c r="K257" i="12"/>
  <c r="D277" i="12"/>
  <c r="K281" i="12"/>
  <c r="D285" i="12"/>
  <c r="K289" i="12"/>
  <c r="D293" i="12"/>
  <c r="D301" i="12"/>
  <c r="D309" i="12"/>
  <c r="K313" i="12"/>
  <c r="D317" i="12"/>
  <c r="K321" i="12"/>
  <c r="D333" i="12"/>
  <c r="D341" i="12"/>
  <c r="K345" i="12"/>
  <c r="D349" i="12"/>
  <c r="K353" i="12"/>
  <c r="D357" i="12"/>
  <c r="D373" i="12"/>
  <c r="D381" i="12"/>
  <c r="K385" i="12"/>
  <c r="D389" i="12"/>
  <c r="K393" i="12"/>
  <c r="D413" i="12"/>
  <c r="K417" i="12"/>
  <c r="D421" i="12"/>
  <c r="K425" i="12"/>
  <c r="D437" i="12"/>
  <c r="D445" i="12"/>
  <c r="D453" i="12"/>
  <c r="D469" i="12"/>
  <c r="K473" i="12"/>
  <c r="D477" i="12"/>
  <c r="K481" i="12"/>
  <c r="D501" i="12"/>
  <c r="K505" i="12"/>
  <c r="D509" i="12"/>
  <c r="K513" i="12"/>
  <c r="D541" i="12"/>
  <c r="D565" i="12"/>
  <c r="K569" i="12"/>
  <c r="D573" i="12"/>
  <c r="K577" i="12"/>
  <c r="D605" i="12"/>
  <c r="K609" i="12"/>
  <c r="D613" i="12"/>
  <c r="K617" i="12"/>
  <c r="D645" i="12"/>
  <c r="K90" i="12"/>
  <c r="K130" i="12"/>
  <c r="K146" i="12"/>
  <c r="K154" i="12"/>
  <c r="K234" i="12"/>
  <c r="K242" i="12"/>
  <c r="K258" i="12"/>
  <c r="K274" i="12"/>
  <c r="K346" i="12"/>
  <c r="D93" i="12"/>
  <c r="K97" i="12"/>
  <c r="K105" i="12"/>
  <c r="K113" i="12"/>
  <c r="K121" i="12"/>
  <c r="D157" i="12"/>
  <c r="K161" i="12"/>
  <c r="D221" i="12"/>
  <c r="K225" i="12"/>
  <c r="K233" i="12"/>
  <c r="D237" i="12"/>
  <c r="K241" i="12"/>
  <c r="D261" i="12"/>
  <c r="K265" i="12"/>
  <c r="D269" i="12"/>
  <c r="K273" i="12"/>
  <c r="K297" i="12"/>
  <c r="K305" i="12"/>
  <c r="D325" i="12"/>
  <c r="K329" i="12"/>
  <c r="K337" i="12"/>
  <c r="K361" i="12"/>
  <c r="D365" i="12"/>
  <c r="K369" i="12"/>
  <c r="K377" i="12"/>
  <c r="D397" i="12"/>
  <c r="K401" i="12"/>
  <c r="D405" i="12"/>
  <c r="K409" i="12"/>
  <c r="D429" i="12"/>
  <c r="K433" i="12"/>
  <c r="K441" i="12"/>
  <c r="K449" i="12"/>
  <c r="K457" i="12"/>
  <c r="D461" i="12"/>
  <c r="K465" i="12"/>
  <c r="D485" i="12"/>
  <c r="K489" i="12"/>
  <c r="D493" i="12"/>
  <c r="K497" i="12"/>
  <c r="D517" i="12"/>
  <c r="K521" i="12"/>
  <c r="D525" i="12"/>
  <c r="K529" i="12"/>
  <c r="D533" i="12"/>
  <c r="K537" i="12"/>
  <c r="K545" i="12"/>
  <c r="D549" i="12"/>
  <c r="K553" i="12"/>
  <c r="D557" i="12"/>
  <c r="K561" i="12"/>
  <c r="D581" i="12"/>
  <c r="K585" i="12"/>
  <c r="D589" i="12"/>
  <c r="K593" i="12"/>
  <c r="D597" i="12"/>
  <c r="K601" i="12"/>
  <c r="D621" i="12"/>
  <c r="K625" i="12"/>
  <c r="D629" i="12"/>
  <c r="K633" i="12"/>
  <c r="D637" i="12"/>
  <c r="K641" i="12"/>
  <c r="K649" i="12"/>
  <c r="D84" i="12"/>
  <c r="D92" i="12"/>
  <c r="D100" i="12"/>
  <c r="D108" i="12"/>
  <c r="D116" i="12"/>
  <c r="D124" i="12"/>
  <c r="D132" i="12"/>
  <c r="D140" i="12"/>
  <c r="D148" i="12"/>
  <c r="D156" i="12"/>
  <c r="D164" i="12"/>
  <c r="D172" i="12"/>
  <c r="D180" i="12"/>
  <c r="D188" i="12"/>
  <c r="D196" i="12"/>
  <c r="D204" i="12"/>
  <c r="D212" i="12"/>
  <c r="D220" i="12"/>
  <c r="D228" i="12"/>
  <c r="D236" i="12"/>
  <c r="D244" i="12"/>
  <c r="D252" i="12"/>
  <c r="D260" i="12"/>
  <c r="K264" i="12"/>
  <c r="D268" i="12"/>
  <c r="K272" i="12"/>
  <c r="D276" i="12"/>
  <c r="K280" i="12"/>
  <c r="D284" i="12"/>
  <c r="K288" i="12"/>
  <c r="D292" i="12"/>
  <c r="K296" i="12"/>
  <c r="D300" i="12"/>
  <c r="K304" i="12"/>
  <c r="D308" i="12"/>
  <c r="K312" i="12"/>
  <c r="D316" i="12"/>
  <c r="K320" i="12"/>
  <c r="D324" i="12"/>
  <c r="K328" i="12"/>
  <c r="D332" i="12"/>
  <c r="K336" i="12"/>
  <c r="D340" i="12"/>
  <c r="K344" i="12"/>
  <c r="D348" i="12"/>
  <c r="K352" i="12"/>
  <c r="D356" i="12"/>
  <c r="K360" i="12"/>
  <c r="D364" i="12"/>
  <c r="K368" i="12"/>
  <c r="D372" i="12"/>
  <c r="K376" i="12"/>
  <c r="D380" i="12"/>
  <c r="K384" i="12"/>
  <c r="D388" i="12"/>
  <c r="K392" i="12"/>
  <c r="D396" i="12"/>
  <c r="K400" i="12"/>
  <c r="D404" i="12"/>
  <c r="K408" i="12"/>
  <c r="D412" i="12"/>
  <c r="K416" i="12"/>
  <c r="D420" i="12"/>
  <c r="K424" i="12"/>
  <c r="D428" i="12"/>
  <c r="K432" i="12"/>
  <c r="D436" i="12"/>
  <c r="K440" i="12"/>
  <c r="D444" i="12"/>
  <c r="K448" i="12"/>
  <c r="D452" i="12"/>
  <c r="K456" i="12"/>
  <c r="D460" i="12"/>
  <c r="K464" i="12"/>
  <c r="D468" i="12"/>
  <c r="K472" i="12"/>
  <c r="D476" i="12"/>
  <c r="K480" i="12"/>
  <c r="D484" i="12"/>
  <c r="K488" i="12"/>
  <c r="D492" i="12"/>
  <c r="K496" i="12"/>
  <c r="D500" i="12"/>
  <c r="K504" i="12"/>
  <c r="D508" i="12"/>
  <c r="K512" i="12"/>
  <c r="D516" i="12"/>
  <c r="K520" i="12"/>
  <c r="D524" i="12"/>
  <c r="K528" i="12"/>
  <c r="D532" i="12"/>
  <c r="K536" i="12"/>
  <c r="D540" i="12"/>
  <c r="K544" i="12"/>
  <c r="D548" i="12"/>
  <c r="K552" i="12"/>
  <c r="D556" i="12"/>
  <c r="K560" i="12"/>
  <c r="D564" i="12"/>
  <c r="K568" i="12"/>
  <c r="D572" i="12"/>
  <c r="K576" i="12"/>
  <c r="D580" i="12"/>
  <c r="K584" i="12"/>
  <c r="D588" i="12"/>
  <c r="K592" i="12"/>
  <c r="D596" i="12"/>
  <c r="K600" i="12"/>
  <c r="D604" i="12"/>
  <c r="K608" i="12"/>
  <c r="D612" i="12"/>
  <c r="K616" i="12"/>
  <c r="D620" i="12"/>
  <c r="K624" i="12"/>
  <c r="D628" i="12"/>
  <c r="K632" i="12"/>
  <c r="D636" i="12"/>
  <c r="K640" i="12"/>
  <c r="D644" i="12"/>
  <c r="K648" i="12"/>
  <c r="D178" i="12"/>
  <c r="D194" i="12"/>
  <c r="D298" i="12"/>
  <c r="D338" i="12"/>
  <c r="D410" i="12"/>
  <c r="D418" i="12"/>
  <c r="D450" i="12"/>
  <c r="D514" i="12"/>
  <c r="D554" i="12"/>
  <c r="D618" i="12"/>
  <c r="D210" i="12"/>
  <c r="D266" i="12"/>
  <c r="D282" i="12"/>
  <c r="D642" i="12"/>
  <c r="D530" i="12"/>
  <c r="D538" i="12"/>
  <c r="D114" i="12"/>
  <c r="D306" i="12"/>
  <c r="D394" i="12"/>
  <c r="D402" i="12"/>
  <c r="D434" i="12"/>
  <c r="D442" i="12"/>
  <c r="D466" i="12"/>
  <c r="D474" i="12"/>
  <c r="D482" i="12"/>
  <c r="D498" i="12"/>
  <c r="D522" i="12"/>
  <c r="D562" i="12"/>
  <c r="D594" i="12"/>
  <c r="D202" i="12"/>
  <c r="D458" i="12"/>
  <c r="D546" i="12"/>
  <c r="D586" i="12"/>
  <c r="D602" i="12"/>
  <c r="D610" i="12"/>
  <c r="C23" i="11" l="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G52" i="12" l="1"/>
  <c r="G51" i="12"/>
  <c r="G50" i="12"/>
  <c r="G49" i="12"/>
  <c r="G48" i="12"/>
  <c r="G47" i="12"/>
  <c r="G46" i="12"/>
  <c r="G45" i="12"/>
  <c r="G44" i="12"/>
  <c r="G43" i="12"/>
  <c r="G42" i="12"/>
  <c r="C24" i="11" l="1"/>
  <c r="C25" i="11"/>
  <c r="C26" i="11"/>
  <c r="C30" i="11"/>
  <c r="C33" i="11"/>
  <c r="C34" i="11"/>
  <c r="C37" i="11"/>
  <c r="C38" i="11"/>
  <c r="C39" i="11"/>
  <c r="C40" i="11"/>
  <c r="C41" i="11"/>
  <c r="C42" i="11"/>
  <c r="C46" i="11"/>
  <c r="C47" i="11"/>
  <c r="C48" i="11"/>
  <c r="C49" i="11"/>
  <c r="C50" i="11"/>
  <c r="C53" i="11"/>
  <c r="C54" i="11"/>
  <c r="C55" i="11"/>
  <c r="C56" i="11"/>
  <c r="C57" i="11"/>
  <c r="C58" i="11"/>
  <c r="C60" i="11"/>
  <c r="C62" i="11"/>
  <c r="C64" i="11"/>
  <c r="C65" i="11"/>
  <c r="C66" i="11"/>
  <c r="C68" i="11"/>
  <c r="C69" i="11"/>
  <c r="C70" i="11"/>
  <c r="C71" i="11"/>
  <c r="C72" i="11"/>
  <c r="C73" i="11"/>
  <c r="C74" i="11"/>
  <c r="C75" i="11"/>
  <c r="C76" i="11"/>
  <c r="C80" i="11"/>
  <c r="C81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5" i="10"/>
  <c r="C76" i="10"/>
  <c r="C77" i="10"/>
  <c r="C78" i="10"/>
  <c r="C79" i="10"/>
  <c r="C80" i="10"/>
  <c r="C81" i="10"/>
  <c r="C29" i="11"/>
  <c r="C31" i="11"/>
  <c r="C32" i="11"/>
  <c r="C36" i="11"/>
  <c r="C43" i="11"/>
  <c r="C45" i="11"/>
  <c r="C51" i="11"/>
  <c r="C59" i="11"/>
  <c r="C61" i="11"/>
  <c r="C67" i="11"/>
  <c r="C77" i="11"/>
  <c r="C78" i="11"/>
  <c r="C79" i="11"/>
  <c r="C74" i="10"/>
  <c r="C63" i="11"/>
  <c r="C52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C79" i="12"/>
  <c r="D79" i="12" s="1"/>
  <c r="C80" i="12"/>
  <c r="D80" i="12" s="1"/>
  <c r="C81" i="12"/>
  <c r="K81" i="12" s="1"/>
  <c r="C67" i="12"/>
  <c r="K67" i="12" s="1"/>
  <c r="C68" i="12"/>
  <c r="K68" i="12" s="1"/>
  <c r="C69" i="12"/>
  <c r="D69" i="12" s="1"/>
  <c r="C70" i="12"/>
  <c r="D70" i="12" s="1"/>
  <c r="C71" i="12"/>
  <c r="D71" i="12" s="1"/>
  <c r="C72" i="12"/>
  <c r="K72" i="12" s="1"/>
  <c r="C73" i="12"/>
  <c r="K73" i="12" s="1"/>
  <c r="C74" i="12"/>
  <c r="K74" i="12" s="1"/>
  <c r="C75" i="12"/>
  <c r="K75" i="12" s="1"/>
  <c r="C76" i="12"/>
  <c r="K76" i="12" s="1"/>
  <c r="C77" i="12"/>
  <c r="D77" i="12" s="1"/>
  <c r="C78" i="12"/>
  <c r="D78" i="12" s="1"/>
  <c r="C45" i="12"/>
  <c r="K45" i="12" s="1"/>
  <c r="C46" i="12"/>
  <c r="K46" i="12" s="1"/>
  <c r="C47" i="12"/>
  <c r="K47" i="12" s="1"/>
  <c r="C48" i="12"/>
  <c r="K48" i="12" s="1"/>
  <c r="C49" i="12"/>
  <c r="K49" i="12" s="1"/>
  <c r="C50" i="12"/>
  <c r="K50" i="12" s="1"/>
  <c r="C51" i="12"/>
  <c r="D51" i="12" s="1"/>
  <c r="C52" i="12"/>
  <c r="D52" i="12" s="1"/>
  <c r="C53" i="12"/>
  <c r="D53" i="12" s="1"/>
  <c r="C54" i="12"/>
  <c r="K54" i="12" s="1"/>
  <c r="C55" i="12"/>
  <c r="K55" i="12" s="1"/>
  <c r="C56" i="12"/>
  <c r="D56" i="12" s="1"/>
  <c r="C57" i="12"/>
  <c r="K57" i="12" s="1"/>
  <c r="C58" i="12"/>
  <c r="D58" i="12" s="1"/>
  <c r="C59" i="12"/>
  <c r="D59" i="12" s="1"/>
  <c r="C60" i="12"/>
  <c r="K60" i="12" s="1"/>
  <c r="C61" i="12"/>
  <c r="K61" i="12" s="1"/>
  <c r="C62" i="12"/>
  <c r="D62" i="12" s="1"/>
  <c r="C63" i="12"/>
  <c r="K63" i="12" s="1"/>
  <c r="C64" i="12"/>
  <c r="K64" i="12" s="1"/>
  <c r="C65" i="12"/>
  <c r="K65" i="12" s="1"/>
  <c r="C66" i="12"/>
  <c r="K66" i="12" s="1"/>
  <c r="C42" i="12"/>
  <c r="D42" i="12" s="1"/>
  <c r="C43" i="12"/>
  <c r="D43" i="12" s="1"/>
  <c r="C44" i="12"/>
  <c r="K44" i="12" s="1"/>
  <c r="C44" i="11"/>
  <c r="C35" i="11"/>
  <c r="C28" i="11"/>
  <c r="C27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G34" i="11"/>
  <c r="G35" i="11"/>
  <c r="G36" i="11"/>
  <c r="G37" i="11"/>
  <c r="G38" i="11"/>
  <c r="G39" i="11"/>
  <c r="G40" i="11"/>
  <c r="G41" i="11"/>
  <c r="G24" i="11"/>
  <c r="G25" i="11"/>
  <c r="G26" i="11"/>
  <c r="G27" i="11"/>
  <c r="G28" i="11"/>
  <c r="G29" i="11"/>
  <c r="G30" i="11"/>
  <c r="G31" i="11"/>
  <c r="G32" i="11"/>
  <c r="G33" i="11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2" i="10"/>
  <c r="C41" i="12"/>
  <c r="K41" i="12" s="1"/>
  <c r="E41" i="12"/>
  <c r="F41" i="12"/>
  <c r="G41" i="12"/>
  <c r="J41" i="12"/>
  <c r="E21" i="12"/>
  <c r="F21" i="12"/>
  <c r="G21" i="12"/>
  <c r="J21" i="12"/>
  <c r="E22" i="12"/>
  <c r="F22" i="12"/>
  <c r="G22" i="12"/>
  <c r="J22" i="12"/>
  <c r="E23" i="12"/>
  <c r="F23" i="12"/>
  <c r="G23" i="12"/>
  <c r="J23" i="12"/>
  <c r="E24" i="12"/>
  <c r="F24" i="12"/>
  <c r="G24" i="12"/>
  <c r="E25" i="12"/>
  <c r="F25" i="12"/>
  <c r="G25" i="12"/>
  <c r="E26" i="12"/>
  <c r="F26" i="12"/>
  <c r="G26" i="12"/>
  <c r="J26" i="12"/>
  <c r="E27" i="12"/>
  <c r="F27" i="12"/>
  <c r="G27" i="12"/>
  <c r="J27" i="12"/>
  <c r="E28" i="12"/>
  <c r="F28" i="12"/>
  <c r="G28" i="12"/>
  <c r="J28" i="12"/>
  <c r="E29" i="12"/>
  <c r="F29" i="12"/>
  <c r="G29" i="12"/>
  <c r="J29" i="12"/>
  <c r="E30" i="12"/>
  <c r="F30" i="12"/>
  <c r="G30" i="12"/>
  <c r="J30" i="12"/>
  <c r="E31" i="12"/>
  <c r="F31" i="12"/>
  <c r="G31" i="12"/>
  <c r="J31" i="12"/>
  <c r="E32" i="12"/>
  <c r="F32" i="12"/>
  <c r="G32" i="12"/>
  <c r="J32" i="12"/>
  <c r="E33" i="12"/>
  <c r="F33" i="12"/>
  <c r="G33" i="12"/>
  <c r="J33" i="12"/>
  <c r="E34" i="12"/>
  <c r="F34" i="12"/>
  <c r="G34" i="12"/>
  <c r="J34" i="12"/>
  <c r="E35" i="12"/>
  <c r="F35" i="12"/>
  <c r="G35" i="12"/>
  <c r="J35" i="12"/>
  <c r="E36" i="12"/>
  <c r="F36" i="12"/>
  <c r="G36" i="12"/>
  <c r="J36" i="12"/>
  <c r="E37" i="12"/>
  <c r="F37" i="12"/>
  <c r="G37" i="12"/>
  <c r="J37" i="12"/>
  <c r="E38" i="12"/>
  <c r="F38" i="12"/>
  <c r="G38" i="12"/>
  <c r="J38" i="12"/>
  <c r="E39" i="12"/>
  <c r="F39" i="12"/>
  <c r="G39" i="12"/>
  <c r="J39" i="12"/>
  <c r="E40" i="12"/>
  <c r="F40" i="12"/>
  <c r="G40" i="12"/>
  <c r="J40" i="12"/>
  <c r="C21" i="12"/>
  <c r="D21" i="12" s="1"/>
  <c r="C22" i="12"/>
  <c r="D22" i="12" s="1"/>
  <c r="C23" i="12"/>
  <c r="D23" i="12" s="1"/>
  <c r="D24" i="12"/>
  <c r="D25" i="12"/>
  <c r="C26" i="12"/>
  <c r="D26" i="12" s="1"/>
  <c r="C27" i="12"/>
  <c r="K27" i="12" s="1"/>
  <c r="C28" i="12"/>
  <c r="D28" i="12" s="1"/>
  <c r="C29" i="12"/>
  <c r="D29" i="12" s="1"/>
  <c r="C30" i="12"/>
  <c r="K30" i="12" s="1"/>
  <c r="C31" i="12"/>
  <c r="D31" i="12" s="1"/>
  <c r="C32" i="12"/>
  <c r="K32" i="12" s="1"/>
  <c r="C33" i="12"/>
  <c r="K33" i="12" s="1"/>
  <c r="C34" i="12"/>
  <c r="K34" i="12" s="1"/>
  <c r="C35" i="12"/>
  <c r="K35" i="12" s="1"/>
  <c r="C36" i="12"/>
  <c r="D36" i="12" s="1"/>
  <c r="C37" i="12"/>
  <c r="K37" i="12" s="1"/>
  <c r="C38" i="12"/>
  <c r="D38" i="12" s="1"/>
  <c r="C39" i="12"/>
  <c r="K39" i="12" s="1"/>
  <c r="C40" i="12"/>
  <c r="D40" i="12" s="1"/>
  <c r="C16" i="12"/>
  <c r="D16" i="12" s="1"/>
  <c r="C17" i="12"/>
  <c r="D17" i="12" s="1"/>
  <c r="C18" i="12"/>
  <c r="K18" i="12" s="1"/>
  <c r="C19" i="12"/>
  <c r="D19" i="12" s="1"/>
  <c r="C20" i="12"/>
  <c r="D20" i="12" s="1"/>
  <c r="J16" i="12"/>
  <c r="J17" i="12"/>
  <c r="J18" i="12"/>
  <c r="J19" i="12"/>
  <c r="J20" i="12"/>
  <c r="E16" i="12"/>
  <c r="F16" i="12"/>
  <c r="G16" i="12"/>
  <c r="E17" i="12"/>
  <c r="F17" i="12"/>
  <c r="G17" i="12"/>
  <c r="E18" i="12"/>
  <c r="F18" i="12"/>
  <c r="G18" i="12"/>
  <c r="E19" i="12"/>
  <c r="F19" i="12"/>
  <c r="G19" i="12"/>
  <c r="E20" i="12"/>
  <c r="F20" i="12"/>
  <c r="G20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2" i="12"/>
  <c r="C3" i="12"/>
  <c r="K3" i="12" s="1"/>
  <c r="C4" i="12"/>
  <c r="D4" i="12" s="1"/>
  <c r="C5" i="12"/>
  <c r="K5" i="12" s="1"/>
  <c r="C6" i="12"/>
  <c r="K6" i="12" s="1"/>
  <c r="C7" i="12"/>
  <c r="D7" i="12" s="1"/>
  <c r="C8" i="12"/>
  <c r="D8" i="12" s="1"/>
  <c r="C9" i="12"/>
  <c r="K9" i="12" s="1"/>
  <c r="C10" i="12"/>
  <c r="K10" i="12" s="1"/>
  <c r="C11" i="12"/>
  <c r="K11" i="12" s="1"/>
  <c r="C12" i="12"/>
  <c r="D12" i="12" s="1"/>
  <c r="C13" i="12"/>
  <c r="D13" i="12" s="1"/>
  <c r="C14" i="12"/>
  <c r="D14" i="12" s="1"/>
  <c r="C15" i="12"/>
  <c r="K15" i="12" s="1"/>
  <c r="C2" i="12"/>
  <c r="D2" i="12" s="1"/>
  <c r="D60" i="12" l="1"/>
  <c r="D61" i="12"/>
  <c r="D73" i="12"/>
  <c r="D72" i="12"/>
  <c r="K79" i="12"/>
  <c r="K70" i="12"/>
  <c r="K80" i="12"/>
  <c r="K78" i="12"/>
  <c r="D81" i="12"/>
  <c r="D75" i="12"/>
  <c r="D74" i="12"/>
  <c r="K71" i="12"/>
  <c r="K77" i="12"/>
  <c r="D68" i="12"/>
  <c r="D67" i="12"/>
  <c r="D76" i="12"/>
  <c r="K69" i="12"/>
  <c r="D66" i="12"/>
  <c r="D64" i="12"/>
  <c r="D63" i="12"/>
  <c r="D65" i="12"/>
  <c r="K62" i="12"/>
  <c r="K59" i="12"/>
  <c r="D57" i="12"/>
  <c r="K58" i="12"/>
  <c r="K52" i="12"/>
  <c r="K25" i="12"/>
  <c r="K43" i="12"/>
  <c r="K53" i="12"/>
  <c r="D55" i="12"/>
  <c r="D54" i="12"/>
  <c r="K56" i="12"/>
  <c r="K51" i="12"/>
  <c r="K31" i="12"/>
  <c r="D33" i="12"/>
  <c r="D32" i="12"/>
  <c r="D30" i="12"/>
  <c r="D18" i="12"/>
  <c r="D5" i="12"/>
  <c r="K19" i="12"/>
  <c r="K20" i="12"/>
  <c r="K22" i="12"/>
  <c r="K16" i="12"/>
  <c r="D10" i="12"/>
  <c r="K4" i="12"/>
  <c r="D11" i="12"/>
  <c r="D48" i="12"/>
  <c r="K28" i="12"/>
  <c r="D39" i="12"/>
  <c r="D27" i="12"/>
  <c r="K7" i="12"/>
  <c r="K21" i="12"/>
  <c r="K8" i="12"/>
  <c r="K14" i="12"/>
  <c r="K13" i="12"/>
  <c r="D6" i="12"/>
  <c r="D9" i="12"/>
  <c r="K12" i="12"/>
  <c r="D34" i="12"/>
  <c r="K42" i="12"/>
  <c r="D41" i="12"/>
  <c r="D50" i="12"/>
  <c r="D37" i="12"/>
  <c r="D35" i="12"/>
  <c r="K17" i="12"/>
  <c r="K26" i="12"/>
  <c r="K40" i="12"/>
  <c r="K38" i="12"/>
  <c r="K36" i="12"/>
  <c r="D49" i="12"/>
  <c r="D15" i="12"/>
  <c r="D3" i="12"/>
  <c r="D44" i="12"/>
  <c r="D47" i="12"/>
  <c r="K29" i="12"/>
  <c r="D46" i="12"/>
  <c r="K23" i="12"/>
  <c r="K24" i="12"/>
  <c r="D45" i="12"/>
  <c r="K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<sst xmlns="http://schemas.openxmlformats.org/spreadsheetml/2006/main" count="1432" uniqueCount="104">
  <si>
    <t>First Name</t>
  </si>
  <si>
    <t>Last Name</t>
  </si>
  <si>
    <t>Email Address</t>
  </si>
  <si>
    <t>Grade</t>
  </si>
  <si>
    <t>District</t>
  </si>
  <si>
    <t>School</t>
  </si>
  <si>
    <t>Top Score ISD</t>
  </si>
  <si>
    <t>Expository Elementary</t>
  </si>
  <si>
    <t>Opinion</t>
  </si>
  <si>
    <t>Argumentative</t>
  </si>
  <si>
    <t>Important Notes</t>
  </si>
  <si>
    <t>Expository</t>
  </si>
  <si>
    <t>Planning</t>
  </si>
  <si>
    <t>OArgumentative@ExpositoryElementary.com</t>
  </si>
  <si>
    <t>EPlanning@ExpositoryElementary.com</t>
  </si>
  <si>
    <t>Transition</t>
  </si>
  <si>
    <t>Words</t>
  </si>
  <si>
    <t>Twords@ExpositoryElementary.com</t>
  </si>
  <si>
    <r>
      <t xml:space="preserve">Top Score Writing </t>
    </r>
    <r>
      <rPr>
        <b/>
        <sz val="18"/>
        <color rgb="FF7030A0"/>
        <rFont val="Calibri (Body)"/>
      </rPr>
      <t>TEACHER</t>
    </r>
    <r>
      <rPr>
        <b/>
        <sz val="18"/>
        <color theme="1"/>
        <rFont val="Calibri"/>
        <family val="2"/>
        <scheme val="minor"/>
      </rPr>
      <t xml:space="preserve"> Implementation Form</t>
    </r>
  </si>
  <si>
    <t>Principal</t>
  </si>
  <si>
    <t>Dr. Informative</t>
  </si>
  <si>
    <t>Boot Camp</t>
  </si>
  <si>
    <t>Grade 3 Boot Camp</t>
  </si>
  <si>
    <t>Grade 4 Boot Camp</t>
  </si>
  <si>
    <t>Grade 5 Boot Camp</t>
  </si>
  <si>
    <t>Course Lists</t>
  </si>
  <si>
    <t>Teacher Resources</t>
  </si>
  <si>
    <t>Sections</t>
  </si>
  <si>
    <t>MS</t>
  </si>
  <si>
    <t>Professional Development</t>
  </si>
  <si>
    <r>
      <t xml:space="preserve">3. See the Tabs below for samples of how to fill out the forms using </t>
    </r>
    <r>
      <rPr>
        <b/>
        <sz val="14"/>
        <color theme="4"/>
        <rFont val="Calibri (Body)"/>
      </rPr>
      <t>Email.</t>
    </r>
  </si>
  <si>
    <t>5. If the information is not filled out correctly on this form it could delay your digital implementation.</t>
  </si>
  <si>
    <t>Middle School Professional Development</t>
  </si>
  <si>
    <t>HS</t>
  </si>
  <si>
    <r>
      <t xml:space="preserve">1. This form is for </t>
    </r>
    <r>
      <rPr>
        <sz val="14"/>
        <color rgb="FFFF0000"/>
        <rFont val="Calibri (Body)"/>
      </rPr>
      <t>TEACHERS ONLY</t>
    </r>
    <r>
      <rPr>
        <sz val="14"/>
        <color theme="1"/>
        <rFont val="Calibri"/>
        <family val="2"/>
        <scheme val="minor"/>
      </rPr>
      <t>.</t>
    </r>
  </si>
  <si>
    <t>2nd Grade Teacher Lessons and Activities</t>
  </si>
  <si>
    <t>2nd Grade Animated Lessons</t>
  </si>
  <si>
    <t>3rd Grade Animated Lessons</t>
  </si>
  <si>
    <t>3rd Grade Teacher Lessons and Activities</t>
  </si>
  <si>
    <t>4th Grade Animated Lessons</t>
  </si>
  <si>
    <t>4th Grade Teacher Lessons and Activities</t>
  </si>
  <si>
    <t>5th grade Animated Lessons</t>
  </si>
  <si>
    <t>5th Grade Teacher Lessons and Activities</t>
  </si>
  <si>
    <t>9th-12th Grade Animated Lessons</t>
  </si>
  <si>
    <t>High School Teacher Lessons and Activities</t>
  </si>
  <si>
    <t>Middle School Animated Lessons</t>
  </si>
  <si>
    <t>Middle School Teacher Lessons and Activities</t>
  </si>
  <si>
    <t>3rd Grade (Homeschool)</t>
  </si>
  <si>
    <t>4th Grade Animated Lessons (Homeschool)</t>
  </si>
  <si>
    <t>5th grade Animated Lessons (Homeschool)</t>
  </si>
  <si>
    <t>user_id</t>
  </si>
  <si>
    <t>integration_id</t>
  </si>
  <si>
    <t>login_id</t>
  </si>
  <si>
    <t>password</t>
  </si>
  <si>
    <t>first_name</t>
  </si>
  <si>
    <t>last_name</t>
  </si>
  <si>
    <t>full_name</t>
  </si>
  <si>
    <t>sortable_name</t>
  </si>
  <si>
    <t>short_name</t>
  </si>
  <si>
    <t>email</t>
  </si>
  <si>
    <t>status</t>
  </si>
  <si>
    <t>course_id</t>
  </si>
  <si>
    <t>long_name</t>
  </si>
  <si>
    <t>account_id</t>
  </si>
  <si>
    <t>term_id</t>
  </si>
  <si>
    <t>start_date</t>
  </si>
  <si>
    <t>end_date</t>
  </si>
  <si>
    <t>course_format</t>
  </si>
  <si>
    <t>blueprint_course_id</t>
  </si>
  <si>
    <t>root_account</t>
  </si>
  <si>
    <t>role</t>
  </si>
  <si>
    <t>role_id</t>
  </si>
  <si>
    <t>section_id</t>
  </si>
  <si>
    <t>associated_user_id</t>
  </si>
  <si>
    <t>limit_section_privileges</t>
  </si>
  <si>
    <r>
      <t xml:space="preserve">4. Please save the file using the following format: </t>
    </r>
    <r>
      <rPr>
        <b/>
        <sz val="14"/>
        <rFont val="Calibri"/>
        <family val="2"/>
        <scheme val="minor"/>
      </rPr>
      <t>Top Score Teacher_SCHOOL NAME.</t>
    </r>
  </si>
  <si>
    <t>UID-</t>
  </si>
  <si>
    <t>Course-ID-Logic</t>
  </si>
  <si>
    <t>CID-school initials-teacher first two initials of last name-teacher first two initials of first name-Grade Level (represented as G#)-2021</t>
  </si>
  <si>
    <t>Short name logic</t>
  </si>
  <si>
    <t>Last name + grade level + 20-21</t>
  </si>
  <si>
    <t xml:space="preserve">Long name logic </t>
  </si>
  <si>
    <t xml:space="preserve">Same as short name </t>
  </si>
  <si>
    <t xml:space="preserve">Active </t>
  </si>
  <si>
    <t>Status logic</t>
  </si>
  <si>
    <t xml:space="preserve">Blueprint course ID logic </t>
  </si>
  <si>
    <t xml:space="preserve">SIS ID to match grade </t>
  </si>
  <si>
    <t xml:space="preserve">Same as CID on course tab Cell A </t>
  </si>
  <si>
    <t xml:space="preserve">Root account </t>
  </si>
  <si>
    <t>Always topscorewriting.instructure.com</t>
  </si>
  <si>
    <t xml:space="preserve">user ID logic </t>
  </si>
  <si>
    <t xml:space="preserve">Same as user sheet cell A </t>
  </si>
  <si>
    <t xml:space="preserve">Role logic is always teacher </t>
  </si>
  <si>
    <t xml:space="preserve">status logic Is active </t>
  </si>
  <si>
    <t xml:space="preserve">Is active </t>
  </si>
  <si>
    <t>CID-</t>
  </si>
  <si>
    <t xml:space="preserve">Enrollment ID logic </t>
  </si>
  <si>
    <t>EID-</t>
  </si>
  <si>
    <t>Point of Contact Email</t>
  </si>
  <si>
    <t>Please fill out all requested information and email to Digital@topscorewriting.com</t>
  </si>
  <si>
    <t>If you have any questions you can email Digital@topscorewriting.com or call 954-805-5806 Ext 3</t>
  </si>
  <si>
    <t>F L H</t>
  </si>
  <si>
    <t>26-27 Default</t>
  </si>
  <si>
    <t>Educator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</si>
</sst>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4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rgb="FFFF0000"/>
      <name val="Calibri (Body)"/>
    </font>
    <font>
      <b/>
      <sz val="14"/>
      <color theme="4"/>
      <name val="Calibri (Body)"/>
    </font>
    <font>
      <b/>
      <sz val="18"/>
      <color rgb="FF7030A0"/>
      <name val="Calibri (Body)"/>
    </font>
    <font>
      <u/>
      <sz val="12"/>
      <color theme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</font>
    <font>
      <sz val="12"/>
      <name val="Calibri"/>
      <family val="2"/>
      <scheme val="minor"/>
    </font>
    <font>
      <sz val="18"/>
      <color theme="4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sz val="11"/>
      <color theme="1"/>
      <name val="Calibri"/>
      <family val="2"/>
    </font>
    <font>
      <sz val="11"/>
      <color rgb="FF313949"/>
      <name val="Calibri"/>
      <family val="2"/>
    </font>
    <font>
      <sz val="12"/>
      <color rgb="FF000000"/>
      <name val="Aptos"/>
      <family val="2"/>
    </font>
    <font>
      <sz val="10"/>
      <color rgb="FF313949"/>
      <name val="Calibri"/>
      <family val="2"/>
    </font>
    <font>
      <u/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37">
    <xf numFmtId="0" fontId="0" fillId="0" borderId="0" xfId="0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8" fillId="2" borderId="0" xfId="0" applyFont="1" applyFill="1"/>
    <xf numFmtId="0" fontId="8" fillId="0" borderId="0" xfId="0" applyFont="1"/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5" fillId="4" borderId="0" xfId="0" applyFont="1" applyFill="1"/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5" fillId="4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9" fillId="0" borderId="0" xfId="1" applyAlignment="1">
      <alignment horizontal="center"/>
    </xf>
    <xf numFmtId="0" fontId="0" fillId="0" borderId="0" xfId="0" applyAlignment="1">
      <alignment horizontal="center"/>
    </xf>
    <xf numFmtId="0" fontId="21" fillId="0" borderId="0" xfId="1" applyFont="1" applyAlignment="1">
      <alignment horizontal="center"/>
    </xf>
    <xf numFmtId="0" fontId="21" fillId="0" borderId="0" xfId="0" applyFont="1" applyAlignment="1">
      <alignment horizontal="left"/>
    </xf>
    <xf numFmtId="0" fontId="18" fillId="5" borderId="16" xfId="5" applyFont="1" applyFill="1" applyBorder="1" applyAlignment="1">
      <alignment horizontal="center"/>
    </xf>
    <xf numFmtId="0" fontId="18" fillId="5" borderId="17" xfId="5" applyFont="1" applyFill="1" applyBorder="1" applyAlignment="1">
      <alignment horizontal="center"/>
    </xf>
    <xf numFmtId="0" fontId="18" fillId="5" borderId="15" xfId="5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2" borderId="4" xfId="0" applyFont="1" applyFill="1" applyBorder="1"/>
    <xf numFmtId="0" fontId="5" fillId="0" borderId="4" xfId="0" applyFont="1" applyBorder="1"/>
    <xf numFmtId="0" fontId="5" fillId="4" borderId="4" xfId="0" applyFont="1" applyFill="1" applyBorder="1"/>
    <xf numFmtId="0" fontId="6" fillId="0" borderId="4" xfId="0" applyFont="1" applyBorder="1"/>
    <xf numFmtId="0" fontId="2" fillId="0" borderId="10" xfId="5" applyFont="1" applyBorder="1"/>
    <xf numFmtId="0" fontId="18" fillId="0" borderId="0" xfId="5" applyFont="1"/>
    <xf numFmtId="0" fontId="2" fillId="0" borderId="0" xfId="5" applyFont="1" applyAlignment="1">
      <alignment horizontal="center"/>
    </xf>
    <xf numFmtId="0" fontId="2" fillId="0" borderId="0" xfId="5" applyFont="1"/>
    <xf numFmtId="0" fontId="2" fillId="0" borderId="0" xfId="5" applyFont="1" applyAlignment="1">
      <alignment horizontal="left"/>
    </xf>
    <xf numFmtId="0" fontId="2" fillId="0" borderId="18" xfId="5" applyFont="1" applyBorder="1" applyAlignment="1">
      <alignment horizontal="center"/>
    </xf>
    <xf numFmtId="0" fontId="2" fillId="0" borderId="18" xfId="5" applyFont="1" applyBorder="1"/>
    <xf numFmtId="0" fontId="2" fillId="0" borderId="13" xfId="5" applyFont="1" applyBorder="1" applyAlignment="1">
      <alignment horizontal="center"/>
    </xf>
    <xf numFmtId="0" fontId="2" fillId="0" borderId="9" xfId="5" applyFont="1" applyBorder="1" applyAlignment="1">
      <alignment horizontal="center"/>
    </xf>
    <xf numFmtId="0" fontId="2" fillId="0" borderId="10" xfId="0" applyFont="1" applyBorder="1"/>
    <xf numFmtId="0" fontId="2" fillId="0" borderId="13" xfId="5" applyFont="1" applyBorder="1"/>
    <xf numFmtId="0" fontId="2" fillId="0" borderId="14" xfId="5" applyFont="1" applyBorder="1"/>
    <xf numFmtId="0" fontId="2" fillId="0" borderId="11" xfId="5" applyFont="1" applyBorder="1" applyAlignment="1">
      <alignment horizontal="center"/>
    </xf>
    <xf numFmtId="0" fontId="2" fillId="0" borderId="12" xfId="5" applyFont="1" applyBorder="1"/>
    <xf numFmtId="0" fontId="2" fillId="0" borderId="12" xfId="0" applyFont="1" applyBorder="1"/>
    <xf numFmtId="0" fontId="25" fillId="0" borderId="0" xfId="0" applyFont="1"/>
    <xf numFmtId="0" fontId="2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1"/>
    <xf numFmtId="0" fontId="6" fillId="0" borderId="0" xfId="0" applyFont="1"/>
    <xf numFmtId="0" fontId="9" fillId="0" borderId="0" xfId="1" applyAlignment="1">
      <alignment horizontal="left"/>
    </xf>
    <xf numFmtId="0" fontId="9" fillId="0" borderId="19" xfId="1" applyBorder="1" applyAlignment="1">
      <alignment horizontal="left" vertical="top" wrapText="1"/>
    </xf>
    <xf numFmtId="0" fontId="28" fillId="0" borderId="19" xfId="0" applyFont="1" applyBorder="1" applyAlignment="1">
      <alignment horizontal="left" vertical="top" wrapText="1"/>
    </xf>
    <xf numFmtId="0" fontId="30" fillId="0" borderId="19" xfId="0" applyFont="1" applyBorder="1" applyAlignment="1">
      <alignment horizontal="left" vertical="top" wrapText="1"/>
    </xf>
    <xf numFmtId="0" fontId="31" fillId="0" borderId="20" xfId="0" applyFont="1" applyBorder="1"/>
    <xf numFmtId="0" fontId="0" fillId="0" borderId="20" xfId="0" applyBorder="1"/>
    <xf numFmtId="0" fontId="29" fillId="0" borderId="20" xfId="0" applyFont="1" applyBorder="1"/>
    <xf numFmtId="0" fontId="0" fillId="0" borderId="22" xfId="0" applyBorder="1"/>
    <xf numFmtId="0" fontId="31" fillId="0" borderId="21" xfId="0" applyFont="1" applyBorder="1"/>
    <xf numFmtId="0" fontId="31" fillId="0" borderId="22" xfId="0" applyFont="1" applyBorder="1"/>
    <xf numFmtId="0" fontId="31" fillId="0" borderId="23" xfId="0" applyFont="1" applyBorder="1"/>
    <xf numFmtId="0" fontId="34" fillId="0" borderId="19" xfId="0" applyFont="1" applyBorder="1" applyAlignment="1">
      <alignment horizontal="left" vertical="top" wrapText="1"/>
    </xf>
    <xf numFmtId="0" fontId="32" fillId="0" borderId="0" xfId="0" applyFont="1"/>
    <xf numFmtId="0" fontId="29" fillId="0" borderId="0" xfId="0" applyFont="1"/>
    <xf numFmtId="0" fontId="31" fillId="0" borderId="25" xfId="0" applyFont="1" applyBorder="1"/>
    <xf numFmtId="0" fontId="35" fillId="0" borderId="19" xfId="0" applyFont="1" applyBorder="1" applyAlignment="1">
      <alignment wrapText="1"/>
    </xf>
    <xf numFmtId="0" fontId="35" fillId="0" borderId="19" xfId="0" applyFont="1" applyBorder="1" applyAlignment="1">
      <alignment horizontal="left" vertical="top" wrapText="1"/>
    </xf>
    <xf numFmtId="0" fontId="31" fillId="0" borderId="26" xfId="0" applyFont="1" applyBorder="1" applyAlignment="1">
      <alignment horizontal="left" vertical="top" wrapText="1"/>
    </xf>
    <xf numFmtId="0" fontId="35" fillId="6" borderId="19" xfId="0" applyFont="1" applyFill="1" applyBorder="1" applyAlignment="1">
      <alignment wrapText="1"/>
    </xf>
    <xf numFmtId="0" fontId="31" fillId="0" borderId="24" xfId="0" applyFont="1" applyBorder="1" applyAlignment="1">
      <alignment horizontal="left" vertical="top" wrapText="1"/>
    </xf>
    <xf numFmtId="0" fontId="36" fillId="0" borderId="19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8" fillId="0" borderId="19" xfId="0" applyFont="1" applyBorder="1" applyAlignment="1">
      <alignment horizontal="left" vertical="top" wrapText="1"/>
    </xf>
    <xf numFmtId="0" fontId="39" fillId="0" borderId="19" xfId="0" applyFont="1" applyBorder="1" applyAlignment="1">
      <alignment horizontal="left" vertical="top" wrapText="1"/>
    </xf>
    <xf numFmtId="0" fontId="32" fillId="0" borderId="19" xfId="0" applyFont="1" applyBorder="1" applyAlignment="1">
      <alignment horizontal="left" vertical="top"/>
    </xf>
    <xf numFmtId="0" fontId="0" fillId="8" borderId="20" xfId="0" applyFill="1" applyBorder="1"/>
    <xf numFmtId="0" fontId="0" fillId="8" borderId="0" xfId="0" applyFill="1"/>
    <xf numFmtId="0" fontId="9" fillId="0" borderId="26" xfId="1" applyBorder="1" applyAlignment="1">
      <alignment horizontal="left" vertical="top" wrapText="1"/>
    </xf>
    <xf numFmtId="0" fontId="9" fillId="6" borderId="19" xfId="1" applyFill="1" applyBorder="1" applyAlignment="1">
      <alignment horizontal="left" vertical="center" wrapText="1"/>
    </xf>
    <xf numFmtId="0" fontId="9" fillId="6" borderId="0" xfId="1" applyFill="1"/>
    <xf numFmtId="0" fontId="9" fillId="0" borderId="19" xfId="1" applyBorder="1"/>
    <xf numFmtId="0" fontId="9" fillId="0" borderId="20" xfId="1" applyBorder="1"/>
    <xf numFmtId="0" fontId="32" fillId="6" borderId="19" xfId="0" applyFont="1" applyFill="1" applyBorder="1" applyAlignment="1">
      <alignment horizontal="left" wrapText="1"/>
    </xf>
    <xf numFmtId="0" fontId="35" fillId="9" borderId="19" xfId="0" applyFont="1" applyFill="1" applyBorder="1" applyAlignment="1">
      <alignment wrapText="1"/>
    </xf>
    <xf numFmtId="0" fontId="9" fillId="9" borderId="19" xfId="1" applyFill="1" applyBorder="1" applyAlignment="1">
      <alignment wrapText="1"/>
    </xf>
    <xf numFmtId="0" fontId="35" fillId="9" borderId="19" xfId="0" applyFont="1" applyFill="1" applyBorder="1" applyAlignment="1">
      <alignment horizontal="left" vertical="top" wrapText="1"/>
    </xf>
    <xf numFmtId="0" fontId="9" fillId="9" borderId="19" xfId="1" applyFill="1" applyBorder="1" applyAlignment="1">
      <alignment horizontal="left" vertical="top" wrapText="1"/>
    </xf>
    <xf numFmtId="0" fontId="28" fillId="9" borderId="19" xfId="0" applyFont="1" applyFill="1" applyBorder="1" applyAlignment="1">
      <alignment horizontal="left" vertical="top" wrapText="1"/>
    </xf>
    <xf numFmtId="164" fontId="9" fillId="9" borderId="19" xfId="1" applyNumberFormat="1" applyFill="1" applyBorder="1" applyAlignment="1">
      <alignment horizontal="left" vertical="top" wrapText="1"/>
    </xf>
    <xf numFmtId="0" fontId="30" fillId="9" borderId="19" xfId="0" applyFont="1" applyFill="1" applyBorder="1" applyAlignment="1">
      <alignment horizontal="left" vertical="top" wrapText="1"/>
    </xf>
    <xf numFmtId="0" fontId="40" fillId="0" borderId="0" xfId="0" applyFont="1"/>
    <xf numFmtId="0" fontId="35" fillId="0" borderId="0" xfId="0" applyFont="1" applyAlignment="1">
      <alignment horizontal="center" vertical="center"/>
    </xf>
    <xf numFmtId="0" fontId="32" fillId="6" borderId="19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0" borderId="5" xfId="0" applyFont="1" applyBorder="1" applyAlignment="1"/>
    <xf numFmtId="0" fontId="22" fillId="2" borderId="5" xfId="0" applyFont="1" applyFill="1" applyBorder="1" applyAlignment="1"/>
    <xf numFmtId="0" fontId="5" fillId="4" borderId="5" xfId="0" applyFont="1" applyFill="1" applyBorder="1" applyAlignment="1"/>
    <xf numFmtId="0" fontId="35" fillId="0" borderId="0" xfId="0" applyFont="1" applyAlignment="1">
      <alignment vertical="center"/>
    </xf>
    <xf numFmtId="0" fontId="35" fillId="0" borderId="19" xfId="0" applyFont="1" applyBorder="1" applyAlignment="1">
      <alignment vertical="top" wrapText="1"/>
    </xf>
    <xf numFmtId="0" fontId="35" fillId="9" borderId="19" xfId="0" applyFont="1" applyFill="1" applyBorder="1" applyAlignment="1">
      <alignment vertical="top" wrapText="1"/>
    </xf>
    <xf numFmtId="0" fontId="32" fillId="0" borderId="19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49" fontId="33" fillId="0" borderId="20" xfId="0" applyNumberFormat="1" applyFont="1" applyBorder="1" applyAlignment="1"/>
    <xf numFmtId="49" fontId="31" fillId="7" borderId="20" xfId="0" applyNumberFormat="1" applyFont="1" applyFill="1" applyBorder="1" applyAlignment="1"/>
    <xf numFmtId="0" fontId="28" fillId="0" borderId="19" xfId="0" applyFont="1" applyBorder="1" applyAlignment="1">
      <alignment vertical="top" wrapText="1"/>
    </xf>
    <xf numFmtId="0" fontId="32" fillId="0" borderId="27" xfId="0" applyFont="1" applyBorder="1" applyAlignment="1">
      <alignment vertical="top" wrapText="1"/>
    </xf>
    <xf numFmtId="0" fontId="28" fillId="6" borderId="19" xfId="0" applyFont="1" applyFill="1" applyBorder="1" applyAlignment="1">
      <alignment vertical="top" wrapText="1"/>
    </xf>
    <xf numFmtId="0" fontId="0" fillId="0" borderId="20" xfId="0" applyBorder="1" applyAlignment="1"/>
    <xf numFmtId="0" fontId="35" fillId="6" borderId="19" xfId="0" applyFont="1" applyFill="1" applyBorder="1" applyAlignment="1">
      <alignment vertical="top" wrapText="1"/>
    </xf>
    <xf numFmtId="0" fontId="32" fillId="0" borderId="20" xfId="0" applyFont="1" applyBorder="1" applyAlignment="1">
      <alignment vertical="top" wrapText="1"/>
    </xf>
    <xf numFmtId="0" fontId="0" fillId="0" borderId="28" xfId="0" applyBorder="1" applyAlignment="1"/>
    <xf numFmtId="0" fontId="29" fillId="0" borderId="0" xfId="0" applyFont="1" applyAlignment="1"/>
    <xf numFmtId="0" fontId="0" fillId="0" borderId="0" xfId="0" applyAlignment="1"/>
    <xf numFmtId="0" fontId="35" fillId="0" borderId="19" xfId="0" applyFont="1" applyBorder="1" applyAlignment="1"/>
    <xf numFmtId="0" fontId="35" fillId="6" borderId="19" xfId="0" applyFont="1" applyFill="1" applyBorder="1" applyAlignment="1"/>
    <xf numFmtId="0" fontId="35" fillId="6" borderId="27" xfId="0" applyFont="1" applyFill="1" applyBorder="1" applyAlignment="1"/>
    <xf numFmtId="0" fontId="32" fillId="0" borderId="19" xfId="0" applyFont="1" applyBorder="1" applyAlignment="1">
      <alignment wrapText="1"/>
    </xf>
    <xf numFmtId="0" fontId="21" fillId="0" borderId="0" xfId="0" applyFont="1" applyAlignment="1"/>
  </cellXfs>
  <cellStyles count="6">
    <cellStyle name="Followed Hyperlink" xfId="2" builtinId="9" hidden="1"/>
    <cellStyle name="Hyperlink" xfId="1" builtinId="8"/>
    <cellStyle name="Hyperlink 2" xfId="4" xr:uid="{00000000-0005-0000-0000-000002000000}"/>
    <cellStyle name="Normal" xfId="0" builtinId="0"/>
    <cellStyle name="Normal 2" xfId="3" xr:uid="{00000000-0005-0000-0000-000004000000}"/>
    <cellStyle name="Normal 3" xfId="5" xr:uid="{00000000-0005-0000-0000-000005000000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14"/>
  <sheetViews>
    <sheetView workbookViewId="0">
      <selection sqref="A1:D1"/>
    </sheetView>
  </sheetViews>
  <sheetFormatPr baseColWidth="10" defaultColWidth="18.33203125" defaultRowHeight="22.5" customHeight="1" x14ac:dyDescent="0.2"/>
  <cols>
    <col min="1" max="1" width="18.83203125" bestFit="1" customWidth="1"/>
    <col min="2" max="2" width="30.1640625" customWidth="1"/>
    <col min="3" max="3" width="38.1640625" customWidth="1"/>
    <col min="4" max="4" width="9" style="21" bestFit="1" customWidth="1"/>
    <col min="5" max="5" width="5.6640625" customWidth="1"/>
  </cols>
  <sheetData>
    <row r="1" spans="1:5" ht="24" x14ac:dyDescent="0.3">
      <c r="A1" s="97" t="s">
        <v>18</v>
      </c>
      <c r="B1" s="97"/>
      <c r="C1" s="97"/>
      <c r="D1" s="97"/>
      <c r="E1" s="3"/>
    </row>
    <row r="2" spans="1:5" ht="24" x14ac:dyDescent="0.3">
      <c r="A2" s="3"/>
      <c r="B2" s="3"/>
      <c r="C2" s="3"/>
      <c r="D2" s="3"/>
      <c r="E2" s="3"/>
    </row>
    <row r="3" spans="1:5" ht="24" x14ac:dyDescent="0.3">
      <c r="A3" s="4" t="s">
        <v>4</v>
      </c>
      <c r="B3" s="4" t="s">
        <v>5</v>
      </c>
      <c r="C3" s="4" t="s">
        <v>19</v>
      </c>
      <c r="D3" s="19"/>
      <c r="E3" s="5"/>
    </row>
    <row r="4" spans="1:5" ht="24" x14ac:dyDescent="0.3">
      <c r="A4" s="1" t="s">
        <v>6</v>
      </c>
      <c r="B4" s="1" t="s">
        <v>7</v>
      </c>
      <c r="C4" s="1" t="s">
        <v>20</v>
      </c>
      <c r="D4" s="3"/>
      <c r="E4" s="2"/>
    </row>
    <row r="5" spans="1:5" ht="24" x14ac:dyDescent="0.3">
      <c r="A5" s="2"/>
      <c r="B5" s="2"/>
      <c r="C5" s="2"/>
      <c r="D5" s="3"/>
      <c r="E5" s="2"/>
    </row>
    <row r="6" spans="1:5" ht="24" x14ac:dyDescent="0.3">
      <c r="A6" s="9" t="s">
        <v>0</v>
      </c>
      <c r="B6" s="9" t="s">
        <v>1</v>
      </c>
      <c r="C6" s="9" t="s">
        <v>2</v>
      </c>
      <c r="D6" s="18" t="s">
        <v>3</v>
      </c>
      <c r="E6" s="2"/>
    </row>
    <row r="7" spans="1:5" ht="22.5" customHeight="1" x14ac:dyDescent="0.3">
      <c r="A7" t="s">
        <v>8</v>
      </c>
      <c r="B7" t="s">
        <v>9</v>
      </c>
      <c r="C7" t="s">
        <v>13</v>
      </c>
      <c r="D7" s="22">
        <v>4</v>
      </c>
      <c r="E7" s="2"/>
    </row>
    <row r="8" spans="1:5" ht="22.5" customHeight="1" x14ac:dyDescent="0.2">
      <c r="A8" t="s">
        <v>11</v>
      </c>
      <c r="B8" t="s">
        <v>12</v>
      </c>
      <c r="C8" t="s">
        <v>14</v>
      </c>
      <c r="D8" s="22">
        <v>4</v>
      </c>
    </row>
    <row r="9" spans="1:5" ht="22.5" customHeight="1" x14ac:dyDescent="0.2">
      <c r="A9" t="s">
        <v>15</v>
      </c>
      <c r="B9" t="s">
        <v>16</v>
      </c>
      <c r="C9" t="s">
        <v>17</v>
      </c>
      <c r="D9" s="22">
        <v>4</v>
      </c>
    </row>
    <row r="10" spans="1:5" ht="22.5" customHeight="1" x14ac:dyDescent="0.2">
      <c r="D10" s="20"/>
    </row>
    <row r="11" spans="1:5" ht="22.5" customHeight="1" x14ac:dyDescent="0.2">
      <c r="D11" s="20"/>
    </row>
    <row r="12" spans="1:5" ht="22.5" customHeight="1" x14ac:dyDescent="0.2">
      <c r="D12" s="20"/>
    </row>
    <row r="13" spans="1:5" ht="22.5" customHeight="1" x14ac:dyDescent="0.2">
      <c r="D13" s="20"/>
    </row>
    <row r="14" spans="1:5" ht="22.5" customHeight="1" x14ac:dyDescent="0.2">
      <c r="D14" s="20"/>
    </row>
  </sheetData>
  <mergeCells count="1">
    <mergeCell ref="A1:D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/>
  </sheetViews>
  <sheetFormatPr baseColWidth="10" defaultColWidth="7.6640625" defaultRowHeight="15" x14ac:dyDescent="0.2"/>
  <cols>
    <col min="1" max="1" width="3.6640625" style="35" customWidth="1"/>
    <col min="2" max="2" width="5.5" style="34" bestFit="1" customWidth="1"/>
    <col min="3" max="3" width="38.6640625" style="34" bestFit="1" customWidth="1"/>
    <col min="4" max="4" width="3.6640625" style="34" customWidth="1"/>
    <col min="5" max="5" width="7.33203125" style="34" customWidth="1"/>
    <col min="6" max="6" width="28.83203125" style="34" bestFit="1" customWidth="1"/>
    <col min="7" max="7" width="3.6640625" style="35" customWidth="1"/>
    <col min="8" max="8" width="5.5" style="34" bestFit="1" customWidth="1"/>
    <col min="9" max="9" width="15.6640625" style="36" bestFit="1" customWidth="1"/>
    <col min="10" max="10" width="3.6640625" style="35" customWidth="1"/>
    <col min="11" max="11" width="38.1640625" style="35" bestFit="1" customWidth="1"/>
    <col min="12" max="12" width="5.6640625" style="35" customWidth="1"/>
    <col min="13" max="13" width="8.33203125" style="35" customWidth="1"/>
    <col min="14" max="14" width="36.6640625" style="35" bestFit="1" customWidth="1"/>
    <col min="15" max="16384" width="7.6640625" style="35"/>
  </cols>
  <sheetData>
    <row r="1" spans="1:14" x14ac:dyDescent="0.2">
      <c r="A1" s="33" t="s">
        <v>25</v>
      </c>
    </row>
    <row r="2" spans="1:14" ht="16" thickBot="1" x14ac:dyDescent="0.25">
      <c r="B2" s="37"/>
      <c r="C2" s="37"/>
      <c r="M2" s="38"/>
      <c r="N2" s="38"/>
    </row>
    <row r="3" spans="1:14" ht="16" thickTop="1" x14ac:dyDescent="0.2">
      <c r="A3" s="32"/>
      <c r="B3" s="24" t="s">
        <v>3</v>
      </c>
      <c r="C3" s="25" t="s">
        <v>26</v>
      </c>
      <c r="D3" s="39"/>
      <c r="E3" s="24" t="s">
        <v>3</v>
      </c>
      <c r="F3" s="25" t="s">
        <v>27</v>
      </c>
      <c r="H3" s="24" t="s">
        <v>3</v>
      </c>
      <c r="I3" s="25" t="s">
        <v>21</v>
      </c>
      <c r="K3" s="26" t="s">
        <v>29</v>
      </c>
      <c r="L3" s="32"/>
      <c r="M3" s="24" t="s">
        <v>3</v>
      </c>
      <c r="N3" s="25" t="s">
        <v>21</v>
      </c>
    </row>
    <row r="4" spans="1:14" x14ac:dyDescent="0.2">
      <c r="A4" s="32"/>
      <c r="B4" s="40">
        <v>2</v>
      </c>
      <c r="C4" s="41" t="s">
        <v>35</v>
      </c>
      <c r="D4" s="39"/>
      <c r="E4" s="40">
        <v>2</v>
      </c>
      <c r="F4" s="41" t="s">
        <v>36</v>
      </c>
      <c r="H4" s="40">
        <v>3</v>
      </c>
      <c r="I4" s="32" t="s">
        <v>22</v>
      </c>
      <c r="K4" s="42" t="s">
        <v>29</v>
      </c>
      <c r="L4" s="32"/>
      <c r="M4" s="40">
        <v>3</v>
      </c>
      <c r="N4" s="41" t="s">
        <v>47</v>
      </c>
    </row>
    <row r="5" spans="1:14" ht="16" thickBot="1" x14ac:dyDescent="0.25">
      <c r="A5" s="32"/>
      <c r="B5" s="40">
        <v>3</v>
      </c>
      <c r="C5" s="41" t="s">
        <v>38</v>
      </c>
      <c r="D5" s="39"/>
      <c r="E5" s="40">
        <v>3</v>
      </c>
      <c r="F5" s="41" t="s">
        <v>37</v>
      </c>
      <c r="H5" s="40">
        <v>4</v>
      </c>
      <c r="I5" s="32" t="s">
        <v>23</v>
      </c>
      <c r="K5" s="43" t="s">
        <v>32</v>
      </c>
      <c r="L5" s="32"/>
      <c r="M5" s="40">
        <v>4</v>
      </c>
      <c r="N5" s="41" t="s">
        <v>48</v>
      </c>
    </row>
    <row r="6" spans="1:14" ht="17" thickTop="1" thickBot="1" x14ac:dyDescent="0.25">
      <c r="A6" s="32"/>
      <c r="B6" s="40">
        <v>4</v>
      </c>
      <c r="C6" s="41" t="s">
        <v>40</v>
      </c>
      <c r="D6" s="39"/>
      <c r="E6" s="40">
        <v>4</v>
      </c>
      <c r="F6" s="41" t="s">
        <v>39</v>
      </c>
      <c r="H6" s="44">
        <v>5</v>
      </c>
      <c r="I6" s="45" t="s">
        <v>24</v>
      </c>
      <c r="L6" s="32"/>
      <c r="M6" s="44">
        <v>5</v>
      </c>
      <c r="N6" s="46" t="s">
        <v>49</v>
      </c>
    </row>
    <row r="7" spans="1:14" ht="16" thickTop="1" x14ac:dyDescent="0.2">
      <c r="A7" s="32"/>
      <c r="B7" s="40">
        <v>5</v>
      </c>
      <c r="C7" s="41" t="s">
        <v>42</v>
      </c>
      <c r="D7" s="39"/>
      <c r="E7" s="40">
        <v>5</v>
      </c>
      <c r="F7" s="41" t="s">
        <v>41</v>
      </c>
      <c r="H7" s="35"/>
      <c r="I7" s="35"/>
    </row>
    <row r="8" spans="1:14" x14ac:dyDescent="0.2">
      <c r="A8" s="32"/>
      <c r="B8" s="40">
        <v>6</v>
      </c>
      <c r="C8" s="41" t="s">
        <v>46</v>
      </c>
      <c r="D8" s="39"/>
      <c r="E8" s="40">
        <v>6</v>
      </c>
      <c r="F8" s="41" t="s">
        <v>45</v>
      </c>
      <c r="H8" s="35"/>
      <c r="I8" s="35"/>
    </row>
    <row r="9" spans="1:14" x14ac:dyDescent="0.2">
      <c r="A9" s="32"/>
      <c r="B9" s="40">
        <v>7</v>
      </c>
      <c r="C9" s="41" t="s">
        <v>46</v>
      </c>
      <c r="D9" s="39"/>
      <c r="E9" s="40">
        <v>7</v>
      </c>
      <c r="F9" s="41" t="s">
        <v>45</v>
      </c>
      <c r="H9" s="35"/>
      <c r="I9" s="35"/>
    </row>
    <row r="10" spans="1:14" x14ac:dyDescent="0.2">
      <c r="A10" s="32"/>
      <c r="B10" s="40">
        <v>8</v>
      </c>
      <c r="C10" s="41" t="s">
        <v>46</v>
      </c>
      <c r="D10" s="39"/>
      <c r="E10" s="40">
        <v>8</v>
      </c>
      <c r="F10" s="41" t="s">
        <v>45</v>
      </c>
      <c r="H10" s="35"/>
      <c r="I10" s="35"/>
    </row>
    <row r="11" spans="1:14" x14ac:dyDescent="0.2">
      <c r="A11" s="32"/>
      <c r="B11" s="40" t="s">
        <v>28</v>
      </c>
      <c r="C11" s="41" t="s">
        <v>46</v>
      </c>
      <c r="D11" s="39"/>
      <c r="E11" s="40" t="s">
        <v>28</v>
      </c>
      <c r="F11" s="41" t="s">
        <v>45</v>
      </c>
    </row>
    <row r="12" spans="1:14" x14ac:dyDescent="0.2">
      <c r="A12" s="32"/>
      <c r="B12" s="40">
        <v>9</v>
      </c>
      <c r="C12" s="41" t="s">
        <v>44</v>
      </c>
      <c r="D12" s="39"/>
      <c r="E12" s="40">
        <v>9</v>
      </c>
      <c r="F12" s="41" t="s">
        <v>43</v>
      </c>
    </row>
    <row r="13" spans="1:14" x14ac:dyDescent="0.2">
      <c r="A13" s="32"/>
      <c r="B13" s="40">
        <v>10</v>
      </c>
      <c r="C13" s="41" t="s">
        <v>44</v>
      </c>
      <c r="D13" s="39"/>
      <c r="E13" s="40">
        <v>10</v>
      </c>
      <c r="F13" s="41" t="s">
        <v>43</v>
      </c>
    </row>
    <row r="14" spans="1:14" x14ac:dyDescent="0.2">
      <c r="A14" s="32"/>
      <c r="B14" s="40">
        <v>11</v>
      </c>
      <c r="C14" s="41" t="s">
        <v>44</v>
      </c>
      <c r="D14" s="39"/>
      <c r="E14" s="40">
        <v>11</v>
      </c>
      <c r="F14" s="41" t="s">
        <v>43</v>
      </c>
    </row>
    <row r="15" spans="1:14" x14ac:dyDescent="0.2">
      <c r="A15" s="32"/>
      <c r="B15" s="40">
        <v>12</v>
      </c>
      <c r="C15" s="41" t="s">
        <v>44</v>
      </c>
      <c r="D15" s="39"/>
      <c r="E15" s="40">
        <v>12</v>
      </c>
      <c r="F15" s="41" t="s">
        <v>43</v>
      </c>
    </row>
    <row r="16" spans="1:14" ht="16" thickBot="1" x14ac:dyDescent="0.25">
      <c r="A16" s="32"/>
      <c r="B16" s="44" t="s">
        <v>33</v>
      </c>
      <c r="C16" s="46" t="s">
        <v>44</v>
      </c>
      <c r="D16" s="39"/>
      <c r="E16" s="44" t="s">
        <v>33</v>
      </c>
      <c r="F16" s="46" t="s">
        <v>43</v>
      </c>
    </row>
    <row r="17" ht="16" thickTop="1" x14ac:dyDescent="0.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733"/>
  <sheetViews>
    <sheetView tabSelected="1" zoomScale="110" zoomScaleNormal="125" workbookViewId="0">
      <selection activeCell="F13" sqref="F13"/>
    </sheetView>
  </sheetViews>
  <sheetFormatPr baseColWidth="10" defaultColWidth="18.33203125" defaultRowHeight="22.5" customHeight="1" x14ac:dyDescent="0.2"/>
  <cols>
    <col min="1" max="1" width="20.1640625" bestFit="1" customWidth="1"/>
    <col min="2" max="2" width="34.1640625" bestFit="1" customWidth="1"/>
    <col min="3" max="3" width="40.6640625" customWidth="1"/>
    <col min="4" max="4" width="9" style="131" bestFit="1" customWidth="1"/>
    <col min="5" max="5" width="5.6640625" customWidth="1"/>
    <col min="6" max="10" width="21.6640625" customWidth="1"/>
  </cols>
  <sheetData>
    <row r="1" spans="1:11" ht="24" x14ac:dyDescent="0.3">
      <c r="A1" s="110" t="s">
        <v>18</v>
      </c>
      <c r="B1" s="111"/>
      <c r="C1" s="111"/>
      <c r="D1" s="112"/>
      <c r="E1" s="3"/>
      <c r="F1" s="104" t="s">
        <v>99</v>
      </c>
      <c r="G1" s="105"/>
      <c r="H1" s="105"/>
      <c r="I1" s="105"/>
      <c r="J1" s="106"/>
      <c r="K1" s="47" t="s">
        <v>76</v>
      </c>
    </row>
    <row r="2" spans="1:11" ht="24" x14ac:dyDescent="0.3">
      <c r="A2" s="27"/>
      <c r="B2" s="3"/>
      <c r="C2" s="3"/>
      <c r="D2" s="113"/>
      <c r="E2" s="3"/>
      <c r="F2" s="107" t="s">
        <v>10</v>
      </c>
      <c r="G2" s="108"/>
      <c r="H2" s="108"/>
      <c r="I2" s="108"/>
      <c r="J2" s="109"/>
      <c r="K2" s="47" t="s">
        <v>95</v>
      </c>
    </row>
    <row r="3" spans="1:11" ht="24" x14ac:dyDescent="0.3">
      <c r="A3" s="28" t="s">
        <v>4</v>
      </c>
      <c r="B3" s="4" t="s">
        <v>5</v>
      </c>
      <c r="C3" s="4" t="s">
        <v>98</v>
      </c>
      <c r="D3" s="114"/>
      <c r="E3" s="5"/>
      <c r="F3" s="6" t="s">
        <v>34</v>
      </c>
      <c r="G3" s="7"/>
      <c r="H3" s="7"/>
      <c r="I3" s="7"/>
      <c r="J3" s="8"/>
      <c r="K3" s="47" t="s">
        <v>97</v>
      </c>
    </row>
    <row r="4" spans="1:11" ht="24" x14ac:dyDescent="0.3">
      <c r="A4" s="31"/>
      <c r="B4" s="53" t="s">
        <v>101</v>
      </c>
      <c r="C4" s="52"/>
      <c r="D4" s="113"/>
      <c r="E4" s="2"/>
      <c r="F4" s="6"/>
      <c r="G4" s="13"/>
      <c r="H4" s="13"/>
      <c r="I4" s="13"/>
      <c r="J4" s="14"/>
    </row>
    <row r="5" spans="1:11" ht="24" x14ac:dyDescent="0.3">
      <c r="A5" s="29"/>
      <c r="B5" s="2"/>
      <c r="C5" s="2"/>
      <c r="D5" s="113"/>
      <c r="E5" s="2"/>
      <c r="F5" s="15" t="s">
        <v>30</v>
      </c>
      <c r="G5" s="16"/>
      <c r="H5" s="16"/>
      <c r="I5" s="16"/>
      <c r="J5" s="17"/>
    </row>
    <row r="6" spans="1:11" ht="24" x14ac:dyDescent="0.3">
      <c r="A6" s="30" t="s">
        <v>0</v>
      </c>
      <c r="B6" s="9" t="s">
        <v>1</v>
      </c>
      <c r="C6" s="9" t="s">
        <v>2</v>
      </c>
      <c r="D6" s="115" t="s">
        <v>3</v>
      </c>
      <c r="E6" s="2"/>
      <c r="F6" s="10" t="s">
        <v>75</v>
      </c>
      <c r="G6" s="11"/>
      <c r="H6" s="11"/>
      <c r="I6" s="11"/>
      <c r="J6" s="12"/>
    </row>
    <row r="7" spans="1:11" ht="22.5" customHeight="1" x14ac:dyDescent="0.2">
      <c r="A7" s="95"/>
      <c r="B7" s="96"/>
      <c r="C7" s="95"/>
      <c r="D7" s="116">
        <v>1</v>
      </c>
      <c r="F7" s="98" t="s">
        <v>31</v>
      </c>
      <c r="G7" s="99"/>
      <c r="H7" s="99"/>
      <c r="I7" s="99"/>
      <c r="J7" s="100"/>
    </row>
    <row r="8" spans="1:11" ht="22.5" customHeight="1" thickBot="1" x14ac:dyDescent="0.3">
      <c r="A8" s="87"/>
      <c r="B8" s="87"/>
      <c r="C8" s="88"/>
      <c r="D8" s="117">
        <v>2</v>
      </c>
      <c r="F8" s="101" t="s">
        <v>100</v>
      </c>
      <c r="G8" s="102"/>
      <c r="H8" s="102"/>
      <c r="I8" s="102"/>
      <c r="J8" s="103"/>
    </row>
    <row r="9" spans="1:11" ht="22.5" customHeight="1" x14ac:dyDescent="0.2">
      <c r="A9" s="89"/>
      <c r="B9" s="89"/>
      <c r="C9" s="90"/>
      <c r="D9" s="117">
        <v>3</v>
      </c>
    </row>
    <row r="10" spans="1:11" ht="22.5" customHeight="1" x14ac:dyDescent="0.3">
      <c r="A10" s="91"/>
      <c r="B10" s="91"/>
      <c r="C10" s="92"/>
      <c r="D10" s="118">
        <v>4</v>
      </c>
      <c r="E10" s="2"/>
    </row>
    <row r="11" spans="1:11" ht="22.5" customHeight="1" x14ac:dyDescent="0.2">
      <c r="A11" s="91"/>
      <c r="B11" s="91"/>
      <c r="C11" s="90"/>
      <c r="D11" s="118">
        <v>5</v>
      </c>
      <c r="E11" s="66"/>
    </row>
    <row r="12" spans="1:11" ht="22.5" customHeight="1" x14ac:dyDescent="0.2">
      <c r="A12" s="91"/>
      <c r="B12" s="91"/>
      <c r="C12" s="90"/>
      <c r="D12" s="118">
        <v>6</v>
      </c>
    </row>
    <row r="13" spans="1:11" ht="22.5" customHeight="1" x14ac:dyDescent="0.2">
      <c r="A13" s="91"/>
      <c r="B13" s="91"/>
      <c r="C13" s="90"/>
      <c r="D13" s="118">
        <v>7</v>
      </c>
    </row>
    <row r="14" spans="1:11" ht="22.5" customHeight="1" x14ac:dyDescent="0.2">
      <c r="A14" s="93"/>
      <c r="B14" s="93"/>
      <c r="C14" s="90"/>
      <c r="D14" s="118">
        <v>8</v>
      </c>
    </row>
    <row r="15" spans="1:11" ht="22.5" customHeight="1" x14ac:dyDescent="0.2">
      <c r="A15" s="93"/>
      <c r="B15" s="93"/>
      <c r="C15" s="90"/>
      <c r="D15" s="118"/>
    </row>
    <row r="16" spans="1:11" ht="22.5" customHeight="1" x14ac:dyDescent="0.2">
      <c r="A16" s="91"/>
      <c r="B16" s="91"/>
      <c r="C16" s="90"/>
      <c r="D16" s="118"/>
    </row>
    <row r="17" spans="1:6" ht="22.5" customHeight="1" x14ac:dyDescent="0.2">
      <c r="A17" s="91"/>
      <c r="B17" s="91"/>
      <c r="C17" s="90"/>
      <c r="D17" s="117"/>
      <c r="F17" s="54"/>
    </row>
    <row r="18" spans="1:6" ht="22.5" customHeight="1" x14ac:dyDescent="0.2">
      <c r="A18" s="91"/>
      <c r="B18" s="91"/>
      <c r="C18" s="90"/>
      <c r="D18" s="117"/>
    </row>
    <row r="19" spans="1:6" ht="22.5" customHeight="1" x14ac:dyDescent="0.2">
      <c r="A19" s="91"/>
      <c r="B19" s="91"/>
      <c r="C19" s="90"/>
      <c r="D19" s="117"/>
    </row>
    <row r="20" spans="1:6" ht="22.5" customHeight="1" x14ac:dyDescent="0.2">
      <c r="A20" s="91"/>
      <c r="B20" s="91"/>
      <c r="C20" s="90"/>
      <c r="D20" s="117"/>
    </row>
    <row r="21" spans="1:6" ht="22.5" customHeight="1" x14ac:dyDescent="0.2">
      <c r="A21" s="91"/>
      <c r="B21" s="91"/>
      <c r="C21" s="90"/>
      <c r="D21" s="117"/>
    </row>
    <row r="22" spans="1:6" ht="22.5" customHeight="1" x14ac:dyDescent="0.2">
      <c r="A22" s="93"/>
      <c r="B22" s="93"/>
      <c r="C22" s="90"/>
      <c r="D22" s="119"/>
    </row>
    <row r="23" spans="1:6" ht="22.5" customHeight="1" x14ac:dyDescent="0.2">
      <c r="A23" s="93"/>
      <c r="B23" s="93"/>
      <c r="C23" s="90"/>
      <c r="D23" s="120"/>
    </row>
    <row r="24" spans="1:6" ht="22.5" customHeight="1" x14ac:dyDescent="0.2">
      <c r="A24" s="93"/>
      <c r="B24" s="93"/>
      <c r="C24" s="90"/>
      <c r="D24" s="120"/>
    </row>
    <row r="25" spans="1:6" ht="22.5" customHeight="1" x14ac:dyDescent="0.2">
      <c r="A25" s="91"/>
      <c r="B25" s="91"/>
      <c r="C25" s="90"/>
      <c r="D25" s="121"/>
    </row>
    <row r="26" spans="1:6" ht="22.5" customHeight="1" x14ac:dyDescent="0.2">
      <c r="A26" s="93"/>
      <c r="B26" s="93"/>
      <c r="C26" s="90"/>
      <c r="D26" s="122"/>
    </row>
    <row r="27" spans="1:6" ht="22.5" customHeight="1" x14ac:dyDescent="0.2">
      <c r="A27" s="91"/>
      <c r="B27" s="91"/>
      <c r="C27" s="90"/>
      <c r="D27" s="123"/>
    </row>
    <row r="28" spans="1:6" ht="22.5" customHeight="1" x14ac:dyDescent="0.2">
      <c r="A28" s="91"/>
      <c r="B28" s="91"/>
      <c r="C28" s="90"/>
      <c r="D28" s="123"/>
    </row>
    <row r="29" spans="1:6" ht="22.5" customHeight="1" x14ac:dyDescent="0.2">
      <c r="A29" s="91"/>
      <c r="B29" s="91"/>
      <c r="C29" s="90"/>
      <c r="D29" s="123"/>
    </row>
    <row r="30" spans="1:6" ht="22.5" customHeight="1" x14ac:dyDescent="0.2">
      <c r="A30" s="91"/>
      <c r="B30" s="91"/>
      <c r="C30" s="90"/>
      <c r="D30" s="123"/>
    </row>
    <row r="31" spans="1:6" ht="22.5" customHeight="1" x14ac:dyDescent="0.2">
      <c r="A31" s="91"/>
      <c r="B31" s="91"/>
      <c r="C31" s="90"/>
      <c r="D31" s="123"/>
    </row>
    <row r="32" spans="1:6" ht="22.5" customHeight="1" x14ac:dyDescent="0.2">
      <c r="A32" s="91"/>
      <c r="B32" s="91"/>
      <c r="C32" s="90"/>
      <c r="D32" s="117"/>
    </row>
    <row r="33" spans="1:4" ht="22.5" customHeight="1" x14ac:dyDescent="0.2">
      <c r="A33" s="91"/>
      <c r="B33" s="91"/>
      <c r="C33" s="90"/>
      <c r="D33" s="117"/>
    </row>
    <row r="34" spans="1:4" ht="22.5" customHeight="1" x14ac:dyDescent="0.2">
      <c r="A34" s="91"/>
      <c r="B34" s="91"/>
      <c r="C34" s="90"/>
      <c r="D34" s="117"/>
    </row>
    <row r="35" spans="1:4" ht="22.5" customHeight="1" x14ac:dyDescent="0.2">
      <c r="A35" s="91"/>
      <c r="B35" s="91"/>
      <c r="C35" s="90"/>
      <c r="D35" s="117"/>
    </row>
    <row r="36" spans="1:4" ht="22.5" customHeight="1" x14ac:dyDescent="0.2">
      <c r="A36" s="91"/>
      <c r="B36" s="91"/>
      <c r="C36" s="90"/>
      <c r="D36" s="117"/>
    </row>
    <row r="37" spans="1:4" ht="22.5" customHeight="1" x14ac:dyDescent="0.2">
      <c r="A37" s="91"/>
      <c r="B37" s="91"/>
      <c r="C37" s="90"/>
      <c r="D37" s="117"/>
    </row>
    <row r="38" spans="1:4" ht="22.5" customHeight="1" x14ac:dyDescent="0.2">
      <c r="A38" s="91"/>
      <c r="B38" s="91"/>
      <c r="C38" s="90"/>
      <c r="D38" s="117"/>
    </row>
    <row r="39" spans="1:4" ht="22.5" customHeight="1" x14ac:dyDescent="0.2">
      <c r="A39" s="91"/>
      <c r="B39" s="91"/>
      <c r="C39" s="90"/>
      <c r="D39" s="119"/>
    </row>
    <row r="40" spans="1:4" ht="22.5" customHeight="1" x14ac:dyDescent="0.2">
      <c r="A40" s="91"/>
      <c r="B40" s="91"/>
      <c r="C40" s="90"/>
      <c r="D40" s="124"/>
    </row>
    <row r="41" spans="1:4" ht="22.5" customHeight="1" x14ac:dyDescent="0.2">
      <c r="A41" s="91"/>
      <c r="B41" s="91"/>
      <c r="C41" s="90"/>
      <c r="D41" s="125"/>
    </row>
    <row r="42" spans="1:4" ht="22.5" customHeight="1" x14ac:dyDescent="0.2">
      <c r="A42" s="91"/>
      <c r="B42" s="91"/>
      <c r="C42" s="90"/>
      <c r="D42" s="123"/>
    </row>
    <row r="43" spans="1:4" ht="22.5" customHeight="1" x14ac:dyDescent="0.2">
      <c r="A43" s="91"/>
      <c r="B43" s="91"/>
      <c r="C43" s="90"/>
      <c r="D43" s="123"/>
    </row>
    <row r="44" spans="1:4" ht="22.5" customHeight="1" x14ac:dyDescent="0.2">
      <c r="A44" s="91"/>
      <c r="B44" s="91"/>
      <c r="C44" s="90"/>
      <c r="D44" s="123"/>
    </row>
    <row r="45" spans="1:4" ht="22.5" customHeight="1" x14ac:dyDescent="0.2">
      <c r="A45" s="91"/>
      <c r="B45" s="91"/>
      <c r="C45" s="90"/>
      <c r="D45" s="117"/>
    </row>
    <row r="46" spans="1:4" ht="22.5" customHeight="1" x14ac:dyDescent="0.2">
      <c r="A46" s="91"/>
      <c r="B46" s="91"/>
      <c r="C46" s="90"/>
      <c r="D46" s="126"/>
    </row>
    <row r="47" spans="1:4" ht="22.5" customHeight="1" x14ac:dyDescent="0.2">
      <c r="A47" s="91"/>
      <c r="B47" s="91"/>
      <c r="C47" s="90"/>
      <c r="D47" s="126"/>
    </row>
    <row r="48" spans="1:4" ht="16" x14ac:dyDescent="0.2">
      <c r="A48" s="91"/>
      <c r="B48" s="91"/>
      <c r="C48" s="90"/>
      <c r="D48" s="126"/>
    </row>
    <row r="49" spans="1:4" ht="22.5" customHeight="1" x14ac:dyDescent="0.2">
      <c r="A49" s="67"/>
      <c r="B49" s="86"/>
      <c r="C49" s="94"/>
      <c r="D49" s="117"/>
    </row>
    <row r="50" spans="1:4" ht="22.5" customHeight="1" x14ac:dyDescent="0.2">
      <c r="A50" s="67"/>
      <c r="B50" s="86"/>
      <c r="C50" s="94"/>
      <c r="D50" s="127"/>
    </row>
    <row r="51" spans="1:4" ht="22.5" customHeight="1" x14ac:dyDescent="0.2">
      <c r="A51" s="67"/>
      <c r="B51" s="86"/>
      <c r="C51" s="94"/>
      <c r="D51" s="127"/>
    </row>
    <row r="52" spans="1:4" ht="22.5" customHeight="1" x14ac:dyDescent="0.2">
      <c r="A52" s="67"/>
      <c r="B52" s="86"/>
      <c r="C52" s="94"/>
      <c r="D52" s="127"/>
    </row>
    <row r="53" spans="1:4" ht="22.5" customHeight="1" x14ac:dyDescent="0.2">
      <c r="A53" s="59"/>
      <c r="B53" s="59"/>
      <c r="C53" s="59"/>
      <c r="D53" s="126"/>
    </row>
    <row r="54" spans="1:4" ht="22.5" customHeight="1" x14ac:dyDescent="0.2">
      <c r="A54" s="59"/>
      <c r="B54" s="59"/>
      <c r="C54" s="59"/>
      <c r="D54" s="126"/>
    </row>
    <row r="55" spans="1:4" ht="22.5" customHeight="1" x14ac:dyDescent="0.2">
      <c r="A55" s="59"/>
      <c r="B55" s="59"/>
      <c r="C55" s="59"/>
      <c r="D55" s="126"/>
    </row>
    <row r="56" spans="1:4" ht="22.5" customHeight="1" x14ac:dyDescent="0.2">
      <c r="A56" s="59"/>
      <c r="B56" s="59"/>
      <c r="C56" s="59"/>
      <c r="D56" s="126"/>
    </row>
    <row r="57" spans="1:4" ht="22.5" customHeight="1" x14ac:dyDescent="0.2">
      <c r="A57" s="59"/>
      <c r="B57" s="59"/>
      <c r="C57" s="85"/>
      <c r="D57" s="128"/>
    </row>
    <row r="58" spans="1:4" ht="22.5" customHeight="1" x14ac:dyDescent="0.2">
      <c r="A58" s="59"/>
      <c r="B58" s="59"/>
      <c r="C58" s="85"/>
      <c r="D58" s="129"/>
    </row>
    <row r="59" spans="1:4" ht="22.5" customHeight="1" x14ac:dyDescent="0.2">
      <c r="A59" s="59"/>
      <c r="B59" s="59"/>
      <c r="C59" s="85"/>
      <c r="D59" s="130"/>
    </row>
    <row r="60" spans="1:4" ht="22.5" customHeight="1" x14ac:dyDescent="0.2">
      <c r="A60" s="59"/>
      <c r="B60" s="59"/>
      <c r="C60" s="85"/>
      <c r="D60" s="130"/>
    </row>
    <row r="61" spans="1:4" ht="22.5" customHeight="1" x14ac:dyDescent="0.2">
      <c r="A61" s="59"/>
      <c r="B61" s="59"/>
      <c r="C61" s="85"/>
    </row>
    <row r="62" spans="1:4" ht="22.5" customHeight="1" x14ac:dyDescent="0.2">
      <c r="A62" s="59"/>
      <c r="B62" s="59"/>
      <c r="C62" s="85"/>
    </row>
    <row r="63" spans="1:4" ht="22.5" customHeight="1" x14ac:dyDescent="0.2">
      <c r="A63" s="59"/>
      <c r="B63" s="59"/>
      <c r="C63" s="85"/>
    </row>
    <row r="64" spans="1:4" ht="22.5" customHeight="1" x14ac:dyDescent="0.2">
      <c r="A64" s="56"/>
      <c r="B64" s="56"/>
      <c r="C64" s="84"/>
      <c r="D64" s="123"/>
    </row>
    <row r="68" spans="1:4" ht="22.5" customHeight="1" x14ac:dyDescent="0.2">
      <c r="D68" s="130"/>
    </row>
    <row r="69" spans="1:4" ht="22.5" customHeight="1" x14ac:dyDescent="0.2">
      <c r="D69" s="130"/>
    </row>
    <row r="71" spans="1:4" ht="22.5" customHeight="1" x14ac:dyDescent="0.2">
      <c r="C71" s="82"/>
    </row>
    <row r="72" spans="1:4" ht="22.5" customHeight="1" x14ac:dyDescent="0.2">
      <c r="C72" s="82"/>
    </row>
    <row r="73" spans="1:4" ht="22.5" customHeight="1" x14ac:dyDescent="0.2">
      <c r="C73" s="82"/>
    </row>
    <row r="74" spans="1:4" ht="22.5" customHeight="1" x14ac:dyDescent="0.2">
      <c r="D74" s="130"/>
    </row>
    <row r="75" spans="1:4" ht="22.5" customHeight="1" x14ac:dyDescent="0.2">
      <c r="D75" s="130"/>
    </row>
    <row r="77" spans="1:4" ht="22.5" customHeight="1" x14ac:dyDescent="0.2">
      <c r="A77" s="69"/>
      <c r="B77" s="69"/>
      <c r="C77" s="83"/>
      <c r="D77" s="132"/>
    </row>
    <row r="78" spans="1:4" ht="22.5" customHeight="1" x14ac:dyDescent="0.2">
      <c r="A78" s="69"/>
      <c r="B78" s="69"/>
      <c r="C78" s="83"/>
      <c r="D78" s="132"/>
    </row>
    <row r="79" spans="1:4" ht="22.5" customHeight="1" x14ac:dyDescent="0.2">
      <c r="A79" s="69"/>
      <c r="B79" s="69"/>
      <c r="C79" s="83"/>
    </row>
    <row r="80" spans="1:4" ht="22.5" customHeight="1" x14ac:dyDescent="0.2">
      <c r="A80" s="69"/>
      <c r="B80" s="69"/>
      <c r="C80" s="83"/>
      <c r="D80" s="132"/>
    </row>
    <row r="81" spans="1:6" ht="22.5" customHeight="1" x14ac:dyDescent="0.2">
      <c r="A81" s="69"/>
      <c r="B81" s="69"/>
      <c r="C81" s="83"/>
      <c r="D81" s="132"/>
    </row>
    <row r="82" spans="1:6" ht="22.5" customHeight="1" x14ac:dyDescent="0.2">
      <c r="A82" s="69"/>
      <c r="B82" s="69"/>
      <c r="C82" s="83"/>
    </row>
    <row r="83" spans="1:6" ht="22.5" customHeight="1" x14ac:dyDescent="0.2">
      <c r="C83" s="52"/>
      <c r="D83" s="133"/>
    </row>
    <row r="84" spans="1:6" ht="22.5" customHeight="1" x14ac:dyDescent="0.2">
      <c r="D84" s="72"/>
    </row>
    <row r="85" spans="1:6" ht="22.5" customHeight="1" x14ac:dyDescent="0.2">
      <c r="D85" s="133"/>
    </row>
    <row r="86" spans="1:6" ht="22.5" customHeight="1" x14ac:dyDescent="0.2">
      <c r="C86" s="52"/>
      <c r="D86" s="133"/>
    </row>
    <row r="87" spans="1:6" ht="22.5" customHeight="1" x14ac:dyDescent="0.2">
      <c r="D87" s="133"/>
    </row>
    <row r="88" spans="1:6" ht="22.5" customHeight="1" x14ac:dyDescent="0.2">
      <c r="D88" s="133"/>
    </row>
    <row r="89" spans="1:6" ht="22.5" customHeight="1" x14ac:dyDescent="0.2">
      <c r="C89" s="68"/>
      <c r="D89" s="134"/>
    </row>
    <row r="90" spans="1:6" ht="22.5" customHeight="1" x14ac:dyDescent="0.2">
      <c r="D90" s="134"/>
    </row>
    <row r="91" spans="1:6" ht="22.5" customHeight="1" x14ac:dyDescent="0.2">
      <c r="C91" s="68"/>
      <c r="D91" s="134"/>
    </row>
    <row r="92" spans="1:6" ht="22.5" customHeight="1" x14ac:dyDescent="0.2">
      <c r="D92" s="134"/>
    </row>
    <row r="93" spans="1:6" ht="22.5" customHeight="1" x14ac:dyDescent="0.2">
      <c r="C93" s="68"/>
    </row>
    <row r="95" spans="1:6" ht="22.5" customHeight="1" x14ac:dyDescent="0.2">
      <c r="C95" s="52"/>
      <c r="D95" s="134"/>
      <c r="F95" s="52"/>
    </row>
    <row r="96" spans="1:6" ht="22.5" customHeight="1" x14ac:dyDescent="0.2">
      <c r="D96" s="134"/>
    </row>
    <row r="97" spans="1:6" ht="22.5" customHeight="1" x14ac:dyDescent="0.2">
      <c r="D97" s="134"/>
    </row>
    <row r="98" spans="1:6" ht="22.5" customHeight="1" x14ac:dyDescent="0.2">
      <c r="C98" s="52"/>
      <c r="D98" s="134"/>
      <c r="F98" s="52"/>
    </row>
    <row r="99" spans="1:6" ht="22.5" customHeight="1" x14ac:dyDescent="0.2">
      <c r="D99" s="134"/>
    </row>
    <row r="100" spans="1:6" ht="22.5" customHeight="1" x14ac:dyDescent="0.2">
      <c r="D100" s="134"/>
    </row>
    <row r="101" spans="1:6" ht="22.5" customHeight="1" x14ac:dyDescent="0.2">
      <c r="D101" s="134"/>
    </row>
    <row r="102" spans="1:6" ht="22.5" customHeight="1" x14ac:dyDescent="0.2">
      <c r="D102" s="134"/>
    </row>
    <row r="103" spans="1:6" ht="22.5" customHeight="1" x14ac:dyDescent="0.2">
      <c r="C103" s="52"/>
      <c r="D103" s="134"/>
    </row>
    <row r="104" spans="1:6" ht="22.5" customHeight="1" x14ac:dyDescent="0.2">
      <c r="D104" s="134"/>
    </row>
    <row r="105" spans="1:6" ht="22.5" customHeight="1" x14ac:dyDescent="0.2">
      <c r="A105" s="73"/>
      <c r="B105" s="71"/>
      <c r="C105" s="81"/>
      <c r="D105" s="134"/>
    </row>
    <row r="106" spans="1:6" ht="22.5" customHeight="1" x14ac:dyDescent="0.2">
      <c r="C106" s="52"/>
      <c r="D106" s="134"/>
    </row>
    <row r="107" spans="1:6" ht="22.5" customHeight="1" x14ac:dyDescent="0.2">
      <c r="D107" s="134"/>
    </row>
    <row r="108" spans="1:6" ht="22.5" customHeight="1" x14ac:dyDescent="0.2">
      <c r="A108" s="73"/>
      <c r="B108" s="71"/>
      <c r="C108" s="81"/>
      <c r="D108" s="134"/>
    </row>
    <row r="109" spans="1:6" ht="22.5" customHeight="1" x14ac:dyDescent="0.2">
      <c r="A109" s="67"/>
      <c r="B109" s="67"/>
      <c r="C109" s="52"/>
    </row>
    <row r="110" spans="1:6" ht="22.5" customHeight="1" x14ac:dyDescent="0.2">
      <c r="A110" s="67"/>
      <c r="B110" s="67"/>
      <c r="C110" s="67"/>
    </row>
    <row r="111" spans="1:6" ht="22.5" customHeight="1" x14ac:dyDescent="0.2">
      <c r="A111" s="73"/>
      <c r="B111" s="71"/>
      <c r="C111" s="81"/>
    </row>
    <row r="112" spans="1:6" ht="22.5" customHeight="1" x14ac:dyDescent="0.2">
      <c r="C112" s="52"/>
      <c r="D112" s="134"/>
    </row>
    <row r="113" spans="3:4" ht="22.5" customHeight="1" x14ac:dyDescent="0.2">
      <c r="D113" s="134"/>
    </row>
    <row r="114" spans="3:4" ht="22.5" customHeight="1" x14ac:dyDescent="0.2">
      <c r="C114" s="52"/>
      <c r="D114" s="134"/>
    </row>
    <row r="115" spans="3:4" ht="22.5" customHeight="1" x14ac:dyDescent="0.2">
      <c r="D115" s="134"/>
    </row>
    <row r="116" spans="3:4" ht="22.5" customHeight="1" x14ac:dyDescent="0.2">
      <c r="D116" s="134"/>
    </row>
    <row r="117" spans="3:4" ht="22.5" customHeight="1" x14ac:dyDescent="0.2">
      <c r="D117" s="134"/>
    </row>
    <row r="118" spans="3:4" ht="22.5" customHeight="1" x14ac:dyDescent="0.2">
      <c r="D118" s="134"/>
    </row>
    <row r="119" spans="3:4" ht="22.5" customHeight="1" x14ac:dyDescent="0.2">
      <c r="D119" s="134"/>
    </row>
    <row r="122" spans="3:4" ht="22.5" customHeight="1" x14ac:dyDescent="0.2">
      <c r="C122" s="52"/>
      <c r="D122" s="123"/>
    </row>
    <row r="123" spans="3:4" ht="22.5" customHeight="1" x14ac:dyDescent="0.2">
      <c r="D123" s="117"/>
    </row>
    <row r="124" spans="3:4" ht="22.5" customHeight="1" x14ac:dyDescent="0.2">
      <c r="C124" s="52"/>
    </row>
    <row r="130" spans="1:3" ht="22.5" customHeight="1" x14ac:dyDescent="0.2">
      <c r="A130" s="67"/>
      <c r="B130" s="67"/>
      <c r="C130" s="67"/>
    </row>
    <row r="131" spans="1:3" ht="22.5" customHeight="1" x14ac:dyDescent="0.2">
      <c r="A131" s="67"/>
      <c r="B131" s="67"/>
      <c r="C131" s="67"/>
    </row>
    <row r="132" spans="1:3" ht="22.5" customHeight="1" x14ac:dyDescent="0.2">
      <c r="C132" s="52"/>
    </row>
    <row r="135" spans="1:3" ht="22.5" customHeight="1" x14ac:dyDescent="0.2">
      <c r="C135" s="52"/>
    </row>
    <row r="142" spans="1:3" ht="22.5" customHeight="1" x14ac:dyDescent="0.2">
      <c r="A142" s="67"/>
      <c r="B142" s="67"/>
      <c r="C142" s="67"/>
    </row>
    <row r="143" spans="1:3" ht="22.5" customHeight="1" x14ac:dyDescent="0.2">
      <c r="A143" s="67"/>
      <c r="B143" s="67"/>
      <c r="C143" s="67"/>
    </row>
    <row r="146" spans="1:4" ht="22.5" customHeight="1" x14ac:dyDescent="0.2">
      <c r="C146" s="52"/>
    </row>
    <row r="147" spans="1:4" ht="22.5" customHeight="1" x14ac:dyDescent="0.2">
      <c r="C147" s="52"/>
    </row>
    <row r="150" spans="1:4" ht="22.5" customHeight="1" x14ac:dyDescent="0.2">
      <c r="A150" s="80"/>
      <c r="B150" s="80"/>
      <c r="C150" s="80"/>
    </row>
    <row r="154" spans="1:4" ht="22.5" customHeight="1" x14ac:dyDescent="0.2">
      <c r="A154" s="79"/>
      <c r="B154" s="79"/>
      <c r="C154" s="79"/>
      <c r="D154" s="119"/>
    </row>
    <row r="155" spans="1:4" ht="22.5" customHeight="1" x14ac:dyDescent="0.2">
      <c r="A155" s="79"/>
      <c r="B155" s="79"/>
      <c r="C155" s="79"/>
      <c r="D155" s="119"/>
    </row>
    <row r="156" spans="1:4" ht="22.5" customHeight="1" x14ac:dyDescent="0.2">
      <c r="A156" s="59"/>
      <c r="B156" s="59"/>
      <c r="C156" s="59"/>
      <c r="D156" s="119"/>
    </row>
    <row r="157" spans="1:4" ht="22.5" customHeight="1" x14ac:dyDescent="0.2">
      <c r="A157" s="59"/>
      <c r="B157" s="59"/>
      <c r="C157" s="59"/>
      <c r="D157" s="119"/>
    </row>
    <row r="158" spans="1:4" ht="22.5" customHeight="1" x14ac:dyDescent="0.2">
      <c r="A158" s="79"/>
      <c r="B158" s="79"/>
      <c r="C158" s="79"/>
      <c r="D158" s="119"/>
    </row>
    <row r="159" spans="1:4" ht="22.5" customHeight="1" x14ac:dyDescent="0.2">
      <c r="A159" s="59"/>
      <c r="B159" s="59"/>
      <c r="C159" s="59"/>
      <c r="D159" s="119"/>
    </row>
    <row r="160" spans="1:4" ht="22.5" customHeight="1" x14ac:dyDescent="0.2">
      <c r="A160" s="59"/>
      <c r="B160" s="59"/>
      <c r="C160" s="59"/>
      <c r="D160" s="119"/>
    </row>
    <row r="161" spans="1:4" ht="22.5" customHeight="1" x14ac:dyDescent="0.2">
      <c r="A161" s="59"/>
      <c r="B161" s="59"/>
      <c r="C161" s="59"/>
      <c r="D161" s="119"/>
    </row>
    <row r="162" spans="1:4" ht="22.5" customHeight="1" x14ac:dyDescent="0.2">
      <c r="A162" s="59"/>
      <c r="B162" s="59"/>
      <c r="C162" s="59"/>
      <c r="D162" s="119"/>
    </row>
    <row r="163" spans="1:4" ht="22.5" customHeight="1" x14ac:dyDescent="0.2">
      <c r="A163" s="59"/>
      <c r="B163" s="59"/>
      <c r="C163" s="59"/>
      <c r="D163" s="119"/>
    </row>
    <row r="164" spans="1:4" ht="22.5" customHeight="1" x14ac:dyDescent="0.2">
      <c r="A164" s="59"/>
      <c r="B164" s="59"/>
      <c r="C164" s="59"/>
      <c r="D164" s="119"/>
    </row>
    <row r="165" spans="1:4" ht="22.5" customHeight="1" x14ac:dyDescent="0.2">
      <c r="A165" s="59"/>
      <c r="B165" s="59"/>
      <c r="C165" s="59"/>
      <c r="D165" s="119"/>
    </row>
    <row r="166" spans="1:4" ht="22.5" customHeight="1" x14ac:dyDescent="0.2">
      <c r="A166" s="59"/>
      <c r="B166" s="59"/>
      <c r="C166" s="59"/>
      <c r="D166" s="119"/>
    </row>
    <row r="167" spans="1:4" ht="22.5" customHeight="1" x14ac:dyDescent="0.2">
      <c r="A167" s="59"/>
      <c r="B167" s="59"/>
      <c r="C167" s="59"/>
      <c r="D167" s="119"/>
    </row>
    <row r="168" spans="1:4" ht="22.5" customHeight="1" x14ac:dyDescent="0.2">
      <c r="A168" s="59"/>
      <c r="B168" s="59"/>
      <c r="C168" s="59"/>
      <c r="D168" s="119"/>
    </row>
    <row r="169" spans="1:4" ht="22.5" customHeight="1" x14ac:dyDescent="0.2">
      <c r="A169" s="59"/>
      <c r="B169" s="59"/>
      <c r="C169" s="59"/>
      <c r="D169" s="119"/>
    </row>
    <row r="170" spans="1:4" ht="22.5" customHeight="1" x14ac:dyDescent="0.2">
      <c r="A170" s="59"/>
      <c r="B170" s="59"/>
      <c r="C170" s="59"/>
      <c r="D170" s="119"/>
    </row>
    <row r="171" spans="1:4" ht="22.5" customHeight="1" x14ac:dyDescent="0.2">
      <c r="A171" s="59"/>
      <c r="B171" s="59"/>
      <c r="C171" s="59"/>
      <c r="D171" s="119"/>
    </row>
    <row r="172" spans="1:4" ht="22.5" customHeight="1" x14ac:dyDescent="0.2">
      <c r="A172" s="57"/>
      <c r="B172" s="57"/>
      <c r="C172" s="75"/>
      <c r="D172" s="119"/>
    </row>
    <row r="173" spans="1:4" ht="22.5" customHeight="1" x14ac:dyDescent="0.2">
      <c r="A173" s="57"/>
      <c r="B173" s="57"/>
      <c r="C173" s="76"/>
      <c r="D173" s="119"/>
    </row>
    <row r="174" spans="1:4" ht="22.5" customHeight="1" x14ac:dyDescent="0.2">
      <c r="A174" s="57"/>
      <c r="B174" s="57"/>
      <c r="C174" s="74"/>
      <c r="D174" s="119"/>
    </row>
    <row r="175" spans="1:4" ht="22.5" customHeight="1" x14ac:dyDescent="0.2">
      <c r="A175" s="56"/>
      <c r="B175" s="56"/>
      <c r="C175" s="74"/>
      <c r="D175" s="119"/>
    </row>
    <row r="176" spans="1:4" ht="22.5" customHeight="1" x14ac:dyDescent="0.2">
      <c r="A176" s="56"/>
      <c r="B176" s="56"/>
      <c r="C176" s="65"/>
      <c r="D176" s="119"/>
    </row>
    <row r="177" spans="1:4" ht="22.5" customHeight="1" x14ac:dyDescent="0.2">
      <c r="A177" s="56"/>
      <c r="B177" s="56"/>
      <c r="C177" s="55"/>
      <c r="D177" s="119"/>
    </row>
    <row r="178" spans="1:4" ht="22.5" customHeight="1" x14ac:dyDescent="0.2">
      <c r="A178" s="56"/>
      <c r="B178" s="56"/>
      <c r="C178" s="65"/>
      <c r="D178" s="119"/>
    </row>
    <row r="179" spans="1:4" ht="22.5" customHeight="1" x14ac:dyDescent="0.2">
      <c r="A179" s="57"/>
      <c r="B179" s="57"/>
      <c r="C179" s="77"/>
      <c r="D179" s="119"/>
    </row>
    <row r="180" spans="1:4" ht="22.5" customHeight="1" x14ac:dyDescent="0.2">
      <c r="A180" s="57"/>
      <c r="B180" s="57"/>
      <c r="C180" s="55"/>
      <c r="D180" s="119"/>
    </row>
    <row r="181" spans="1:4" ht="22.5" customHeight="1" x14ac:dyDescent="0.2">
      <c r="A181" s="57"/>
      <c r="B181" s="57"/>
      <c r="C181" s="77"/>
      <c r="D181" s="119"/>
    </row>
    <row r="182" spans="1:4" ht="22.5" customHeight="1" x14ac:dyDescent="0.2">
      <c r="A182" s="57"/>
      <c r="B182" s="57"/>
      <c r="C182" s="77"/>
      <c r="D182" s="119"/>
    </row>
    <row r="183" spans="1:4" ht="22.5" customHeight="1" x14ac:dyDescent="0.2">
      <c r="A183" s="57"/>
      <c r="B183" s="57"/>
      <c r="C183" s="55"/>
      <c r="D183" s="119"/>
    </row>
    <row r="184" spans="1:4" ht="22.5" customHeight="1" x14ac:dyDescent="0.2">
      <c r="A184" s="57"/>
      <c r="B184" s="57"/>
      <c r="C184" s="55"/>
      <c r="D184" s="119"/>
    </row>
    <row r="185" spans="1:4" ht="22.5" customHeight="1" x14ac:dyDescent="0.2">
      <c r="A185" s="57"/>
      <c r="B185" s="57"/>
      <c r="C185" s="77"/>
      <c r="D185" s="119"/>
    </row>
    <row r="186" spans="1:4" ht="22.5" customHeight="1" x14ac:dyDescent="0.2">
      <c r="A186" s="57"/>
      <c r="B186" s="57"/>
      <c r="C186" s="77"/>
      <c r="D186" s="119"/>
    </row>
    <row r="187" spans="1:4" ht="22.5" customHeight="1" x14ac:dyDescent="0.2">
      <c r="A187" s="57"/>
      <c r="B187" s="57"/>
      <c r="C187" s="77"/>
      <c r="D187" s="119"/>
    </row>
    <row r="188" spans="1:4" ht="22.5" customHeight="1" x14ac:dyDescent="0.2">
      <c r="A188" s="57"/>
      <c r="B188" s="57"/>
      <c r="C188" s="77"/>
      <c r="D188" s="119"/>
    </row>
    <row r="189" spans="1:4" ht="22.5" customHeight="1" x14ac:dyDescent="0.2">
      <c r="A189" s="57"/>
      <c r="B189" s="57"/>
      <c r="C189" s="77"/>
      <c r="D189" s="119"/>
    </row>
    <row r="190" spans="1:4" ht="22.5" customHeight="1" x14ac:dyDescent="0.2">
      <c r="A190" s="57"/>
      <c r="B190" s="57"/>
      <c r="C190" s="77"/>
      <c r="D190" s="119"/>
    </row>
    <row r="191" spans="1:4" ht="22.5" customHeight="1" x14ac:dyDescent="0.2">
      <c r="A191" s="78"/>
      <c r="B191" s="78"/>
      <c r="C191" s="55"/>
      <c r="D191" s="119"/>
    </row>
    <row r="192" spans="1:4" ht="22.5" customHeight="1" x14ac:dyDescent="0.2">
      <c r="A192" s="78"/>
      <c r="B192" s="78"/>
      <c r="C192" s="55"/>
      <c r="D192" s="119"/>
    </row>
    <row r="193" spans="1:4" ht="22.5" customHeight="1" x14ac:dyDescent="0.2">
      <c r="A193" s="78"/>
      <c r="B193" s="78"/>
      <c r="C193" s="55"/>
      <c r="D193" s="119"/>
    </row>
    <row r="194" spans="1:4" ht="22.5" customHeight="1" x14ac:dyDescent="0.2">
      <c r="A194" s="70"/>
      <c r="B194" s="70"/>
      <c r="C194" s="55"/>
      <c r="D194" s="119"/>
    </row>
    <row r="195" spans="1:4" ht="22.5" customHeight="1" x14ac:dyDescent="0.2">
      <c r="A195" s="70"/>
      <c r="B195" s="70"/>
      <c r="C195" s="55"/>
      <c r="D195" s="119"/>
    </row>
    <row r="196" spans="1:4" ht="22.5" customHeight="1" x14ac:dyDescent="0.2">
      <c r="A196" s="70"/>
      <c r="B196" s="70"/>
      <c r="C196" s="55"/>
      <c r="D196" s="119"/>
    </row>
    <row r="197" spans="1:4" ht="22.5" customHeight="1" x14ac:dyDescent="0.2">
      <c r="A197" s="70"/>
      <c r="B197" s="70"/>
      <c r="C197" s="55"/>
      <c r="D197" s="119"/>
    </row>
    <row r="198" spans="1:4" ht="22.5" customHeight="1" x14ac:dyDescent="0.2">
      <c r="A198" s="70"/>
      <c r="B198" s="70"/>
      <c r="C198" s="55"/>
      <c r="D198" s="119"/>
    </row>
    <row r="199" spans="1:4" ht="22.5" customHeight="1" x14ac:dyDescent="0.2">
      <c r="A199" s="70"/>
      <c r="B199" s="70"/>
      <c r="C199" s="55"/>
      <c r="D199" s="119"/>
    </row>
    <row r="200" spans="1:4" ht="22.5" customHeight="1" x14ac:dyDescent="0.2">
      <c r="A200" s="70"/>
      <c r="B200" s="70"/>
      <c r="C200" s="55"/>
      <c r="D200" s="119"/>
    </row>
    <row r="201" spans="1:4" ht="22.5" customHeight="1" x14ac:dyDescent="0.2">
      <c r="A201" s="70"/>
      <c r="B201" s="70"/>
      <c r="C201" s="55"/>
      <c r="D201" s="119"/>
    </row>
    <row r="202" spans="1:4" ht="22.5" customHeight="1" x14ac:dyDescent="0.2">
      <c r="A202" s="59"/>
      <c r="B202" s="59"/>
      <c r="C202" s="59"/>
      <c r="D202" s="119"/>
    </row>
    <row r="203" spans="1:4" ht="22.5" customHeight="1" x14ac:dyDescent="0.2">
      <c r="A203" s="59"/>
      <c r="B203" s="59"/>
      <c r="C203" s="59"/>
      <c r="D203" s="119"/>
    </row>
    <row r="204" spans="1:4" ht="22.5" customHeight="1" x14ac:dyDescent="0.2">
      <c r="A204" s="59"/>
      <c r="B204" s="59"/>
      <c r="C204" s="59"/>
      <c r="D204" s="119"/>
    </row>
    <row r="205" spans="1:4" ht="22.5" customHeight="1" x14ac:dyDescent="0.2">
      <c r="A205" s="59"/>
      <c r="B205" s="59"/>
      <c r="C205" s="59"/>
      <c r="D205" s="119"/>
    </row>
    <row r="206" spans="1:4" ht="22.5" customHeight="1" x14ac:dyDescent="0.2">
      <c r="A206" s="59"/>
      <c r="B206" s="59"/>
      <c r="C206" s="59"/>
      <c r="D206" s="119"/>
    </row>
    <row r="207" spans="1:4" ht="22.5" customHeight="1" x14ac:dyDescent="0.2">
      <c r="A207" s="59"/>
      <c r="B207" s="59"/>
      <c r="C207" s="59"/>
      <c r="D207" s="119"/>
    </row>
    <row r="208" spans="1:4" ht="22.5" customHeight="1" x14ac:dyDescent="0.2">
      <c r="A208" s="59"/>
      <c r="B208" s="59"/>
      <c r="C208" s="59"/>
      <c r="D208" s="119"/>
    </row>
    <row r="209" spans="1:4" ht="22.5" customHeight="1" x14ac:dyDescent="0.2">
      <c r="A209" s="59"/>
      <c r="B209" s="59"/>
      <c r="C209" s="59"/>
      <c r="D209" s="119"/>
    </row>
    <row r="210" spans="1:4" ht="22.5" customHeight="1" x14ac:dyDescent="0.2">
      <c r="A210" s="59"/>
      <c r="B210" s="59"/>
      <c r="C210" s="59"/>
      <c r="D210" s="119"/>
    </row>
    <row r="211" spans="1:4" ht="22.5" customHeight="1" x14ac:dyDescent="0.2">
      <c r="A211" s="59"/>
      <c r="B211" s="59"/>
      <c r="C211" s="59"/>
      <c r="D211" s="119"/>
    </row>
    <row r="212" spans="1:4" ht="22.5" customHeight="1" x14ac:dyDescent="0.2">
      <c r="A212" s="59"/>
      <c r="B212" s="59"/>
      <c r="C212" s="59"/>
      <c r="D212" s="119"/>
    </row>
    <row r="213" spans="1:4" ht="22.5" customHeight="1" x14ac:dyDescent="0.2">
      <c r="A213" s="59"/>
      <c r="B213" s="59"/>
      <c r="C213" s="59"/>
      <c r="D213" s="119"/>
    </row>
    <row r="214" spans="1:4" ht="22.5" customHeight="1" x14ac:dyDescent="0.2">
      <c r="A214" s="59"/>
      <c r="B214" s="59"/>
      <c r="C214" s="59"/>
      <c r="D214" s="119"/>
    </row>
    <row r="215" spans="1:4" ht="22.5" customHeight="1" x14ac:dyDescent="0.2">
      <c r="A215" s="59"/>
      <c r="B215" s="59"/>
      <c r="C215" s="59"/>
      <c r="D215" s="119"/>
    </row>
    <row r="216" spans="1:4" ht="22.5" customHeight="1" x14ac:dyDescent="0.2">
      <c r="A216" s="59"/>
      <c r="B216" s="59"/>
      <c r="C216" s="59"/>
      <c r="D216" s="119"/>
    </row>
    <row r="217" spans="1:4" ht="22.5" customHeight="1" x14ac:dyDescent="0.2">
      <c r="A217" s="59"/>
      <c r="B217" s="59"/>
      <c r="C217" s="59"/>
      <c r="D217" s="119"/>
    </row>
    <row r="218" spans="1:4" ht="22.5" customHeight="1" x14ac:dyDescent="0.2">
      <c r="A218" s="59"/>
      <c r="B218" s="59"/>
      <c r="C218" s="59"/>
      <c r="D218" s="119"/>
    </row>
    <row r="219" spans="1:4" ht="22.5" customHeight="1" x14ac:dyDescent="0.2">
      <c r="A219" s="59"/>
      <c r="B219" s="59"/>
      <c r="C219" s="59"/>
      <c r="D219" s="119"/>
    </row>
    <row r="220" spans="1:4" ht="22.5" customHeight="1" x14ac:dyDescent="0.2">
      <c r="A220" s="59"/>
      <c r="B220" s="59"/>
      <c r="C220" s="59"/>
      <c r="D220" s="119"/>
    </row>
    <row r="221" spans="1:4" ht="22.5" customHeight="1" x14ac:dyDescent="0.2">
      <c r="A221" s="59"/>
      <c r="B221" s="59"/>
      <c r="C221" s="59"/>
      <c r="D221" s="119"/>
    </row>
    <row r="222" spans="1:4" ht="22.5" customHeight="1" x14ac:dyDescent="0.2">
      <c r="A222" s="59"/>
      <c r="B222" s="59"/>
      <c r="C222" s="59"/>
      <c r="D222" s="119"/>
    </row>
    <row r="223" spans="1:4" ht="22.5" customHeight="1" x14ac:dyDescent="0.2">
      <c r="A223" s="59"/>
      <c r="B223" s="59"/>
      <c r="C223" s="59"/>
      <c r="D223" s="119"/>
    </row>
    <row r="224" spans="1:4" ht="22.5" customHeight="1" x14ac:dyDescent="0.2">
      <c r="A224" s="59"/>
      <c r="B224" s="59"/>
      <c r="C224" s="59"/>
      <c r="D224" s="119"/>
    </row>
    <row r="225" spans="1:4" ht="22.5" customHeight="1" x14ac:dyDescent="0.2">
      <c r="A225" s="59"/>
      <c r="B225" s="59"/>
      <c r="C225" s="59"/>
      <c r="D225" s="119"/>
    </row>
    <row r="226" spans="1:4" ht="22.5" customHeight="1" x14ac:dyDescent="0.2">
      <c r="A226" s="59"/>
      <c r="B226" s="59"/>
      <c r="C226" s="59"/>
      <c r="D226" s="119"/>
    </row>
    <row r="227" spans="1:4" ht="22.5" customHeight="1" x14ac:dyDescent="0.2">
      <c r="A227" s="59"/>
      <c r="B227" s="59"/>
      <c r="C227" s="59"/>
      <c r="D227" s="119"/>
    </row>
    <row r="228" spans="1:4" ht="22.5" customHeight="1" x14ac:dyDescent="0.2">
      <c r="A228" s="59"/>
      <c r="B228" s="59"/>
      <c r="C228" s="59"/>
      <c r="D228" s="119"/>
    </row>
    <row r="229" spans="1:4" ht="22.5" customHeight="1" x14ac:dyDescent="0.2">
      <c r="A229" s="59"/>
      <c r="B229" s="59"/>
      <c r="C229" s="59"/>
      <c r="D229" s="119"/>
    </row>
    <row r="230" spans="1:4" ht="22.5" customHeight="1" x14ac:dyDescent="0.2">
      <c r="A230" s="59"/>
      <c r="B230" s="59"/>
      <c r="C230" s="59"/>
      <c r="D230" s="119"/>
    </row>
    <row r="231" spans="1:4" ht="22.5" customHeight="1" x14ac:dyDescent="0.2">
      <c r="A231" s="59"/>
      <c r="B231" s="59"/>
      <c r="C231" s="59"/>
      <c r="D231" s="119"/>
    </row>
    <row r="232" spans="1:4" ht="22.5" customHeight="1" x14ac:dyDescent="0.2">
      <c r="A232" s="59"/>
      <c r="B232" s="59"/>
      <c r="C232" s="59"/>
      <c r="D232" s="119"/>
    </row>
    <row r="233" spans="1:4" ht="22.5" customHeight="1" x14ac:dyDescent="0.2">
      <c r="A233" s="59"/>
      <c r="B233" s="59"/>
      <c r="C233" s="59"/>
      <c r="D233" s="119"/>
    </row>
    <row r="234" spans="1:4" ht="22.5" customHeight="1" x14ac:dyDescent="0.2">
      <c r="A234" s="59"/>
      <c r="B234" s="59"/>
      <c r="C234" s="59"/>
      <c r="D234" s="119"/>
    </row>
    <row r="235" spans="1:4" ht="22.5" customHeight="1" x14ac:dyDescent="0.2">
      <c r="A235" s="59"/>
      <c r="B235" s="59"/>
      <c r="C235" s="59"/>
      <c r="D235" s="119"/>
    </row>
    <row r="236" spans="1:4" ht="22.5" customHeight="1" x14ac:dyDescent="0.2">
      <c r="A236" s="59"/>
      <c r="B236" s="59"/>
      <c r="C236" s="59"/>
      <c r="D236" s="119"/>
    </row>
    <row r="237" spans="1:4" ht="22.5" customHeight="1" x14ac:dyDescent="0.2">
      <c r="A237" s="59"/>
      <c r="B237" s="59"/>
      <c r="C237" s="59"/>
      <c r="D237" s="119"/>
    </row>
    <row r="238" spans="1:4" ht="22.5" customHeight="1" x14ac:dyDescent="0.2">
      <c r="A238" s="59"/>
      <c r="B238" s="59"/>
      <c r="C238" s="59"/>
      <c r="D238" s="119"/>
    </row>
    <row r="239" spans="1:4" ht="22.5" customHeight="1" x14ac:dyDescent="0.2">
      <c r="A239" s="59"/>
      <c r="B239" s="59"/>
      <c r="C239" s="59"/>
      <c r="D239" s="119"/>
    </row>
    <row r="240" spans="1:4" ht="22.5" customHeight="1" x14ac:dyDescent="0.2">
      <c r="A240" s="59"/>
      <c r="B240" s="59"/>
      <c r="C240" s="59"/>
      <c r="D240" s="119"/>
    </row>
    <row r="241" spans="1:4" ht="22.5" customHeight="1" x14ac:dyDescent="0.2">
      <c r="A241" s="59"/>
      <c r="B241" s="59"/>
      <c r="C241" s="59"/>
      <c r="D241" s="119"/>
    </row>
    <row r="242" spans="1:4" ht="22.5" customHeight="1" x14ac:dyDescent="0.2">
      <c r="A242" s="59"/>
      <c r="B242" s="59"/>
      <c r="C242" s="59"/>
      <c r="D242" s="119"/>
    </row>
    <row r="243" spans="1:4" ht="22.5" customHeight="1" x14ac:dyDescent="0.2">
      <c r="A243" s="58"/>
      <c r="B243" s="58"/>
      <c r="C243" s="59"/>
      <c r="D243" s="119"/>
    </row>
    <row r="244" spans="1:4" ht="22.5" customHeight="1" x14ac:dyDescent="0.2">
      <c r="A244" s="58"/>
      <c r="B244" s="58"/>
      <c r="C244" s="59"/>
      <c r="D244" s="119"/>
    </row>
    <row r="245" spans="1:4" ht="22.5" customHeight="1" x14ac:dyDescent="0.2">
      <c r="A245" s="58"/>
      <c r="B245" s="58"/>
      <c r="C245" s="59"/>
      <c r="D245" s="119"/>
    </row>
    <row r="246" spans="1:4" ht="22.5" customHeight="1" x14ac:dyDescent="0.2">
      <c r="A246" s="58"/>
      <c r="B246" s="58"/>
      <c r="C246" s="59"/>
      <c r="D246" s="119"/>
    </row>
    <row r="247" spans="1:4" ht="22.5" customHeight="1" x14ac:dyDescent="0.2">
      <c r="A247" s="58"/>
      <c r="B247" s="58"/>
      <c r="C247" s="59"/>
      <c r="D247" s="119"/>
    </row>
    <row r="248" spans="1:4" ht="22.5" customHeight="1" x14ac:dyDescent="0.2">
      <c r="A248" s="58"/>
      <c r="B248" s="58"/>
      <c r="C248" s="59"/>
      <c r="D248" s="119"/>
    </row>
    <row r="249" spans="1:4" ht="22.5" customHeight="1" x14ac:dyDescent="0.2">
      <c r="A249" s="58"/>
      <c r="B249" s="58"/>
      <c r="C249" s="59"/>
      <c r="D249" s="119"/>
    </row>
    <row r="250" spans="1:4" ht="22.5" customHeight="1" x14ac:dyDescent="0.2">
      <c r="A250" s="58"/>
      <c r="B250" s="58"/>
      <c r="C250" s="59"/>
      <c r="D250" s="119"/>
    </row>
    <row r="251" spans="1:4" ht="22.5" customHeight="1" x14ac:dyDescent="0.2">
      <c r="A251" s="58"/>
      <c r="B251" s="58"/>
      <c r="C251" s="59"/>
      <c r="D251" s="119"/>
    </row>
    <row r="252" spans="1:4" ht="22.5" customHeight="1" x14ac:dyDescent="0.2">
      <c r="A252" s="58"/>
      <c r="B252" s="58"/>
      <c r="C252" s="59"/>
      <c r="D252" s="119"/>
    </row>
    <row r="253" spans="1:4" ht="22.5" customHeight="1" x14ac:dyDescent="0.2">
      <c r="A253" s="58"/>
      <c r="B253" s="58"/>
      <c r="C253" s="59"/>
      <c r="D253" s="119"/>
    </row>
    <row r="254" spans="1:4" ht="22.5" customHeight="1" x14ac:dyDescent="0.2">
      <c r="A254" s="58"/>
      <c r="B254" s="58"/>
      <c r="C254" s="59"/>
      <c r="D254" s="119"/>
    </row>
    <row r="255" spans="1:4" ht="22.5" customHeight="1" x14ac:dyDescent="0.2">
      <c r="A255" s="58"/>
      <c r="B255" s="58"/>
      <c r="C255" s="59"/>
      <c r="D255" s="119"/>
    </row>
    <row r="256" spans="1:4" ht="22.5" customHeight="1" x14ac:dyDescent="0.2">
      <c r="A256" s="58"/>
      <c r="B256" s="58"/>
      <c r="C256" s="59"/>
      <c r="D256" s="119"/>
    </row>
    <row r="257" spans="1:4" ht="22.5" customHeight="1" x14ac:dyDescent="0.2">
      <c r="A257" s="58"/>
      <c r="B257" s="58"/>
      <c r="C257" s="59"/>
      <c r="D257" s="119"/>
    </row>
    <row r="258" spans="1:4" ht="22.5" customHeight="1" x14ac:dyDescent="0.2">
      <c r="A258" s="58"/>
      <c r="B258" s="58"/>
      <c r="C258" s="59"/>
      <c r="D258" s="119"/>
    </row>
    <row r="259" spans="1:4" ht="22.5" customHeight="1" x14ac:dyDescent="0.2">
      <c r="A259" s="58"/>
      <c r="B259" s="58"/>
      <c r="C259" s="59"/>
      <c r="D259" s="119"/>
    </row>
    <row r="260" spans="1:4" ht="22.5" customHeight="1" x14ac:dyDescent="0.2">
      <c r="A260" s="58"/>
      <c r="B260" s="58"/>
      <c r="C260" s="59"/>
      <c r="D260" s="119"/>
    </row>
    <row r="261" spans="1:4" ht="22.5" customHeight="1" x14ac:dyDescent="0.2">
      <c r="A261" s="58"/>
      <c r="B261" s="58"/>
      <c r="C261" s="59"/>
      <c r="D261" s="119"/>
    </row>
    <row r="262" spans="1:4" ht="22.5" customHeight="1" x14ac:dyDescent="0.2">
      <c r="A262" s="58"/>
      <c r="B262" s="58"/>
      <c r="C262" s="59"/>
      <c r="D262" s="119"/>
    </row>
    <row r="263" spans="1:4" ht="22.5" customHeight="1" x14ac:dyDescent="0.2">
      <c r="A263" s="58"/>
      <c r="B263" s="58"/>
      <c r="C263" s="59"/>
      <c r="D263" s="119"/>
    </row>
    <row r="264" spans="1:4" ht="22.5" customHeight="1" x14ac:dyDescent="0.2">
      <c r="A264" s="58"/>
      <c r="B264" s="58"/>
      <c r="C264" s="59"/>
      <c r="D264" s="119"/>
    </row>
    <row r="265" spans="1:4" ht="22.5" customHeight="1" x14ac:dyDescent="0.2">
      <c r="A265" s="58"/>
      <c r="B265" s="58"/>
      <c r="C265" s="59"/>
      <c r="D265" s="119"/>
    </row>
    <row r="266" spans="1:4" ht="22.5" customHeight="1" x14ac:dyDescent="0.2">
      <c r="A266" s="58"/>
      <c r="B266" s="58"/>
      <c r="C266" s="59"/>
      <c r="D266" s="119"/>
    </row>
    <row r="267" spans="1:4" ht="22.5" customHeight="1" x14ac:dyDescent="0.2">
      <c r="A267" s="58"/>
      <c r="B267" s="58"/>
      <c r="C267" s="59"/>
      <c r="D267" s="119"/>
    </row>
    <row r="268" spans="1:4" ht="22.5" customHeight="1" x14ac:dyDescent="0.2">
      <c r="A268" s="58"/>
      <c r="B268" s="58"/>
      <c r="C268" s="59"/>
      <c r="D268" s="119"/>
    </row>
    <row r="269" spans="1:4" ht="22.5" customHeight="1" x14ac:dyDescent="0.2">
      <c r="A269" s="58"/>
      <c r="B269" s="58"/>
      <c r="C269" s="59"/>
      <c r="D269" s="119"/>
    </row>
    <row r="270" spans="1:4" ht="22.5" customHeight="1" x14ac:dyDescent="0.2">
      <c r="A270" s="58"/>
      <c r="B270" s="58"/>
      <c r="C270" s="59"/>
      <c r="D270" s="119"/>
    </row>
    <row r="271" spans="1:4" ht="22.5" customHeight="1" x14ac:dyDescent="0.2">
      <c r="A271" s="58"/>
      <c r="B271" s="58"/>
      <c r="C271" s="59"/>
      <c r="D271" s="119"/>
    </row>
    <row r="272" spans="1:4" ht="22.5" customHeight="1" x14ac:dyDescent="0.2">
      <c r="A272" s="58"/>
      <c r="B272" s="58"/>
      <c r="C272" s="59"/>
      <c r="D272" s="119"/>
    </row>
    <row r="273" spans="1:4" ht="22.5" customHeight="1" x14ac:dyDescent="0.2">
      <c r="A273" s="58"/>
      <c r="B273" s="58"/>
      <c r="C273" s="59"/>
      <c r="D273" s="119"/>
    </row>
    <row r="274" spans="1:4" ht="22.5" customHeight="1" x14ac:dyDescent="0.2">
      <c r="A274" s="58"/>
      <c r="B274" s="58"/>
      <c r="C274" s="59"/>
      <c r="D274" s="119"/>
    </row>
    <row r="275" spans="1:4" ht="22.5" customHeight="1" x14ac:dyDescent="0.2">
      <c r="A275" s="58"/>
      <c r="B275" s="58"/>
      <c r="C275" s="59"/>
      <c r="D275" s="119"/>
    </row>
    <row r="276" spans="1:4" ht="22.5" customHeight="1" x14ac:dyDescent="0.2">
      <c r="A276" s="58"/>
      <c r="B276" s="58"/>
      <c r="C276" s="59"/>
      <c r="D276" s="119"/>
    </row>
    <row r="277" spans="1:4" ht="22.5" customHeight="1" x14ac:dyDescent="0.2">
      <c r="A277" s="58"/>
      <c r="B277" s="58"/>
      <c r="C277" s="59"/>
      <c r="D277" s="119"/>
    </row>
    <row r="278" spans="1:4" ht="22.5" customHeight="1" x14ac:dyDescent="0.2">
      <c r="A278" s="58"/>
      <c r="B278" s="58"/>
      <c r="C278" s="59"/>
      <c r="D278" s="119"/>
    </row>
    <row r="279" spans="1:4" ht="22.5" customHeight="1" x14ac:dyDescent="0.2">
      <c r="A279" s="58"/>
      <c r="B279" s="58"/>
      <c r="C279" s="59"/>
      <c r="D279" s="119"/>
    </row>
    <row r="280" spans="1:4" ht="22.5" customHeight="1" x14ac:dyDescent="0.2">
      <c r="A280" s="58"/>
      <c r="B280" s="58"/>
      <c r="C280" s="59"/>
      <c r="D280" s="119"/>
    </row>
    <row r="281" spans="1:4" ht="22.5" customHeight="1" x14ac:dyDescent="0.2">
      <c r="A281" s="58"/>
      <c r="B281" s="58"/>
      <c r="C281" s="59"/>
      <c r="D281" s="119"/>
    </row>
    <row r="282" spans="1:4" ht="22.5" customHeight="1" x14ac:dyDescent="0.2">
      <c r="A282" s="58"/>
      <c r="B282" s="58"/>
      <c r="C282" s="59"/>
      <c r="D282" s="119"/>
    </row>
    <row r="283" spans="1:4" ht="22.5" customHeight="1" x14ac:dyDescent="0.2">
      <c r="A283" s="58"/>
      <c r="B283" s="58"/>
      <c r="C283" s="59"/>
      <c r="D283" s="119"/>
    </row>
    <row r="284" spans="1:4" ht="22.5" customHeight="1" x14ac:dyDescent="0.2">
      <c r="A284" s="58"/>
      <c r="B284" s="58"/>
      <c r="C284" s="59"/>
      <c r="D284" s="119"/>
    </row>
    <row r="285" spans="1:4" ht="22.5" customHeight="1" x14ac:dyDescent="0.2">
      <c r="A285" s="58"/>
      <c r="B285" s="58"/>
      <c r="C285" s="59"/>
      <c r="D285" s="119"/>
    </row>
    <row r="286" spans="1:4" ht="22.5" customHeight="1" x14ac:dyDescent="0.2">
      <c r="A286" s="58"/>
      <c r="B286" s="58"/>
      <c r="C286" s="59"/>
      <c r="D286" s="119"/>
    </row>
    <row r="287" spans="1:4" ht="22.5" customHeight="1" x14ac:dyDescent="0.2">
      <c r="A287" s="58"/>
      <c r="B287" s="58"/>
      <c r="C287" s="59"/>
      <c r="D287" s="119"/>
    </row>
    <row r="288" spans="1:4" ht="22.5" customHeight="1" x14ac:dyDescent="0.2">
      <c r="A288" s="58"/>
      <c r="B288" s="58"/>
      <c r="C288" s="59"/>
      <c r="D288" s="119"/>
    </row>
    <row r="289" spans="1:4" ht="22.5" customHeight="1" x14ac:dyDescent="0.2">
      <c r="A289" s="58"/>
      <c r="B289" s="58"/>
      <c r="C289" s="59"/>
      <c r="D289" s="119"/>
    </row>
    <row r="290" spans="1:4" ht="22.5" customHeight="1" x14ac:dyDescent="0.2">
      <c r="A290" s="58"/>
      <c r="B290" s="58"/>
      <c r="C290" s="59"/>
      <c r="D290" s="119"/>
    </row>
    <row r="291" spans="1:4" ht="22.5" customHeight="1" x14ac:dyDescent="0.2">
      <c r="A291" s="58"/>
      <c r="B291" s="58"/>
      <c r="C291" s="59"/>
      <c r="D291" s="119"/>
    </row>
    <row r="292" spans="1:4" ht="22.5" customHeight="1" x14ac:dyDescent="0.2">
      <c r="A292" s="58"/>
      <c r="B292" s="58"/>
      <c r="C292" s="59"/>
      <c r="D292" s="119"/>
    </row>
    <row r="293" spans="1:4" ht="22.5" customHeight="1" x14ac:dyDescent="0.2">
      <c r="A293" s="58"/>
      <c r="B293" s="58"/>
      <c r="C293" s="59"/>
      <c r="D293" s="119"/>
    </row>
    <row r="294" spans="1:4" ht="22.5" customHeight="1" x14ac:dyDescent="0.2">
      <c r="A294" s="58"/>
      <c r="B294" s="58"/>
      <c r="C294" s="59"/>
      <c r="D294" s="119"/>
    </row>
    <row r="295" spans="1:4" ht="22.5" customHeight="1" x14ac:dyDescent="0.2">
      <c r="A295" s="58"/>
      <c r="B295" s="58"/>
      <c r="C295" s="59"/>
      <c r="D295" s="119"/>
    </row>
    <row r="296" spans="1:4" ht="22.5" customHeight="1" x14ac:dyDescent="0.2">
      <c r="A296" s="59"/>
      <c r="B296" s="59"/>
      <c r="C296" s="59"/>
      <c r="D296" s="119"/>
    </row>
    <row r="297" spans="1:4" ht="22.5" customHeight="1" x14ac:dyDescent="0.2">
      <c r="A297" s="59"/>
      <c r="B297" s="59"/>
      <c r="C297" s="59"/>
      <c r="D297" s="119"/>
    </row>
    <row r="298" spans="1:4" ht="22.5" customHeight="1" x14ac:dyDescent="0.2">
      <c r="A298" s="59"/>
      <c r="B298" s="59"/>
      <c r="C298" s="59"/>
      <c r="D298" s="119"/>
    </row>
    <row r="299" spans="1:4" ht="22.5" customHeight="1" x14ac:dyDescent="0.2">
      <c r="A299" s="59"/>
      <c r="B299" s="59"/>
      <c r="C299" s="59"/>
      <c r="D299" s="119"/>
    </row>
    <row r="300" spans="1:4" ht="22.5" customHeight="1" x14ac:dyDescent="0.2">
      <c r="A300" s="59"/>
      <c r="B300" s="59"/>
      <c r="C300" s="59"/>
      <c r="D300" s="119"/>
    </row>
    <row r="301" spans="1:4" ht="22.5" customHeight="1" x14ac:dyDescent="0.2">
      <c r="A301" s="59"/>
      <c r="B301" s="59"/>
      <c r="C301" s="59"/>
      <c r="D301" s="119"/>
    </row>
    <row r="302" spans="1:4" ht="22.5" customHeight="1" x14ac:dyDescent="0.2">
      <c r="A302" s="59"/>
      <c r="B302" s="59"/>
      <c r="C302" s="59"/>
      <c r="D302" s="119"/>
    </row>
    <row r="303" spans="1:4" ht="22.5" customHeight="1" x14ac:dyDescent="0.2">
      <c r="A303" s="59"/>
      <c r="B303" s="59"/>
      <c r="C303" s="59"/>
      <c r="D303" s="119"/>
    </row>
    <row r="304" spans="1:4" ht="22.5" customHeight="1" x14ac:dyDescent="0.2">
      <c r="A304" s="59"/>
      <c r="B304" s="59"/>
      <c r="C304" s="59"/>
      <c r="D304" s="119"/>
    </row>
    <row r="305" spans="1:4" ht="22.5" customHeight="1" x14ac:dyDescent="0.2">
      <c r="A305" s="59"/>
      <c r="B305" s="59"/>
      <c r="C305" s="59"/>
      <c r="D305" s="119"/>
    </row>
    <row r="306" spans="1:4" ht="22.5" customHeight="1" x14ac:dyDescent="0.2">
      <c r="A306" s="59"/>
      <c r="B306" s="59"/>
      <c r="C306" s="59"/>
      <c r="D306" s="119"/>
    </row>
    <row r="307" spans="1:4" ht="22.5" customHeight="1" x14ac:dyDescent="0.2">
      <c r="A307" s="59"/>
      <c r="B307" s="59"/>
      <c r="C307" s="59"/>
      <c r="D307" s="119"/>
    </row>
    <row r="308" spans="1:4" ht="22.5" customHeight="1" x14ac:dyDescent="0.2">
      <c r="A308" s="59"/>
      <c r="B308" s="59"/>
      <c r="C308" s="59"/>
      <c r="D308" s="119"/>
    </row>
    <row r="309" spans="1:4" ht="22.5" customHeight="1" x14ac:dyDescent="0.2">
      <c r="A309" s="59"/>
      <c r="B309" s="59"/>
      <c r="C309" s="59"/>
      <c r="D309" s="119"/>
    </row>
    <row r="310" spans="1:4" ht="22.5" customHeight="1" x14ac:dyDescent="0.2">
      <c r="A310" s="59"/>
      <c r="B310" s="59"/>
      <c r="C310" s="59"/>
      <c r="D310" s="119"/>
    </row>
    <row r="311" spans="1:4" ht="22.5" customHeight="1" x14ac:dyDescent="0.2">
      <c r="A311" s="59"/>
      <c r="B311" s="59"/>
      <c r="C311" s="59"/>
      <c r="D311" s="119"/>
    </row>
    <row r="312" spans="1:4" ht="22.5" customHeight="1" x14ac:dyDescent="0.2">
      <c r="A312" s="59"/>
      <c r="B312" s="59"/>
      <c r="C312" s="59"/>
      <c r="D312" s="119"/>
    </row>
    <row r="313" spans="1:4" ht="22.5" customHeight="1" x14ac:dyDescent="0.2">
      <c r="A313" s="59"/>
      <c r="B313" s="59"/>
      <c r="C313" s="59"/>
      <c r="D313" s="119"/>
    </row>
    <row r="314" spans="1:4" ht="22.5" customHeight="1" x14ac:dyDescent="0.2">
      <c r="A314" s="59"/>
      <c r="B314" s="59"/>
      <c r="C314" s="59"/>
      <c r="D314" s="119"/>
    </row>
    <row r="315" spans="1:4" ht="22.5" customHeight="1" x14ac:dyDescent="0.2">
      <c r="A315" s="59"/>
      <c r="B315" s="59"/>
      <c r="C315" s="59"/>
      <c r="D315" s="119"/>
    </row>
    <row r="316" spans="1:4" ht="22.5" customHeight="1" x14ac:dyDescent="0.2">
      <c r="A316" s="59"/>
      <c r="B316" s="59"/>
      <c r="C316" s="59"/>
      <c r="D316" s="119"/>
    </row>
    <row r="317" spans="1:4" ht="22.5" customHeight="1" x14ac:dyDescent="0.2">
      <c r="A317" s="59"/>
      <c r="B317" s="59"/>
      <c r="C317" s="59"/>
      <c r="D317" s="119"/>
    </row>
    <row r="318" spans="1:4" ht="22.5" customHeight="1" x14ac:dyDescent="0.2">
      <c r="A318" s="59"/>
      <c r="B318" s="59"/>
      <c r="C318" s="59"/>
      <c r="D318" s="119"/>
    </row>
    <row r="319" spans="1:4" ht="22.5" customHeight="1" x14ac:dyDescent="0.2">
      <c r="A319" s="59"/>
      <c r="B319" s="59"/>
      <c r="C319" s="59"/>
      <c r="D319" s="119"/>
    </row>
    <row r="320" spans="1:4" ht="22.5" customHeight="1" x14ac:dyDescent="0.2">
      <c r="A320" s="59"/>
      <c r="B320" s="59"/>
      <c r="C320" s="59"/>
      <c r="D320" s="119"/>
    </row>
    <row r="321" spans="1:4" ht="22.5" customHeight="1" x14ac:dyDescent="0.2">
      <c r="A321" s="59"/>
      <c r="B321" s="59"/>
      <c r="C321" s="59"/>
      <c r="D321" s="119"/>
    </row>
    <row r="322" spans="1:4" ht="22.5" customHeight="1" x14ac:dyDescent="0.2">
      <c r="A322" s="59"/>
      <c r="B322" s="59"/>
      <c r="C322" s="59"/>
      <c r="D322" s="119"/>
    </row>
    <row r="323" spans="1:4" ht="22.5" customHeight="1" x14ac:dyDescent="0.2">
      <c r="A323" s="59"/>
      <c r="B323" s="59"/>
      <c r="C323" s="59"/>
      <c r="D323" s="119"/>
    </row>
    <row r="324" spans="1:4" ht="22.5" customHeight="1" x14ac:dyDescent="0.2">
      <c r="A324" s="59"/>
      <c r="B324" s="59"/>
      <c r="C324" s="59"/>
      <c r="D324" s="119"/>
    </row>
    <row r="325" spans="1:4" ht="22.5" customHeight="1" x14ac:dyDescent="0.2">
      <c r="A325" s="59"/>
      <c r="B325" s="59"/>
      <c r="C325" s="59"/>
      <c r="D325" s="119"/>
    </row>
    <row r="326" spans="1:4" ht="22.5" customHeight="1" x14ac:dyDescent="0.2">
      <c r="A326" s="59"/>
      <c r="B326" s="59"/>
      <c r="C326" s="59"/>
      <c r="D326" s="119"/>
    </row>
    <row r="327" spans="1:4" ht="22.5" customHeight="1" x14ac:dyDescent="0.2">
      <c r="A327" s="59"/>
      <c r="B327" s="59"/>
      <c r="C327" s="59"/>
      <c r="D327" s="119"/>
    </row>
    <row r="328" spans="1:4" ht="22.5" customHeight="1" x14ac:dyDescent="0.2">
      <c r="A328" s="59"/>
      <c r="B328" s="59"/>
      <c r="C328" s="59"/>
      <c r="D328" s="119"/>
    </row>
    <row r="329" spans="1:4" ht="22.5" customHeight="1" x14ac:dyDescent="0.2">
      <c r="A329" s="59"/>
      <c r="B329" s="59"/>
      <c r="C329" s="59"/>
      <c r="D329" s="119"/>
    </row>
    <row r="330" spans="1:4" ht="22.5" customHeight="1" x14ac:dyDescent="0.2">
      <c r="A330" s="59"/>
      <c r="B330" s="59"/>
      <c r="C330" s="59"/>
      <c r="D330" s="119"/>
    </row>
    <row r="331" spans="1:4" ht="22.5" customHeight="1" x14ac:dyDescent="0.2">
      <c r="A331" s="59"/>
      <c r="B331" s="59"/>
      <c r="C331" s="59"/>
      <c r="D331" s="119"/>
    </row>
    <row r="332" spans="1:4" ht="22.5" customHeight="1" x14ac:dyDescent="0.2">
      <c r="A332" s="59"/>
      <c r="B332" s="59"/>
      <c r="C332" s="59"/>
      <c r="D332" s="119"/>
    </row>
    <row r="333" spans="1:4" ht="22.5" customHeight="1" x14ac:dyDescent="0.2">
      <c r="A333" s="59"/>
      <c r="B333" s="59"/>
      <c r="C333" s="59"/>
      <c r="D333" s="119"/>
    </row>
    <row r="334" spans="1:4" ht="22.5" customHeight="1" x14ac:dyDescent="0.2">
      <c r="A334" s="59"/>
      <c r="B334" s="59"/>
      <c r="C334" s="59"/>
      <c r="D334" s="119"/>
    </row>
    <row r="335" spans="1:4" ht="22.5" customHeight="1" x14ac:dyDescent="0.2">
      <c r="A335" s="59"/>
      <c r="B335" s="59"/>
      <c r="C335" s="59"/>
      <c r="D335" s="119"/>
    </row>
    <row r="336" spans="1:4" ht="22.5" customHeight="1" x14ac:dyDescent="0.2">
      <c r="A336" s="60"/>
      <c r="B336" s="60"/>
      <c r="C336" s="60"/>
      <c r="D336" s="119"/>
    </row>
    <row r="337" spans="1:4" ht="22.5" customHeight="1" x14ac:dyDescent="0.2">
      <c r="A337" s="60"/>
      <c r="B337" s="60"/>
      <c r="C337" s="60"/>
      <c r="D337" s="119"/>
    </row>
    <row r="338" spans="1:4" ht="22.5" customHeight="1" x14ac:dyDescent="0.2">
      <c r="A338" s="60"/>
      <c r="B338" s="60"/>
      <c r="C338" s="60"/>
      <c r="D338" s="119"/>
    </row>
    <row r="339" spans="1:4" ht="22.5" customHeight="1" x14ac:dyDescent="0.2">
      <c r="A339" s="60"/>
      <c r="B339" s="60"/>
      <c r="C339" s="60"/>
      <c r="D339" s="119"/>
    </row>
    <row r="340" spans="1:4" ht="22.5" customHeight="1" x14ac:dyDescent="0.2">
      <c r="A340" s="60"/>
      <c r="B340" s="60"/>
      <c r="C340" s="60"/>
      <c r="D340" s="119"/>
    </row>
    <row r="341" spans="1:4" ht="22.5" customHeight="1" x14ac:dyDescent="0.2">
      <c r="A341" s="60"/>
      <c r="B341" s="60"/>
      <c r="C341" s="60"/>
      <c r="D341" s="119"/>
    </row>
    <row r="342" spans="1:4" ht="22.5" customHeight="1" x14ac:dyDescent="0.2">
      <c r="A342" s="60"/>
      <c r="B342" s="60"/>
      <c r="C342" s="60"/>
      <c r="D342" s="119"/>
    </row>
    <row r="343" spans="1:4" ht="22.5" customHeight="1" x14ac:dyDescent="0.2">
      <c r="A343" s="60"/>
      <c r="B343" s="60"/>
      <c r="C343" s="60"/>
      <c r="D343" s="119"/>
    </row>
    <row r="344" spans="1:4" ht="22.5" customHeight="1" x14ac:dyDescent="0.2">
      <c r="A344" s="59"/>
      <c r="B344" s="59"/>
      <c r="C344" s="59"/>
      <c r="D344" s="119"/>
    </row>
    <row r="345" spans="1:4" ht="22.5" customHeight="1" x14ac:dyDescent="0.2">
      <c r="A345" s="59"/>
      <c r="B345" s="59"/>
      <c r="C345" s="59"/>
      <c r="D345" s="119"/>
    </row>
    <row r="346" spans="1:4" ht="22.5" customHeight="1" x14ac:dyDescent="0.2">
      <c r="A346" s="59"/>
      <c r="B346" s="59"/>
      <c r="C346" s="59"/>
      <c r="D346" s="119"/>
    </row>
    <row r="347" spans="1:4" ht="22.5" customHeight="1" x14ac:dyDescent="0.2">
      <c r="A347" s="59"/>
      <c r="B347" s="59"/>
      <c r="C347" s="59"/>
      <c r="D347" s="119"/>
    </row>
    <row r="348" spans="1:4" ht="22.5" customHeight="1" x14ac:dyDescent="0.2">
      <c r="A348" s="59"/>
      <c r="B348" s="59"/>
      <c r="C348" s="59"/>
      <c r="D348" s="119"/>
    </row>
    <row r="349" spans="1:4" ht="22.5" customHeight="1" x14ac:dyDescent="0.2">
      <c r="A349" s="59"/>
      <c r="B349" s="59"/>
      <c r="C349" s="59"/>
      <c r="D349" s="119"/>
    </row>
    <row r="350" spans="1:4" ht="22.5" customHeight="1" x14ac:dyDescent="0.2">
      <c r="A350" s="59"/>
      <c r="B350" s="59"/>
      <c r="C350" s="59"/>
      <c r="D350" s="119"/>
    </row>
    <row r="351" spans="1:4" ht="22.5" customHeight="1" x14ac:dyDescent="0.2">
      <c r="A351" s="59"/>
      <c r="B351" s="59"/>
      <c r="C351" s="59"/>
      <c r="D351" s="119"/>
    </row>
    <row r="352" spans="1:4" ht="22.5" customHeight="1" x14ac:dyDescent="0.2">
      <c r="A352" s="59"/>
      <c r="B352" s="59"/>
      <c r="C352" s="59"/>
      <c r="D352" s="119"/>
    </row>
    <row r="353" spans="1:4" ht="22.5" customHeight="1" x14ac:dyDescent="0.2">
      <c r="A353" s="59"/>
      <c r="B353" s="59"/>
      <c r="C353" s="59"/>
      <c r="D353" s="119"/>
    </row>
    <row r="354" spans="1:4" ht="22.5" customHeight="1" x14ac:dyDescent="0.2">
      <c r="A354" s="59"/>
      <c r="B354" s="59"/>
      <c r="C354" s="59"/>
      <c r="D354" s="119"/>
    </row>
    <row r="355" spans="1:4" ht="22.5" customHeight="1" x14ac:dyDescent="0.2">
      <c r="A355" s="59"/>
      <c r="B355" s="59"/>
      <c r="C355" s="59"/>
      <c r="D355" s="119"/>
    </row>
    <row r="356" spans="1:4" ht="22.5" customHeight="1" x14ac:dyDescent="0.2">
      <c r="A356" s="59"/>
      <c r="B356" s="59"/>
      <c r="C356" s="59"/>
      <c r="D356" s="119"/>
    </row>
    <row r="357" spans="1:4" ht="22.5" customHeight="1" x14ac:dyDescent="0.2">
      <c r="A357" s="59"/>
      <c r="B357" s="59"/>
      <c r="C357" s="59"/>
      <c r="D357" s="119"/>
    </row>
    <row r="358" spans="1:4" ht="22.5" customHeight="1" x14ac:dyDescent="0.2">
      <c r="A358" s="59"/>
      <c r="B358" s="59"/>
      <c r="C358" s="59"/>
      <c r="D358" s="119"/>
    </row>
    <row r="359" spans="1:4" ht="22.5" customHeight="1" x14ac:dyDescent="0.2">
      <c r="A359" s="59"/>
      <c r="B359" s="59"/>
      <c r="C359" s="59"/>
      <c r="D359" s="119"/>
    </row>
    <row r="360" spans="1:4" ht="22.5" customHeight="1" x14ac:dyDescent="0.2">
      <c r="A360" s="59"/>
      <c r="B360" s="59"/>
      <c r="C360" s="59"/>
      <c r="D360" s="119"/>
    </row>
    <row r="361" spans="1:4" ht="22.5" customHeight="1" x14ac:dyDescent="0.2">
      <c r="A361" s="59"/>
      <c r="B361" s="59"/>
      <c r="C361" s="59"/>
      <c r="D361" s="119"/>
    </row>
    <row r="362" spans="1:4" ht="22.5" customHeight="1" x14ac:dyDescent="0.2">
      <c r="A362" s="59"/>
      <c r="B362" s="59"/>
      <c r="C362" s="59"/>
      <c r="D362" s="119"/>
    </row>
    <row r="363" spans="1:4" ht="22.5" customHeight="1" x14ac:dyDescent="0.2">
      <c r="A363" s="59"/>
      <c r="B363" s="59"/>
      <c r="C363" s="59"/>
      <c r="D363" s="119"/>
    </row>
    <row r="364" spans="1:4" ht="22.5" customHeight="1" x14ac:dyDescent="0.2">
      <c r="A364" s="59"/>
      <c r="B364" s="59"/>
      <c r="C364" s="59"/>
      <c r="D364" s="119"/>
    </row>
    <row r="365" spans="1:4" ht="22.5" customHeight="1" x14ac:dyDescent="0.2">
      <c r="A365" s="59"/>
      <c r="B365" s="59"/>
      <c r="C365" s="59"/>
      <c r="D365" s="119"/>
    </row>
    <row r="366" spans="1:4" ht="22.5" customHeight="1" x14ac:dyDescent="0.2">
      <c r="A366" s="59"/>
      <c r="B366" s="59"/>
      <c r="C366" s="59"/>
      <c r="D366" s="119"/>
    </row>
    <row r="367" spans="1:4" ht="22.5" customHeight="1" x14ac:dyDescent="0.2">
      <c r="A367" s="59"/>
      <c r="B367" s="59"/>
      <c r="C367" s="59"/>
      <c r="D367" s="119"/>
    </row>
    <row r="368" spans="1:4" ht="22.5" customHeight="1" x14ac:dyDescent="0.2">
      <c r="A368" s="59"/>
      <c r="B368" s="59"/>
      <c r="C368" s="59"/>
      <c r="D368" s="119"/>
    </row>
    <row r="369" spans="1:4" ht="22.5" customHeight="1" x14ac:dyDescent="0.2">
      <c r="A369" s="59"/>
      <c r="B369" s="59"/>
      <c r="C369" s="59"/>
      <c r="D369" s="119"/>
    </row>
    <row r="370" spans="1:4" ht="22.5" customHeight="1" x14ac:dyDescent="0.2">
      <c r="A370" s="59"/>
      <c r="B370" s="59"/>
      <c r="C370" s="59"/>
      <c r="D370" s="119"/>
    </row>
    <row r="371" spans="1:4" ht="22.5" customHeight="1" x14ac:dyDescent="0.2">
      <c r="A371" s="59"/>
      <c r="B371" s="59"/>
      <c r="C371" s="59"/>
      <c r="D371" s="119"/>
    </row>
    <row r="372" spans="1:4" ht="22.5" customHeight="1" x14ac:dyDescent="0.2">
      <c r="A372" s="59"/>
      <c r="B372" s="59"/>
      <c r="C372" s="59"/>
      <c r="D372" s="119"/>
    </row>
    <row r="373" spans="1:4" ht="22.5" customHeight="1" x14ac:dyDescent="0.2">
      <c r="A373" s="59"/>
      <c r="B373" s="59"/>
      <c r="C373" s="59"/>
      <c r="D373" s="119"/>
    </row>
    <row r="374" spans="1:4" ht="22.5" customHeight="1" x14ac:dyDescent="0.2">
      <c r="A374" s="59"/>
      <c r="B374" s="59"/>
      <c r="C374" s="59"/>
      <c r="D374" s="119"/>
    </row>
    <row r="375" spans="1:4" ht="22.5" customHeight="1" x14ac:dyDescent="0.2">
      <c r="A375" s="59"/>
      <c r="B375" s="59"/>
      <c r="C375" s="59"/>
      <c r="D375" s="119"/>
    </row>
    <row r="376" spans="1:4" ht="22.5" customHeight="1" x14ac:dyDescent="0.2">
      <c r="A376" s="59"/>
      <c r="B376" s="59"/>
      <c r="C376" s="59"/>
      <c r="D376" s="119"/>
    </row>
    <row r="377" spans="1:4" ht="22.5" customHeight="1" x14ac:dyDescent="0.2">
      <c r="A377" s="59"/>
      <c r="B377" s="59"/>
      <c r="C377" s="59"/>
      <c r="D377" s="119"/>
    </row>
    <row r="378" spans="1:4" ht="22.5" customHeight="1" x14ac:dyDescent="0.2">
      <c r="A378" s="59"/>
      <c r="B378" s="59"/>
      <c r="C378" s="59"/>
      <c r="D378" s="119"/>
    </row>
    <row r="379" spans="1:4" ht="22.5" customHeight="1" x14ac:dyDescent="0.2">
      <c r="A379" s="59"/>
      <c r="B379" s="59"/>
      <c r="C379" s="59"/>
      <c r="D379" s="119"/>
    </row>
    <row r="380" spans="1:4" ht="22.5" customHeight="1" x14ac:dyDescent="0.2">
      <c r="A380" s="59"/>
      <c r="B380" s="59"/>
      <c r="C380" s="59"/>
      <c r="D380" s="119"/>
    </row>
    <row r="381" spans="1:4" ht="22.5" customHeight="1" x14ac:dyDescent="0.2">
      <c r="A381" s="59"/>
      <c r="B381" s="59"/>
      <c r="C381" s="59"/>
      <c r="D381" s="119"/>
    </row>
    <row r="382" spans="1:4" ht="22.5" customHeight="1" x14ac:dyDescent="0.2">
      <c r="A382" s="59"/>
      <c r="B382" s="59"/>
      <c r="C382" s="59"/>
      <c r="D382" s="119"/>
    </row>
    <row r="383" spans="1:4" ht="22.5" customHeight="1" x14ac:dyDescent="0.2">
      <c r="A383" s="59"/>
      <c r="B383" s="59"/>
      <c r="C383" s="59"/>
      <c r="D383" s="119"/>
    </row>
    <row r="384" spans="1:4" ht="22.5" customHeight="1" x14ac:dyDescent="0.2">
      <c r="A384" s="59"/>
      <c r="B384" s="59"/>
      <c r="C384" s="59"/>
      <c r="D384" s="119"/>
    </row>
    <row r="385" spans="1:4" ht="22.5" customHeight="1" x14ac:dyDescent="0.2">
      <c r="A385" s="59"/>
      <c r="B385" s="59"/>
      <c r="C385" s="59"/>
      <c r="D385" s="119"/>
    </row>
    <row r="386" spans="1:4" ht="22.5" customHeight="1" x14ac:dyDescent="0.2">
      <c r="A386" s="59"/>
      <c r="B386" s="59"/>
      <c r="C386" s="59"/>
      <c r="D386" s="119"/>
    </row>
    <row r="387" spans="1:4" ht="22.5" customHeight="1" x14ac:dyDescent="0.2">
      <c r="A387" s="59"/>
      <c r="B387" s="59"/>
      <c r="C387" s="59"/>
      <c r="D387" s="119"/>
    </row>
    <row r="388" spans="1:4" ht="22.5" customHeight="1" x14ac:dyDescent="0.2">
      <c r="A388" s="59"/>
      <c r="B388" s="59"/>
      <c r="C388" s="59"/>
      <c r="D388" s="119"/>
    </row>
    <row r="389" spans="1:4" ht="22.5" customHeight="1" x14ac:dyDescent="0.2">
      <c r="A389" s="59"/>
      <c r="B389" s="59"/>
      <c r="C389" s="59"/>
      <c r="D389" s="119"/>
    </row>
    <row r="390" spans="1:4" ht="22.5" customHeight="1" x14ac:dyDescent="0.2">
      <c r="A390" s="59"/>
      <c r="B390" s="59"/>
      <c r="C390" s="59"/>
      <c r="D390" s="119"/>
    </row>
    <row r="391" spans="1:4" ht="22.5" customHeight="1" x14ac:dyDescent="0.2">
      <c r="A391" s="59"/>
      <c r="B391" s="59"/>
      <c r="C391" s="59"/>
      <c r="D391" s="119"/>
    </row>
    <row r="392" spans="1:4" ht="22.5" customHeight="1" x14ac:dyDescent="0.2">
      <c r="A392" s="59"/>
      <c r="B392" s="59"/>
      <c r="C392" s="59"/>
      <c r="D392" s="119"/>
    </row>
    <row r="393" spans="1:4" ht="22.5" customHeight="1" x14ac:dyDescent="0.2">
      <c r="A393" s="59"/>
      <c r="B393" s="59"/>
      <c r="C393" s="59"/>
      <c r="D393" s="119"/>
    </row>
    <row r="394" spans="1:4" ht="22.5" customHeight="1" x14ac:dyDescent="0.2">
      <c r="A394" s="59"/>
      <c r="B394" s="59"/>
      <c r="C394" s="59"/>
      <c r="D394" s="119"/>
    </row>
    <row r="395" spans="1:4" ht="22.5" customHeight="1" x14ac:dyDescent="0.2">
      <c r="A395" s="59"/>
      <c r="B395" s="59"/>
      <c r="C395" s="59"/>
      <c r="D395" s="119"/>
    </row>
    <row r="396" spans="1:4" ht="22.5" customHeight="1" x14ac:dyDescent="0.2">
      <c r="A396" s="59"/>
      <c r="B396" s="59"/>
      <c r="C396" s="59"/>
      <c r="D396" s="119"/>
    </row>
    <row r="397" spans="1:4" ht="22.5" customHeight="1" x14ac:dyDescent="0.2">
      <c r="A397" s="59"/>
      <c r="B397" s="59"/>
      <c r="C397" s="59"/>
      <c r="D397" s="119"/>
    </row>
    <row r="398" spans="1:4" ht="22.5" customHeight="1" x14ac:dyDescent="0.2">
      <c r="A398" s="59"/>
      <c r="B398" s="59"/>
      <c r="C398" s="59"/>
      <c r="D398" s="119"/>
    </row>
    <row r="399" spans="1:4" ht="22.5" customHeight="1" x14ac:dyDescent="0.2">
      <c r="A399" s="59"/>
      <c r="B399" s="59"/>
      <c r="C399" s="59"/>
      <c r="D399" s="119"/>
    </row>
    <row r="400" spans="1:4" ht="22.5" customHeight="1" x14ac:dyDescent="0.2">
      <c r="A400" s="59"/>
      <c r="B400" s="59"/>
      <c r="C400" s="59"/>
      <c r="D400" s="119"/>
    </row>
    <row r="401" spans="1:4" ht="22.5" customHeight="1" x14ac:dyDescent="0.2">
      <c r="A401" s="59"/>
      <c r="B401" s="59"/>
      <c r="C401" s="59"/>
      <c r="D401" s="119"/>
    </row>
    <row r="402" spans="1:4" ht="22.5" customHeight="1" x14ac:dyDescent="0.2">
      <c r="A402" s="59"/>
      <c r="B402" s="59"/>
      <c r="C402" s="59"/>
      <c r="D402" s="119"/>
    </row>
    <row r="403" spans="1:4" ht="22.5" customHeight="1" x14ac:dyDescent="0.2">
      <c r="A403" s="59"/>
      <c r="B403" s="59"/>
      <c r="C403" s="59"/>
      <c r="D403" s="119"/>
    </row>
    <row r="404" spans="1:4" ht="22.5" customHeight="1" x14ac:dyDescent="0.2">
      <c r="A404" s="59"/>
      <c r="B404" s="59"/>
      <c r="C404" s="59"/>
      <c r="D404" s="119"/>
    </row>
    <row r="405" spans="1:4" ht="22.5" customHeight="1" x14ac:dyDescent="0.2">
      <c r="A405" s="59"/>
      <c r="B405" s="59"/>
      <c r="C405" s="59"/>
      <c r="D405" s="119"/>
    </row>
    <row r="406" spans="1:4" ht="22.5" customHeight="1" x14ac:dyDescent="0.2">
      <c r="A406" s="59"/>
      <c r="B406" s="59"/>
      <c r="C406" s="59"/>
      <c r="D406" s="119"/>
    </row>
    <row r="407" spans="1:4" ht="22.5" customHeight="1" x14ac:dyDescent="0.2">
      <c r="A407" s="59"/>
      <c r="B407" s="59"/>
      <c r="C407" s="59"/>
      <c r="D407" s="119"/>
    </row>
    <row r="408" spans="1:4" ht="22.5" customHeight="1" x14ac:dyDescent="0.2">
      <c r="A408" s="59"/>
      <c r="B408" s="59"/>
      <c r="C408" s="59"/>
      <c r="D408" s="119"/>
    </row>
    <row r="409" spans="1:4" ht="22.5" customHeight="1" x14ac:dyDescent="0.2">
      <c r="A409" s="59"/>
      <c r="B409" s="59"/>
      <c r="C409" s="59"/>
      <c r="D409" s="119"/>
    </row>
    <row r="410" spans="1:4" ht="22.5" customHeight="1" x14ac:dyDescent="0.2">
      <c r="A410" s="59"/>
      <c r="B410" s="59"/>
      <c r="C410" s="59"/>
      <c r="D410" s="119"/>
    </row>
    <row r="411" spans="1:4" ht="22.5" customHeight="1" x14ac:dyDescent="0.2">
      <c r="A411" s="59"/>
      <c r="B411" s="59"/>
      <c r="C411" s="59"/>
      <c r="D411" s="119"/>
    </row>
    <row r="412" spans="1:4" ht="22.5" customHeight="1" x14ac:dyDescent="0.2">
      <c r="A412" s="59"/>
      <c r="B412" s="59"/>
      <c r="C412" s="59"/>
      <c r="D412" s="119"/>
    </row>
    <row r="413" spans="1:4" ht="22.5" customHeight="1" x14ac:dyDescent="0.2">
      <c r="A413" s="59"/>
      <c r="B413" s="59"/>
      <c r="C413" s="59"/>
      <c r="D413" s="119"/>
    </row>
    <row r="414" spans="1:4" ht="22.5" customHeight="1" x14ac:dyDescent="0.2">
      <c r="A414" s="59"/>
      <c r="B414" s="59"/>
      <c r="C414" s="59"/>
      <c r="D414" s="119"/>
    </row>
    <row r="415" spans="1:4" ht="22.5" customHeight="1" x14ac:dyDescent="0.2">
      <c r="A415" s="59"/>
      <c r="B415" s="59"/>
      <c r="C415" s="59"/>
      <c r="D415" s="119"/>
    </row>
    <row r="416" spans="1:4" ht="22.5" customHeight="1" x14ac:dyDescent="0.2">
      <c r="A416" s="59"/>
      <c r="B416" s="59"/>
      <c r="C416" s="59"/>
      <c r="D416" s="119"/>
    </row>
    <row r="417" spans="1:4" ht="22.5" customHeight="1" x14ac:dyDescent="0.2">
      <c r="A417" s="59"/>
      <c r="B417" s="59"/>
      <c r="C417" s="59"/>
      <c r="D417" s="119"/>
    </row>
    <row r="418" spans="1:4" ht="22.5" customHeight="1" x14ac:dyDescent="0.2">
      <c r="A418" s="59"/>
      <c r="B418" s="59"/>
      <c r="C418" s="59"/>
      <c r="D418" s="119"/>
    </row>
    <row r="419" spans="1:4" ht="22.5" customHeight="1" x14ac:dyDescent="0.2">
      <c r="A419" s="59"/>
      <c r="B419" s="59"/>
      <c r="C419" s="59"/>
      <c r="D419" s="119"/>
    </row>
    <row r="420" spans="1:4" ht="22.5" customHeight="1" x14ac:dyDescent="0.2">
      <c r="A420" s="59"/>
      <c r="B420" s="59"/>
      <c r="C420" s="59"/>
      <c r="D420" s="119"/>
    </row>
    <row r="421" spans="1:4" ht="22.5" customHeight="1" x14ac:dyDescent="0.2">
      <c r="A421" s="59"/>
      <c r="B421" s="59"/>
      <c r="C421" s="59"/>
      <c r="D421" s="119"/>
    </row>
    <row r="422" spans="1:4" ht="22.5" customHeight="1" x14ac:dyDescent="0.2">
      <c r="A422" s="59"/>
      <c r="B422" s="59"/>
      <c r="C422" s="59"/>
      <c r="D422" s="119"/>
    </row>
    <row r="423" spans="1:4" ht="22.5" customHeight="1" x14ac:dyDescent="0.2">
      <c r="A423" s="59"/>
      <c r="B423" s="59"/>
      <c r="C423" s="59"/>
      <c r="D423" s="119"/>
    </row>
    <row r="424" spans="1:4" ht="22.5" customHeight="1" x14ac:dyDescent="0.2">
      <c r="A424" s="59"/>
      <c r="B424" s="59"/>
      <c r="C424" s="59"/>
      <c r="D424" s="119"/>
    </row>
    <row r="425" spans="1:4" ht="22.5" customHeight="1" x14ac:dyDescent="0.2">
      <c r="A425" s="59"/>
      <c r="B425" s="59"/>
      <c r="C425" s="59"/>
      <c r="D425" s="119"/>
    </row>
    <row r="426" spans="1:4" ht="22.5" customHeight="1" x14ac:dyDescent="0.2">
      <c r="A426" s="59"/>
      <c r="B426" s="59"/>
      <c r="C426" s="59"/>
      <c r="D426" s="119"/>
    </row>
    <row r="427" spans="1:4" ht="22.5" customHeight="1" x14ac:dyDescent="0.2">
      <c r="A427" s="59"/>
      <c r="B427" s="59"/>
      <c r="C427" s="59"/>
      <c r="D427" s="119"/>
    </row>
    <row r="428" spans="1:4" ht="22.5" customHeight="1" x14ac:dyDescent="0.2">
      <c r="A428" s="59"/>
      <c r="B428" s="59"/>
      <c r="C428" s="59"/>
      <c r="D428" s="119"/>
    </row>
    <row r="429" spans="1:4" ht="22.5" customHeight="1" x14ac:dyDescent="0.2">
      <c r="A429" s="59"/>
      <c r="B429" s="59"/>
      <c r="C429" s="59"/>
      <c r="D429" s="119"/>
    </row>
    <row r="430" spans="1:4" ht="22.5" customHeight="1" x14ac:dyDescent="0.2">
      <c r="A430" s="59"/>
      <c r="B430" s="59"/>
      <c r="C430" s="59"/>
      <c r="D430" s="119"/>
    </row>
    <row r="431" spans="1:4" ht="22.5" customHeight="1" x14ac:dyDescent="0.2">
      <c r="A431" s="59"/>
      <c r="B431" s="59"/>
      <c r="C431" s="59"/>
      <c r="D431" s="119"/>
    </row>
    <row r="432" spans="1:4" ht="22.5" customHeight="1" x14ac:dyDescent="0.2">
      <c r="A432" s="59"/>
      <c r="B432" s="59"/>
      <c r="C432" s="59"/>
      <c r="D432" s="119"/>
    </row>
    <row r="433" spans="1:4" ht="22.5" customHeight="1" x14ac:dyDescent="0.2">
      <c r="A433" s="59"/>
      <c r="B433" s="59"/>
      <c r="C433" s="59"/>
      <c r="D433" s="119"/>
    </row>
    <row r="434" spans="1:4" ht="22.5" customHeight="1" x14ac:dyDescent="0.2">
      <c r="A434" s="59"/>
      <c r="B434" s="59"/>
      <c r="C434" s="59"/>
      <c r="D434" s="119"/>
    </row>
    <row r="435" spans="1:4" ht="22.5" customHeight="1" x14ac:dyDescent="0.2">
      <c r="A435" s="59"/>
      <c r="B435" s="59"/>
      <c r="C435" s="59"/>
      <c r="D435" s="119"/>
    </row>
    <row r="436" spans="1:4" ht="22.5" customHeight="1" x14ac:dyDescent="0.2">
      <c r="A436" s="59"/>
      <c r="B436" s="59"/>
      <c r="C436" s="59"/>
      <c r="D436" s="119"/>
    </row>
    <row r="437" spans="1:4" ht="22.5" customHeight="1" x14ac:dyDescent="0.2">
      <c r="A437" s="59"/>
      <c r="B437" s="59"/>
      <c r="C437" s="59"/>
      <c r="D437" s="119"/>
    </row>
    <row r="438" spans="1:4" ht="22.5" customHeight="1" x14ac:dyDescent="0.2">
      <c r="A438" s="58"/>
      <c r="B438" s="58"/>
      <c r="C438" s="58"/>
      <c r="D438" s="119"/>
    </row>
    <row r="439" spans="1:4" ht="22.5" customHeight="1" x14ac:dyDescent="0.2">
      <c r="A439" s="58"/>
      <c r="B439" s="58"/>
      <c r="C439" s="58"/>
      <c r="D439" s="119"/>
    </row>
    <row r="440" spans="1:4" ht="22.5" customHeight="1" x14ac:dyDescent="0.2">
      <c r="A440" s="58"/>
      <c r="B440" s="58"/>
      <c r="C440" s="58"/>
      <c r="D440" s="119"/>
    </row>
    <row r="441" spans="1:4" ht="22.5" customHeight="1" x14ac:dyDescent="0.2">
      <c r="A441" s="58"/>
      <c r="B441" s="58"/>
      <c r="C441" s="58"/>
      <c r="D441" s="119"/>
    </row>
    <row r="442" spans="1:4" ht="22.5" customHeight="1" x14ac:dyDescent="0.2">
      <c r="A442" s="58"/>
      <c r="B442" s="58"/>
      <c r="C442" s="58"/>
      <c r="D442" s="119"/>
    </row>
    <row r="443" spans="1:4" ht="22.5" customHeight="1" x14ac:dyDescent="0.2">
      <c r="A443" s="58"/>
      <c r="B443" s="58"/>
      <c r="C443" s="58"/>
      <c r="D443" s="119"/>
    </row>
    <row r="444" spans="1:4" ht="22.5" customHeight="1" x14ac:dyDescent="0.2">
      <c r="A444" s="58"/>
      <c r="B444" s="58"/>
      <c r="C444" s="58"/>
      <c r="D444" s="119"/>
    </row>
    <row r="445" spans="1:4" ht="22.5" customHeight="1" x14ac:dyDescent="0.2">
      <c r="A445" s="58"/>
      <c r="B445" s="58"/>
      <c r="C445" s="58"/>
      <c r="D445" s="119"/>
    </row>
    <row r="446" spans="1:4" ht="22.5" customHeight="1" x14ac:dyDescent="0.2">
      <c r="A446" s="58"/>
      <c r="B446" s="58"/>
      <c r="C446" s="58"/>
      <c r="D446" s="119"/>
    </row>
    <row r="447" spans="1:4" ht="22.5" customHeight="1" x14ac:dyDescent="0.2">
      <c r="A447" s="58"/>
      <c r="B447" s="58"/>
      <c r="C447" s="58"/>
      <c r="D447" s="119"/>
    </row>
    <row r="448" spans="1:4" ht="22.5" customHeight="1" x14ac:dyDescent="0.2">
      <c r="A448" s="58"/>
      <c r="B448" s="58"/>
      <c r="C448" s="58"/>
      <c r="D448" s="119"/>
    </row>
    <row r="449" spans="1:4" ht="22.5" customHeight="1" x14ac:dyDescent="0.2">
      <c r="A449" s="58"/>
      <c r="B449" s="58"/>
      <c r="C449" s="58"/>
      <c r="D449" s="119"/>
    </row>
    <row r="450" spans="1:4" ht="22.5" customHeight="1" x14ac:dyDescent="0.2">
      <c r="A450" s="59"/>
      <c r="B450" s="59"/>
      <c r="C450" s="59"/>
      <c r="D450" s="119"/>
    </row>
    <row r="451" spans="1:4" ht="22.5" customHeight="1" x14ac:dyDescent="0.2">
      <c r="A451" s="59"/>
      <c r="B451" s="59"/>
      <c r="C451" s="59"/>
      <c r="D451" s="119"/>
    </row>
    <row r="452" spans="1:4" ht="22.5" customHeight="1" x14ac:dyDescent="0.2">
      <c r="A452" s="59"/>
      <c r="B452" s="59"/>
      <c r="C452" s="59"/>
      <c r="D452" s="119"/>
    </row>
    <row r="453" spans="1:4" ht="22.5" customHeight="1" x14ac:dyDescent="0.2">
      <c r="A453" s="59"/>
      <c r="B453" s="59"/>
      <c r="C453" s="59"/>
      <c r="D453" s="119"/>
    </row>
    <row r="454" spans="1:4" ht="22.5" customHeight="1" x14ac:dyDescent="0.2">
      <c r="A454" s="59"/>
      <c r="B454" s="59"/>
      <c r="C454" s="59"/>
      <c r="D454" s="119"/>
    </row>
    <row r="455" spans="1:4" ht="22.5" customHeight="1" x14ac:dyDescent="0.2">
      <c r="A455" s="59"/>
      <c r="B455" s="59"/>
      <c r="C455" s="59"/>
      <c r="D455" s="119"/>
    </row>
    <row r="456" spans="1:4" ht="22.5" customHeight="1" x14ac:dyDescent="0.2">
      <c r="A456" s="59"/>
      <c r="B456" s="59"/>
      <c r="C456" s="59"/>
      <c r="D456" s="119"/>
    </row>
    <row r="457" spans="1:4" ht="22.5" customHeight="1" x14ac:dyDescent="0.2">
      <c r="A457" s="59"/>
      <c r="B457" s="59"/>
      <c r="C457" s="59"/>
      <c r="D457" s="119"/>
    </row>
    <row r="458" spans="1:4" ht="22.5" customHeight="1" x14ac:dyDescent="0.2">
      <c r="A458" s="59"/>
      <c r="B458" s="59"/>
      <c r="C458" s="59"/>
      <c r="D458" s="119"/>
    </row>
    <row r="459" spans="1:4" ht="22.5" customHeight="1" x14ac:dyDescent="0.2">
      <c r="A459" s="59"/>
      <c r="B459" s="59"/>
      <c r="C459" s="59"/>
      <c r="D459" s="119"/>
    </row>
    <row r="460" spans="1:4" ht="22.5" customHeight="1" x14ac:dyDescent="0.2">
      <c r="A460" s="59"/>
      <c r="B460" s="59"/>
      <c r="C460" s="59"/>
      <c r="D460" s="119"/>
    </row>
    <row r="461" spans="1:4" ht="22.5" customHeight="1" x14ac:dyDescent="0.2">
      <c r="A461" s="59"/>
      <c r="B461" s="59"/>
      <c r="C461" s="59"/>
      <c r="D461" s="119"/>
    </row>
    <row r="462" spans="1:4" ht="22.5" customHeight="1" x14ac:dyDescent="0.2">
      <c r="A462" s="59"/>
      <c r="B462" s="59"/>
      <c r="C462" s="59"/>
      <c r="D462" s="119"/>
    </row>
    <row r="463" spans="1:4" ht="22.5" customHeight="1" x14ac:dyDescent="0.2">
      <c r="A463" s="59"/>
      <c r="B463" s="59"/>
      <c r="C463" s="59"/>
      <c r="D463" s="119"/>
    </row>
    <row r="464" spans="1:4" ht="22.5" customHeight="1" x14ac:dyDescent="0.2">
      <c r="A464" s="59"/>
      <c r="B464" s="59"/>
      <c r="C464" s="59"/>
      <c r="D464" s="119"/>
    </row>
    <row r="465" spans="1:4" ht="22.5" customHeight="1" x14ac:dyDescent="0.2">
      <c r="A465" s="59"/>
      <c r="B465" s="59"/>
      <c r="C465" s="59"/>
      <c r="D465" s="119"/>
    </row>
    <row r="466" spans="1:4" ht="22.5" customHeight="1" x14ac:dyDescent="0.2">
      <c r="A466" s="59"/>
      <c r="B466" s="59"/>
      <c r="C466" s="59"/>
      <c r="D466" s="119"/>
    </row>
    <row r="467" spans="1:4" ht="22.5" customHeight="1" x14ac:dyDescent="0.2">
      <c r="A467" s="59"/>
      <c r="B467" s="59"/>
      <c r="C467" s="59"/>
      <c r="D467" s="119"/>
    </row>
    <row r="468" spans="1:4" ht="22.5" customHeight="1" x14ac:dyDescent="0.2">
      <c r="A468" s="59"/>
      <c r="B468" s="59"/>
      <c r="C468" s="59"/>
      <c r="D468" s="119"/>
    </row>
    <row r="469" spans="1:4" ht="22.5" customHeight="1" x14ac:dyDescent="0.2">
      <c r="A469" s="59"/>
      <c r="B469" s="59"/>
      <c r="C469" s="59"/>
      <c r="D469" s="119"/>
    </row>
    <row r="470" spans="1:4" ht="22.5" customHeight="1" x14ac:dyDescent="0.2">
      <c r="A470" s="59"/>
      <c r="B470" s="59"/>
      <c r="C470" s="59"/>
      <c r="D470" s="119"/>
    </row>
    <row r="471" spans="1:4" ht="22.5" customHeight="1" x14ac:dyDescent="0.2">
      <c r="A471" s="59"/>
      <c r="B471" s="59"/>
      <c r="C471" s="59"/>
      <c r="D471" s="119"/>
    </row>
    <row r="472" spans="1:4" ht="22.5" customHeight="1" x14ac:dyDescent="0.2">
      <c r="A472" s="59"/>
      <c r="B472" s="59"/>
      <c r="C472" s="59"/>
      <c r="D472" s="119"/>
    </row>
    <row r="473" spans="1:4" ht="22.5" customHeight="1" x14ac:dyDescent="0.2">
      <c r="A473" s="59"/>
      <c r="B473" s="59"/>
      <c r="C473" s="59"/>
      <c r="D473" s="119"/>
    </row>
    <row r="474" spans="1:4" ht="22.5" customHeight="1" x14ac:dyDescent="0.2">
      <c r="A474" s="59"/>
      <c r="B474" s="59"/>
      <c r="C474" s="59"/>
      <c r="D474" s="119"/>
    </row>
    <row r="475" spans="1:4" ht="22.5" customHeight="1" x14ac:dyDescent="0.2">
      <c r="A475" s="59"/>
      <c r="B475" s="59"/>
      <c r="C475" s="59"/>
      <c r="D475" s="119"/>
    </row>
    <row r="476" spans="1:4" ht="22.5" customHeight="1" x14ac:dyDescent="0.2">
      <c r="A476" s="59"/>
      <c r="B476" s="59"/>
      <c r="C476" s="59"/>
      <c r="D476" s="119"/>
    </row>
    <row r="477" spans="1:4" ht="22.5" customHeight="1" x14ac:dyDescent="0.2">
      <c r="A477" s="59"/>
      <c r="B477" s="59"/>
      <c r="C477" s="59"/>
      <c r="D477" s="119"/>
    </row>
    <row r="478" spans="1:4" ht="22.5" customHeight="1" x14ac:dyDescent="0.2">
      <c r="A478" s="59"/>
      <c r="B478" s="59"/>
      <c r="C478" s="59"/>
      <c r="D478" s="119"/>
    </row>
    <row r="479" spans="1:4" ht="22.5" customHeight="1" x14ac:dyDescent="0.2">
      <c r="A479" s="59"/>
      <c r="B479" s="59"/>
      <c r="C479" s="59"/>
      <c r="D479" s="119"/>
    </row>
    <row r="480" spans="1:4" ht="22.5" customHeight="1" x14ac:dyDescent="0.2">
      <c r="A480" s="59"/>
      <c r="B480" s="59"/>
      <c r="C480" s="59"/>
      <c r="D480" s="119"/>
    </row>
    <row r="481" spans="1:4" ht="22.5" customHeight="1" x14ac:dyDescent="0.2">
      <c r="A481" s="59"/>
      <c r="B481" s="59"/>
      <c r="C481" s="59"/>
      <c r="D481" s="119"/>
    </row>
    <row r="482" spans="1:4" ht="22.5" customHeight="1" x14ac:dyDescent="0.2">
      <c r="A482" s="59"/>
      <c r="B482" s="59"/>
      <c r="C482" s="59"/>
      <c r="D482" s="119"/>
    </row>
    <row r="483" spans="1:4" ht="22.5" customHeight="1" x14ac:dyDescent="0.2">
      <c r="A483" s="59"/>
      <c r="B483" s="59"/>
      <c r="C483" s="59"/>
      <c r="D483" s="119"/>
    </row>
    <row r="484" spans="1:4" ht="22.5" customHeight="1" x14ac:dyDescent="0.2">
      <c r="A484" s="59"/>
      <c r="B484" s="59"/>
      <c r="C484" s="59"/>
      <c r="D484" s="119"/>
    </row>
    <row r="485" spans="1:4" ht="22.5" customHeight="1" x14ac:dyDescent="0.2">
      <c r="A485" s="59"/>
      <c r="B485" s="59"/>
      <c r="C485" s="59"/>
      <c r="D485" s="119"/>
    </row>
    <row r="486" spans="1:4" ht="22.5" customHeight="1" x14ac:dyDescent="0.2">
      <c r="A486" s="59"/>
      <c r="B486" s="59"/>
      <c r="C486" s="59"/>
      <c r="D486" s="119"/>
    </row>
    <row r="487" spans="1:4" ht="22.5" customHeight="1" x14ac:dyDescent="0.2">
      <c r="A487" s="59"/>
      <c r="B487" s="59"/>
      <c r="C487" s="59"/>
      <c r="D487" s="119"/>
    </row>
    <row r="488" spans="1:4" ht="22.5" customHeight="1" x14ac:dyDescent="0.2">
      <c r="A488" s="59"/>
      <c r="B488" s="59"/>
      <c r="C488" s="59"/>
      <c r="D488" s="119"/>
    </row>
    <row r="489" spans="1:4" ht="22.5" customHeight="1" x14ac:dyDescent="0.2">
      <c r="A489" s="59"/>
      <c r="B489" s="59"/>
      <c r="C489" s="59"/>
      <c r="D489" s="119"/>
    </row>
    <row r="490" spans="1:4" ht="22.5" customHeight="1" x14ac:dyDescent="0.2">
      <c r="A490" s="59"/>
      <c r="B490" s="59"/>
      <c r="C490" s="59"/>
      <c r="D490" s="119"/>
    </row>
    <row r="491" spans="1:4" ht="22.5" customHeight="1" x14ac:dyDescent="0.2">
      <c r="A491" s="59"/>
      <c r="B491" s="59"/>
      <c r="C491" s="59"/>
      <c r="D491" s="119"/>
    </row>
    <row r="492" spans="1:4" ht="22.5" customHeight="1" x14ac:dyDescent="0.2">
      <c r="A492" s="59"/>
      <c r="B492" s="59"/>
      <c r="C492" s="59"/>
      <c r="D492" s="119"/>
    </row>
    <row r="493" spans="1:4" ht="22.5" customHeight="1" x14ac:dyDescent="0.2">
      <c r="A493" s="59"/>
      <c r="B493" s="59"/>
      <c r="C493" s="59"/>
      <c r="D493" s="119"/>
    </row>
    <row r="494" spans="1:4" ht="22.5" customHeight="1" x14ac:dyDescent="0.2">
      <c r="A494" s="59"/>
      <c r="B494" s="59"/>
      <c r="C494" s="59"/>
      <c r="D494" s="119"/>
    </row>
    <row r="495" spans="1:4" ht="22.5" customHeight="1" x14ac:dyDescent="0.2">
      <c r="A495" s="59"/>
      <c r="B495" s="59"/>
      <c r="C495" s="59"/>
      <c r="D495" s="119"/>
    </row>
    <row r="496" spans="1:4" ht="22.5" customHeight="1" x14ac:dyDescent="0.2">
      <c r="A496" s="59"/>
      <c r="B496" s="59"/>
      <c r="C496" s="59"/>
      <c r="D496" s="119"/>
    </row>
    <row r="497" spans="1:4" ht="22.5" customHeight="1" x14ac:dyDescent="0.2">
      <c r="A497" s="59"/>
      <c r="B497" s="59"/>
      <c r="C497" s="59"/>
      <c r="D497" s="119"/>
    </row>
    <row r="498" spans="1:4" ht="22.5" customHeight="1" x14ac:dyDescent="0.2">
      <c r="A498" s="59"/>
      <c r="B498" s="59"/>
      <c r="C498" s="59"/>
      <c r="D498" s="119"/>
    </row>
    <row r="499" spans="1:4" ht="22.5" customHeight="1" x14ac:dyDescent="0.2">
      <c r="A499" s="59"/>
      <c r="B499" s="59"/>
      <c r="C499" s="59"/>
      <c r="D499" s="119"/>
    </row>
    <row r="500" spans="1:4" ht="22.5" customHeight="1" x14ac:dyDescent="0.2">
      <c r="A500" s="59"/>
      <c r="B500" s="59"/>
      <c r="C500" s="59"/>
      <c r="D500" s="119"/>
    </row>
    <row r="501" spans="1:4" ht="22.5" customHeight="1" x14ac:dyDescent="0.2">
      <c r="A501" s="59"/>
      <c r="B501" s="59"/>
      <c r="C501" s="59"/>
      <c r="D501" s="119"/>
    </row>
    <row r="502" spans="1:4" ht="22.5" customHeight="1" x14ac:dyDescent="0.2">
      <c r="A502" s="59"/>
      <c r="B502" s="59"/>
      <c r="C502" s="59"/>
      <c r="D502" s="119"/>
    </row>
    <row r="503" spans="1:4" ht="22.5" customHeight="1" x14ac:dyDescent="0.2">
      <c r="A503" s="59"/>
      <c r="B503" s="59"/>
      <c r="C503" s="59"/>
      <c r="D503" s="119"/>
    </row>
    <row r="504" spans="1:4" ht="22.5" customHeight="1" x14ac:dyDescent="0.2">
      <c r="A504" s="59"/>
      <c r="B504" s="59"/>
      <c r="C504" s="59"/>
      <c r="D504" s="119"/>
    </row>
    <row r="505" spans="1:4" ht="22.5" customHeight="1" x14ac:dyDescent="0.2">
      <c r="A505" s="59"/>
      <c r="B505" s="59"/>
      <c r="C505" s="59"/>
      <c r="D505" s="119"/>
    </row>
    <row r="506" spans="1:4" ht="22.5" customHeight="1" x14ac:dyDescent="0.2">
      <c r="A506" s="59"/>
      <c r="B506" s="59"/>
      <c r="C506" s="59"/>
      <c r="D506" s="119"/>
    </row>
    <row r="507" spans="1:4" ht="22.5" customHeight="1" x14ac:dyDescent="0.2">
      <c r="A507" s="59"/>
      <c r="B507" s="59"/>
      <c r="C507" s="59"/>
      <c r="D507" s="119"/>
    </row>
    <row r="508" spans="1:4" ht="22.5" customHeight="1" x14ac:dyDescent="0.2">
      <c r="A508" s="59"/>
      <c r="B508" s="59"/>
      <c r="C508" s="59"/>
      <c r="D508" s="119"/>
    </row>
    <row r="509" spans="1:4" ht="22.5" customHeight="1" x14ac:dyDescent="0.2">
      <c r="A509" s="59"/>
      <c r="B509" s="59"/>
      <c r="C509" s="59"/>
      <c r="D509" s="119"/>
    </row>
    <row r="510" spans="1:4" ht="22.5" customHeight="1" x14ac:dyDescent="0.2">
      <c r="A510" s="59"/>
      <c r="B510" s="59"/>
      <c r="C510" s="59"/>
      <c r="D510" s="119"/>
    </row>
    <row r="511" spans="1:4" ht="22.5" customHeight="1" x14ac:dyDescent="0.2">
      <c r="A511" s="59"/>
      <c r="B511" s="59"/>
      <c r="C511" s="59"/>
      <c r="D511" s="119"/>
    </row>
    <row r="512" spans="1:4" ht="22.5" customHeight="1" x14ac:dyDescent="0.2">
      <c r="A512" s="59"/>
      <c r="B512" s="59"/>
      <c r="C512" s="59"/>
      <c r="D512" s="119"/>
    </row>
    <row r="513" spans="1:4" ht="22.5" customHeight="1" x14ac:dyDescent="0.2">
      <c r="A513" s="59"/>
      <c r="B513" s="59"/>
      <c r="C513" s="59"/>
      <c r="D513" s="119"/>
    </row>
    <row r="514" spans="1:4" ht="22.5" customHeight="1" x14ac:dyDescent="0.2">
      <c r="A514" s="59"/>
      <c r="B514" s="59"/>
      <c r="C514" s="59"/>
      <c r="D514" s="119"/>
    </row>
    <row r="515" spans="1:4" ht="22.5" customHeight="1" x14ac:dyDescent="0.2">
      <c r="A515" s="59"/>
      <c r="B515" s="59"/>
      <c r="C515" s="59"/>
      <c r="D515" s="119"/>
    </row>
    <row r="516" spans="1:4" ht="22.5" customHeight="1" x14ac:dyDescent="0.2">
      <c r="A516" s="59"/>
      <c r="B516" s="59"/>
      <c r="C516" s="59"/>
      <c r="D516" s="119"/>
    </row>
    <row r="517" spans="1:4" ht="22.5" customHeight="1" x14ac:dyDescent="0.2">
      <c r="A517" s="59"/>
      <c r="B517" s="59"/>
      <c r="C517" s="59"/>
      <c r="D517" s="119"/>
    </row>
    <row r="518" spans="1:4" ht="22.5" customHeight="1" x14ac:dyDescent="0.2">
      <c r="A518" s="59"/>
      <c r="B518" s="59"/>
      <c r="C518" s="59"/>
      <c r="D518" s="119"/>
    </row>
    <row r="519" spans="1:4" ht="22.5" customHeight="1" x14ac:dyDescent="0.2">
      <c r="A519" s="59"/>
      <c r="B519" s="59"/>
      <c r="C519" s="59"/>
      <c r="D519" s="119"/>
    </row>
    <row r="520" spans="1:4" ht="22.5" customHeight="1" x14ac:dyDescent="0.2">
      <c r="A520" s="61"/>
      <c r="B520" s="61"/>
      <c r="C520" s="59"/>
      <c r="D520" s="119"/>
    </row>
    <row r="521" spans="1:4" ht="22.5" customHeight="1" x14ac:dyDescent="0.2">
      <c r="A521" s="59"/>
      <c r="B521" s="59"/>
      <c r="C521" s="59"/>
      <c r="D521" s="119"/>
    </row>
    <row r="522" spans="1:4" ht="22.5" customHeight="1" x14ac:dyDescent="0.2">
      <c r="A522" s="59"/>
      <c r="B522" s="59"/>
      <c r="C522" s="59"/>
      <c r="D522" s="119"/>
    </row>
    <row r="523" spans="1:4" ht="22.5" customHeight="1" x14ac:dyDescent="0.2">
      <c r="A523" s="59"/>
      <c r="B523" s="59"/>
      <c r="C523" s="59"/>
      <c r="D523" s="119"/>
    </row>
    <row r="524" spans="1:4" ht="22.5" customHeight="1" x14ac:dyDescent="0.2">
      <c r="A524" s="59"/>
      <c r="B524" s="59"/>
      <c r="C524" s="59"/>
      <c r="D524" s="119"/>
    </row>
    <row r="525" spans="1:4" ht="22.5" customHeight="1" x14ac:dyDescent="0.2">
      <c r="A525" s="59"/>
      <c r="B525" s="59"/>
      <c r="C525" s="59"/>
      <c r="D525" s="119"/>
    </row>
    <row r="526" spans="1:4" ht="22.5" customHeight="1" x14ac:dyDescent="0.2">
      <c r="A526" s="59"/>
      <c r="B526" s="59"/>
      <c r="C526" s="59"/>
      <c r="D526" s="119"/>
    </row>
    <row r="527" spans="1:4" ht="22.5" customHeight="1" x14ac:dyDescent="0.2">
      <c r="A527" s="59"/>
      <c r="B527" s="59"/>
      <c r="C527" s="59"/>
      <c r="D527" s="119"/>
    </row>
    <row r="528" spans="1:4" ht="22.5" customHeight="1" x14ac:dyDescent="0.2">
      <c r="A528" s="59"/>
      <c r="B528" s="59"/>
      <c r="C528" s="59"/>
      <c r="D528" s="119"/>
    </row>
    <row r="529" spans="1:4" ht="22.5" customHeight="1" x14ac:dyDescent="0.2">
      <c r="A529" s="59"/>
      <c r="B529" s="59"/>
      <c r="C529" s="59"/>
      <c r="D529" s="119"/>
    </row>
    <row r="530" spans="1:4" ht="22.5" customHeight="1" x14ac:dyDescent="0.2">
      <c r="A530" s="59"/>
      <c r="B530" s="59"/>
      <c r="C530" s="59"/>
      <c r="D530" s="119"/>
    </row>
    <row r="531" spans="1:4" ht="22.5" customHeight="1" x14ac:dyDescent="0.2">
      <c r="A531" s="59"/>
      <c r="B531" s="59"/>
      <c r="C531" s="59"/>
      <c r="D531" s="119"/>
    </row>
    <row r="532" spans="1:4" ht="22.5" customHeight="1" x14ac:dyDescent="0.2">
      <c r="A532" s="59"/>
      <c r="B532" s="59"/>
      <c r="C532" s="59"/>
      <c r="D532" s="119"/>
    </row>
    <row r="533" spans="1:4" ht="22.5" customHeight="1" x14ac:dyDescent="0.2">
      <c r="A533" s="59"/>
      <c r="B533" s="59"/>
      <c r="C533" s="59"/>
      <c r="D533" s="119"/>
    </row>
    <row r="534" spans="1:4" ht="22.5" customHeight="1" x14ac:dyDescent="0.2">
      <c r="A534" s="59"/>
      <c r="B534" s="59"/>
      <c r="C534" s="59"/>
      <c r="D534" s="119"/>
    </row>
    <row r="535" spans="1:4" ht="22.5" customHeight="1" x14ac:dyDescent="0.2">
      <c r="A535" s="59"/>
      <c r="B535" s="59"/>
      <c r="C535" s="59"/>
      <c r="D535" s="119"/>
    </row>
    <row r="536" spans="1:4" ht="22.5" customHeight="1" x14ac:dyDescent="0.2">
      <c r="A536" s="59"/>
      <c r="B536" s="59"/>
      <c r="C536" s="59"/>
      <c r="D536" s="119"/>
    </row>
    <row r="537" spans="1:4" ht="22.5" customHeight="1" x14ac:dyDescent="0.2">
      <c r="A537" s="59"/>
      <c r="B537" s="59"/>
      <c r="C537" s="59"/>
      <c r="D537" s="119"/>
    </row>
    <row r="538" spans="1:4" ht="22.5" customHeight="1" x14ac:dyDescent="0.2">
      <c r="A538" s="58"/>
      <c r="B538" s="62"/>
      <c r="C538" s="58"/>
      <c r="D538" s="119"/>
    </row>
    <row r="539" spans="1:4" ht="22.5" customHeight="1" x14ac:dyDescent="0.2">
      <c r="A539" s="63"/>
      <c r="B539" s="64"/>
      <c r="C539" s="58"/>
      <c r="D539" s="119"/>
    </row>
    <row r="540" spans="1:4" ht="22.5" customHeight="1" x14ac:dyDescent="0.2">
      <c r="A540" s="63"/>
      <c r="B540" s="64"/>
      <c r="C540" s="58"/>
      <c r="D540" s="119"/>
    </row>
    <row r="541" spans="1:4" ht="22.5" customHeight="1" x14ac:dyDescent="0.2">
      <c r="A541" s="63"/>
      <c r="B541" s="64"/>
      <c r="C541" s="58"/>
      <c r="D541" s="119"/>
    </row>
    <row r="542" spans="1:4" ht="22.5" customHeight="1" x14ac:dyDescent="0.2">
      <c r="A542" s="63"/>
      <c r="B542" s="64"/>
      <c r="C542" s="58"/>
      <c r="D542" s="119"/>
    </row>
    <row r="543" spans="1:4" ht="22.5" customHeight="1" x14ac:dyDescent="0.2">
      <c r="A543" s="63"/>
      <c r="B543" s="64"/>
      <c r="C543" s="58"/>
      <c r="D543" s="119"/>
    </row>
    <row r="544" spans="1:4" ht="22.5" customHeight="1" x14ac:dyDescent="0.2">
      <c r="A544" s="58"/>
      <c r="B544" s="62"/>
      <c r="C544" s="58"/>
      <c r="D544" s="119"/>
    </row>
    <row r="545" spans="1:4" ht="22.5" customHeight="1" x14ac:dyDescent="0.2">
      <c r="A545" s="63"/>
      <c r="B545" s="64"/>
      <c r="C545" s="58"/>
      <c r="D545" s="119"/>
    </row>
    <row r="546" spans="1:4" ht="22.5" customHeight="1" x14ac:dyDescent="0.2">
      <c r="A546" s="63"/>
      <c r="B546" s="64"/>
      <c r="C546" s="58"/>
      <c r="D546" s="119"/>
    </row>
    <row r="547" spans="1:4" ht="22.5" customHeight="1" x14ac:dyDescent="0.2">
      <c r="A547" s="63"/>
      <c r="B547" s="64"/>
      <c r="C547" s="58"/>
      <c r="D547" s="119"/>
    </row>
    <row r="548" spans="1:4" ht="22.5" customHeight="1" x14ac:dyDescent="0.2">
      <c r="A548" s="63"/>
      <c r="B548" s="64"/>
      <c r="C548" s="58"/>
      <c r="D548" s="119"/>
    </row>
    <row r="549" spans="1:4" ht="22.5" customHeight="1" x14ac:dyDescent="0.2">
      <c r="A549" s="63"/>
      <c r="B549" s="64"/>
      <c r="C549" s="58"/>
      <c r="D549" s="119"/>
    </row>
    <row r="550" spans="1:4" ht="22.5" customHeight="1" x14ac:dyDescent="0.2">
      <c r="A550" s="23"/>
      <c r="B550" s="23"/>
      <c r="C550" s="23"/>
      <c r="D550" s="119"/>
    </row>
    <row r="551" spans="1:4" ht="22.5" customHeight="1" x14ac:dyDescent="0.2">
      <c r="A551" s="23"/>
      <c r="B551" s="23"/>
      <c r="C551" s="23"/>
      <c r="D551" s="119"/>
    </row>
    <row r="552" spans="1:4" ht="22.5" customHeight="1" x14ac:dyDescent="0.2">
      <c r="A552" s="23"/>
      <c r="B552" s="23"/>
      <c r="C552" s="23"/>
      <c r="D552" s="119"/>
    </row>
    <row r="553" spans="1:4" ht="22.5" customHeight="1" x14ac:dyDescent="0.2">
      <c r="A553" s="23"/>
      <c r="B553" s="23"/>
      <c r="C553" s="23"/>
      <c r="D553" s="119"/>
    </row>
    <row r="554" spans="1:4" ht="22.5" customHeight="1" x14ac:dyDescent="0.2">
      <c r="A554" s="23"/>
      <c r="B554" s="23"/>
      <c r="C554" s="23"/>
      <c r="D554" s="119"/>
    </row>
    <row r="555" spans="1:4" ht="22.5" customHeight="1" x14ac:dyDescent="0.2">
      <c r="A555" s="23"/>
      <c r="B555" s="23"/>
      <c r="C555" s="23"/>
      <c r="D555" s="119"/>
    </row>
    <row r="556" spans="1:4" ht="22.5" customHeight="1" x14ac:dyDescent="0.2">
      <c r="A556" s="23"/>
      <c r="B556" s="23"/>
      <c r="C556" s="23"/>
      <c r="D556" s="119"/>
    </row>
    <row r="557" spans="1:4" ht="22.5" customHeight="1" x14ac:dyDescent="0.2">
      <c r="A557" s="23"/>
      <c r="B557" s="23"/>
      <c r="C557" s="23"/>
      <c r="D557" s="119"/>
    </row>
    <row r="558" spans="1:4" ht="22.5" customHeight="1" x14ac:dyDescent="0.2">
      <c r="A558" s="23"/>
      <c r="B558" s="23"/>
      <c r="C558" s="23"/>
      <c r="D558" s="119"/>
    </row>
    <row r="559" spans="1:4" ht="22.5" customHeight="1" x14ac:dyDescent="0.2">
      <c r="A559" s="23"/>
      <c r="B559" s="23"/>
      <c r="C559" s="23"/>
      <c r="D559" s="119"/>
    </row>
    <row r="560" spans="1:4" ht="22.5" customHeight="1" x14ac:dyDescent="0.2">
      <c r="A560" s="23"/>
      <c r="B560" s="23"/>
      <c r="C560" s="23"/>
      <c r="D560" s="119"/>
    </row>
    <row r="561" spans="1:4" ht="22.5" customHeight="1" x14ac:dyDescent="0.2">
      <c r="A561" s="23"/>
      <c r="B561" s="23"/>
      <c r="C561" s="23"/>
      <c r="D561" s="119"/>
    </row>
    <row r="562" spans="1:4" ht="22.5" customHeight="1" x14ac:dyDescent="0.2">
      <c r="A562" s="23"/>
      <c r="B562" s="23"/>
      <c r="C562" s="23"/>
      <c r="D562" s="119"/>
    </row>
    <row r="563" spans="1:4" ht="22.5" customHeight="1" x14ac:dyDescent="0.2">
      <c r="A563" s="23"/>
      <c r="B563" s="23"/>
      <c r="C563" s="23"/>
      <c r="D563" s="119"/>
    </row>
    <row r="564" spans="1:4" ht="22.5" customHeight="1" x14ac:dyDescent="0.2">
      <c r="A564" s="23"/>
      <c r="B564" s="23"/>
      <c r="C564" s="23"/>
      <c r="D564" s="119"/>
    </row>
    <row r="565" spans="1:4" ht="22.5" customHeight="1" x14ac:dyDescent="0.2">
      <c r="A565" s="23"/>
      <c r="B565" s="23"/>
      <c r="C565" s="23"/>
      <c r="D565" s="119"/>
    </row>
    <row r="566" spans="1:4" ht="22.5" customHeight="1" x14ac:dyDescent="0.2">
      <c r="A566" s="23"/>
      <c r="B566" s="23"/>
      <c r="C566" s="23"/>
      <c r="D566" s="119"/>
    </row>
    <row r="567" spans="1:4" ht="22.5" customHeight="1" x14ac:dyDescent="0.2">
      <c r="A567" s="23"/>
      <c r="B567" s="23"/>
      <c r="C567" s="23"/>
      <c r="D567" s="119"/>
    </row>
    <row r="568" spans="1:4" ht="22.5" customHeight="1" x14ac:dyDescent="0.2">
      <c r="A568" s="23"/>
      <c r="B568" s="23"/>
      <c r="C568" s="23"/>
      <c r="D568" s="119"/>
    </row>
    <row r="569" spans="1:4" ht="22.5" customHeight="1" x14ac:dyDescent="0.2">
      <c r="A569" s="23"/>
      <c r="B569" s="23"/>
      <c r="C569" s="23"/>
      <c r="D569" s="119"/>
    </row>
    <row r="570" spans="1:4" ht="22.5" customHeight="1" x14ac:dyDescent="0.2">
      <c r="A570" s="23"/>
      <c r="B570" s="23"/>
      <c r="C570" s="23"/>
      <c r="D570" s="119"/>
    </row>
    <row r="571" spans="1:4" ht="22.5" customHeight="1" x14ac:dyDescent="0.2">
      <c r="A571" s="23"/>
      <c r="B571" s="23"/>
      <c r="C571" s="23"/>
      <c r="D571" s="119"/>
    </row>
    <row r="572" spans="1:4" ht="22.5" customHeight="1" x14ac:dyDescent="0.2">
      <c r="A572" s="23"/>
      <c r="B572" s="23"/>
      <c r="C572" s="23"/>
      <c r="D572" s="119"/>
    </row>
    <row r="573" spans="1:4" ht="22.5" customHeight="1" x14ac:dyDescent="0.2">
      <c r="A573" s="23"/>
      <c r="B573" s="23"/>
      <c r="C573" s="23"/>
      <c r="D573" s="119"/>
    </row>
    <row r="574" spans="1:4" ht="22.5" customHeight="1" x14ac:dyDescent="0.2">
      <c r="A574" s="23"/>
      <c r="B574" s="23"/>
      <c r="C574" s="23"/>
      <c r="D574" s="119"/>
    </row>
    <row r="575" spans="1:4" ht="22.5" customHeight="1" x14ac:dyDescent="0.2">
      <c r="A575" s="23"/>
      <c r="B575" s="23"/>
      <c r="C575" s="23"/>
      <c r="D575" s="119"/>
    </row>
    <row r="576" spans="1:4" ht="22.5" customHeight="1" x14ac:dyDescent="0.2">
      <c r="A576" s="23"/>
      <c r="B576" s="23"/>
      <c r="C576" s="23"/>
      <c r="D576" s="119"/>
    </row>
    <row r="577" spans="1:4" ht="22.5" customHeight="1" x14ac:dyDescent="0.2">
      <c r="A577" s="23"/>
      <c r="B577" s="23"/>
      <c r="C577" s="23"/>
      <c r="D577" s="119"/>
    </row>
    <row r="578" spans="1:4" ht="22.5" customHeight="1" x14ac:dyDescent="0.2">
      <c r="A578" s="23"/>
      <c r="B578" s="23"/>
      <c r="C578" s="23"/>
      <c r="D578" s="119"/>
    </row>
    <row r="579" spans="1:4" ht="22.5" customHeight="1" x14ac:dyDescent="0.2">
      <c r="A579" s="23"/>
      <c r="B579" s="23"/>
      <c r="C579" s="23"/>
      <c r="D579" s="119"/>
    </row>
    <row r="580" spans="1:4" ht="22.5" customHeight="1" x14ac:dyDescent="0.2">
      <c r="A580" s="23"/>
      <c r="B580" s="23"/>
      <c r="C580" s="23"/>
      <c r="D580" s="119"/>
    </row>
    <row r="581" spans="1:4" ht="22.5" customHeight="1" x14ac:dyDescent="0.2">
      <c r="A581" s="23"/>
      <c r="B581" s="23"/>
      <c r="C581" s="23"/>
      <c r="D581" s="119"/>
    </row>
    <row r="582" spans="1:4" ht="22.5" customHeight="1" x14ac:dyDescent="0.2">
      <c r="A582" s="23"/>
      <c r="B582" s="23"/>
      <c r="C582" s="23"/>
      <c r="D582" s="119"/>
    </row>
    <row r="583" spans="1:4" ht="22.5" customHeight="1" x14ac:dyDescent="0.2">
      <c r="A583" s="23"/>
      <c r="B583" s="23"/>
      <c r="C583" s="23"/>
      <c r="D583" s="119"/>
    </row>
    <row r="584" spans="1:4" ht="22.5" customHeight="1" x14ac:dyDescent="0.2">
      <c r="A584" s="23"/>
      <c r="B584" s="23"/>
      <c r="C584" s="23"/>
      <c r="D584" s="119"/>
    </row>
    <row r="585" spans="1:4" ht="22.5" customHeight="1" x14ac:dyDescent="0.2">
      <c r="A585" s="23"/>
      <c r="B585" s="23"/>
      <c r="C585" s="23"/>
      <c r="D585" s="119"/>
    </row>
    <row r="586" spans="1:4" ht="22.5" customHeight="1" x14ac:dyDescent="0.2">
      <c r="A586" s="23"/>
      <c r="B586" s="23"/>
      <c r="C586" s="23"/>
      <c r="D586" s="119"/>
    </row>
    <row r="587" spans="1:4" ht="22.5" customHeight="1" x14ac:dyDescent="0.2">
      <c r="A587" s="23"/>
      <c r="B587" s="23"/>
      <c r="C587" s="23"/>
      <c r="D587" s="119"/>
    </row>
    <row r="588" spans="1:4" ht="22.5" customHeight="1" x14ac:dyDescent="0.2">
      <c r="A588" s="23"/>
      <c r="B588" s="23"/>
      <c r="C588" s="23"/>
      <c r="D588" s="119"/>
    </row>
    <row r="589" spans="1:4" ht="22.5" customHeight="1" x14ac:dyDescent="0.2">
      <c r="A589" s="23"/>
      <c r="B589" s="23"/>
      <c r="C589" s="23"/>
      <c r="D589" s="119"/>
    </row>
    <row r="590" spans="1:4" ht="22.5" customHeight="1" x14ac:dyDescent="0.2">
      <c r="A590" s="23"/>
      <c r="B590" s="23"/>
      <c r="C590" s="23"/>
      <c r="D590" s="119"/>
    </row>
    <row r="591" spans="1:4" ht="22.5" customHeight="1" x14ac:dyDescent="0.2">
      <c r="A591" s="23"/>
      <c r="B591" s="23"/>
      <c r="C591" s="23"/>
      <c r="D591" s="119"/>
    </row>
    <row r="592" spans="1:4" ht="22.5" customHeight="1" x14ac:dyDescent="0.2">
      <c r="A592" s="23"/>
      <c r="B592" s="23"/>
      <c r="C592" s="23"/>
      <c r="D592" s="119"/>
    </row>
    <row r="593" spans="1:4" ht="22.5" customHeight="1" x14ac:dyDescent="0.2">
      <c r="A593" s="23"/>
      <c r="B593" s="23"/>
      <c r="C593" s="23"/>
      <c r="D593" s="119"/>
    </row>
    <row r="594" spans="1:4" ht="22.5" customHeight="1" x14ac:dyDescent="0.2">
      <c r="A594" s="23"/>
      <c r="B594" s="23"/>
      <c r="C594" s="23"/>
      <c r="D594" s="135"/>
    </row>
    <row r="595" spans="1:4" ht="22.5" customHeight="1" x14ac:dyDescent="0.2">
      <c r="A595" s="23"/>
      <c r="B595" s="23"/>
      <c r="C595" s="23"/>
      <c r="D595" s="135"/>
    </row>
    <row r="596" spans="1:4" ht="22.5" customHeight="1" x14ac:dyDescent="0.2">
      <c r="A596" s="23"/>
      <c r="B596" s="23"/>
      <c r="C596" s="23"/>
      <c r="D596" s="135"/>
    </row>
    <row r="597" spans="1:4" ht="22.5" customHeight="1" x14ac:dyDescent="0.2">
      <c r="A597" s="23"/>
      <c r="B597" s="23"/>
      <c r="C597" s="23"/>
      <c r="D597" s="135"/>
    </row>
    <row r="598" spans="1:4" ht="22.5" customHeight="1" x14ac:dyDescent="0.2">
      <c r="A598" s="23"/>
      <c r="B598" s="23"/>
      <c r="C598" s="23"/>
      <c r="D598" s="135"/>
    </row>
    <row r="599" spans="1:4" ht="22.5" customHeight="1" x14ac:dyDescent="0.2">
      <c r="A599" s="23"/>
      <c r="B599" s="23"/>
      <c r="C599" s="23"/>
      <c r="D599" s="135"/>
    </row>
    <row r="600" spans="1:4" ht="22.5" customHeight="1" x14ac:dyDescent="0.2">
      <c r="A600" s="23"/>
      <c r="B600" s="23"/>
      <c r="C600" s="23"/>
      <c r="D600" s="135"/>
    </row>
    <row r="601" spans="1:4" ht="22.5" customHeight="1" x14ac:dyDescent="0.2">
      <c r="A601" s="23"/>
      <c r="B601" s="23"/>
      <c r="C601" s="23"/>
      <c r="D601" s="135"/>
    </row>
    <row r="602" spans="1:4" ht="22.5" customHeight="1" x14ac:dyDescent="0.2">
      <c r="A602" s="23"/>
      <c r="B602" s="23"/>
      <c r="C602" s="23"/>
      <c r="D602" s="135"/>
    </row>
    <row r="603" spans="1:4" ht="22.5" customHeight="1" x14ac:dyDescent="0.2">
      <c r="A603" s="23"/>
      <c r="B603" s="23"/>
      <c r="C603" s="23"/>
      <c r="D603" s="135"/>
    </row>
    <row r="604" spans="1:4" ht="22.5" customHeight="1" x14ac:dyDescent="0.2">
      <c r="A604" s="23"/>
      <c r="B604" s="23"/>
      <c r="C604" s="23"/>
      <c r="D604" s="135"/>
    </row>
    <row r="605" spans="1:4" ht="22.5" customHeight="1" x14ac:dyDescent="0.2">
      <c r="A605" s="23"/>
      <c r="B605" s="23"/>
      <c r="C605" s="23"/>
      <c r="D605" s="135"/>
    </row>
    <row r="606" spans="1:4" ht="22.5" customHeight="1" x14ac:dyDescent="0.2">
      <c r="A606" s="23"/>
      <c r="B606" s="23"/>
      <c r="C606" s="23"/>
      <c r="D606" s="135"/>
    </row>
    <row r="607" spans="1:4" ht="22.5" customHeight="1" x14ac:dyDescent="0.2">
      <c r="A607" s="23"/>
      <c r="B607" s="23"/>
      <c r="C607" s="23"/>
      <c r="D607" s="135"/>
    </row>
    <row r="608" spans="1:4" ht="22.5" customHeight="1" x14ac:dyDescent="0.2">
      <c r="A608" s="23"/>
      <c r="B608" s="23"/>
      <c r="C608" s="23"/>
      <c r="D608" s="135"/>
    </row>
    <row r="609" spans="1:4" ht="22.5" customHeight="1" x14ac:dyDescent="0.2">
      <c r="A609" s="23"/>
      <c r="B609" s="23"/>
      <c r="C609" s="23"/>
      <c r="D609" s="135"/>
    </row>
    <row r="610" spans="1:4" ht="22.5" customHeight="1" x14ac:dyDescent="0.2">
      <c r="A610" s="23"/>
      <c r="B610" s="23"/>
      <c r="C610" s="23"/>
      <c r="D610" s="135"/>
    </row>
    <row r="611" spans="1:4" ht="22.5" customHeight="1" x14ac:dyDescent="0.2">
      <c r="A611" s="23"/>
      <c r="B611" s="23"/>
      <c r="C611" s="23"/>
      <c r="D611" s="135"/>
    </row>
    <row r="612" spans="1:4" ht="22.5" customHeight="1" x14ac:dyDescent="0.2">
      <c r="A612" s="23"/>
      <c r="B612" s="23"/>
      <c r="C612" s="23"/>
      <c r="D612" s="135"/>
    </row>
    <row r="613" spans="1:4" ht="22.5" customHeight="1" x14ac:dyDescent="0.2">
      <c r="A613" s="23"/>
      <c r="B613" s="23"/>
      <c r="C613" s="23"/>
      <c r="D613" s="135"/>
    </row>
    <row r="614" spans="1:4" ht="22.5" customHeight="1" x14ac:dyDescent="0.2">
      <c r="A614" s="23"/>
      <c r="B614" s="23"/>
      <c r="C614" s="23"/>
      <c r="D614" s="135"/>
    </row>
    <row r="615" spans="1:4" ht="22.5" customHeight="1" x14ac:dyDescent="0.2">
      <c r="A615" s="23"/>
      <c r="B615" s="23"/>
      <c r="C615" s="23"/>
      <c r="D615" s="135"/>
    </row>
    <row r="616" spans="1:4" ht="22.5" customHeight="1" x14ac:dyDescent="0.2">
      <c r="A616" s="23"/>
      <c r="B616" s="23"/>
      <c r="C616" s="23"/>
      <c r="D616" s="135"/>
    </row>
    <row r="617" spans="1:4" ht="22.5" customHeight="1" x14ac:dyDescent="0.2">
      <c r="A617" s="23"/>
      <c r="B617" s="23"/>
      <c r="C617" s="23"/>
      <c r="D617" s="135"/>
    </row>
    <row r="618" spans="1:4" ht="22.5" customHeight="1" x14ac:dyDescent="0.2">
      <c r="A618" s="23"/>
      <c r="B618" s="23"/>
      <c r="C618" s="23"/>
      <c r="D618" s="135"/>
    </row>
    <row r="619" spans="1:4" ht="22.5" customHeight="1" x14ac:dyDescent="0.2">
      <c r="A619" s="23"/>
      <c r="B619" s="23"/>
      <c r="C619" s="23"/>
      <c r="D619" s="135"/>
    </row>
    <row r="620" spans="1:4" ht="22.5" customHeight="1" x14ac:dyDescent="0.2">
      <c r="A620" s="23"/>
      <c r="B620" s="23"/>
      <c r="C620" s="23"/>
      <c r="D620" s="135"/>
    </row>
    <row r="621" spans="1:4" ht="22.5" customHeight="1" x14ac:dyDescent="0.2">
      <c r="A621" s="23"/>
      <c r="B621" s="23"/>
      <c r="C621" s="23"/>
      <c r="D621" s="135"/>
    </row>
    <row r="622" spans="1:4" ht="22.5" customHeight="1" x14ac:dyDescent="0.2">
      <c r="A622" s="23"/>
      <c r="B622" s="23"/>
      <c r="C622" s="23"/>
      <c r="D622" s="135"/>
    </row>
    <row r="623" spans="1:4" ht="22.5" customHeight="1" x14ac:dyDescent="0.2">
      <c r="A623" s="23"/>
      <c r="B623" s="23"/>
      <c r="C623" s="23"/>
      <c r="D623" s="135"/>
    </row>
    <row r="624" spans="1:4" ht="22.5" customHeight="1" x14ac:dyDescent="0.2">
      <c r="A624" s="23"/>
      <c r="B624" s="23"/>
      <c r="C624" s="23"/>
      <c r="D624" s="135"/>
    </row>
    <row r="625" spans="1:4" ht="22.5" customHeight="1" x14ac:dyDescent="0.2">
      <c r="A625" s="23"/>
      <c r="B625" s="23"/>
      <c r="C625" s="23"/>
      <c r="D625" s="135"/>
    </row>
    <row r="626" spans="1:4" ht="22.5" customHeight="1" x14ac:dyDescent="0.2">
      <c r="A626" s="23"/>
      <c r="B626" s="23"/>
      <c r="C626" s="23"/>
      <c r="D626" s="135"/>
    </row>
    <row r="627" spans="1:4" ht="22.5" customHeight="1" x14ac:dyDescent="0.2">
      <c r="A627" s="23"/>
      <c r="B627" s="23"/>
      <c r="C627" s="23"/>
      <c r="D627" s="135"/>
    </row>
    <row r="628" spans="1:4" ht="22.5" customHeight="1" x14ac:dyDescent="0.2">
      <c r="A628" s="23"/>
      <c r="B628" s="23"/>
      <c r="C628" s="23"/>
      <c r="D628" s="135"/>
    </row>
    <row r="629" spans="1:4" ht="22.5" customHeight="1" x14ac:dyDescent="0.2">
      <c r="A629" s="23"/>
      <c r="B629" s="23"/>
      <c r="C629" s="23"/>
      <c r="D629" s="135"/>
    </row>
    <row r="630" spans="1:4" ht="22.5" customHeight="1" x14ac:dyDescent="0.2">
      <c r="A630" s="23"/>
      <c r="B630" s="23"/>
      <c r="C630" s="23"/>
      <c r="D630" s="135"/>
    </row>
    <row r="631" spans="1:4" ht="22.5" customHeight="1" x14ac:dyDescent="0.2">
      <c r="A631" s="23"/>
      <c r="B631" s="23"/>
      <c r="C631" s="23"/>
      <c r="D631" s="135"/>
    </row>
    <row r="632" spans="1:4" ht="22.5" customHeight="1" x14ac:dyDescent="0.2">
      <c r="A632" s="23"/>
      <c r="B632" s="23"/>
      <c r="C632" s="23"/>
      <c r="D632" s="135"/>
    </row>
    <row r="633" spans="1:4" ht="22.5" customHeight="1" x14ac:dyDescent="0.2">
      <c r="A633" s="23"/>
      <c r="B633" s="23"/>
      <c r="C633" s="23"/>
      <c r="D633" s="135"/>
    </row>
    <row r="634" spans="1:4" ht="22.5" customHeight="1" x14ac:dyDescent="0.2">
      <c r="A634" s="23"/>
      <c r="B634" s="23"/>
      <c r="C634" s="23"/>
      <c r="D634" s="135"/>
    </row>
    <row r="635" spans="1:4" ht="22.5" customHeight="1" x14ac:dyDescent="0.2">
      <c r="A635" s="23"/>
      <c r="B635" s="23"/>
      <c r="C635" s="23"/>
      <c r="D635" s="135"/>
    </row>
    <row r="636" spans="1:4" ht="22.5" customHeight="1" x14ac:dyDescent="0.2">
      <c r="A636" s="23"/>
      <c r="B636" s="23"/>
      <c r="C636" s="23"/>
      <c r="D636" s="135"/>
    </row>
    <row r="637" spans="1:4" ht="22.5" customHeight="1" x14ac:dyDescent="0.2">
      <c r="A637" s="23"/>
      <c r="B637" s="23"/>
      <c r="C637" s="23"/>
      <c r="D637" s="135"/>
    </row>
    <row r="638" spans="1:4" ht="22.5" customHeight="1" x14ac:dyDescent="0.2">
      <c r="A638" s="23"/>
      <c r="B638" s="23"/>
      <c r="C638" s="23"/>
      <c r="D638" s="135"/>
    </row>
    <row r="639" spans="1:4" ht="22.5" customHeight="1" x14ac:dyDescent="0.2">
      <c r="A639" s="23"/>
      <c r="B639" s="23"/>
      <c r="C639" s="23"/>
      <c r="D639" s="135"/>
    </row>
    <row r="640" spans="1:4" ht="22.5" customHeight="1" x14ac:dyDescent="0.2">
      <c r="A640" s="23"/>
      <c r="B640" s="23"/>
      <c r="C640" s="23"/>
      <c r="D640" s="135"/>
    </row>
    <row r="641" spans="1:4" ht="22.5" customHeight="1" x14ac:dyDescent="0.2">
      <c r="A641" s="23"/>
      <c r="B641" s="23"/>
      <c r="C641" s="23"/>
      <c r="D641" s="135"/>
    </row>
    <row r="642" spans="1:4" ht="22.5" customHeight="1" x14ac:dyDescent="0.2">
      <c r="A642" s="23"/>
      <c r="B642" s="23"/>
      <c r="C642" s="23"/>
      <c r="D642" s="135"/>
    </row>
    <row r="643" spans="1:4" ht="22.5" customHeight="1" x14ac:dyDescent="0.2">
      <c r="A643" s="23"/>
      <c r="B643" s="23"/>
      <c r="C643" s="23"/>
      <c r="D643" s="135"/>
    </row>
    <row r="644" spans="1:4" ht="22.5" customHeight="1" x14ac:dyDescent="0.2">
      <c r="A644" s="23"/>
      <c r="B644" s="23"/>
      <c r="C644" s="23"/>
      <c r="D644" s="135"/>
    </row>
    <row r="645" spans="1:4" ht="22.5" customHeight="1" x14ac:dyDescent="0.2">
      <c r="A645" s="23"/>
      <c r="B645" s="23"/>
      <c r="C645" s="23"/>
      <c r="D645" s="135"/>
    </row>
    <row r="646" spans="1:4" ht="22.5" customHeight="1" x14ac:dyDescent="0.2">
      <c r="A646" s="23"/>
      <c r="B646" s="23"/>
      <c r="C646" s="23"/>
      <c r="D646" s="135"/>
    </row>
    <row r="647" spans="1:4" ht="22.5" customHeight="1" x14ac:dyDescent="0.2">
      <c r="A647" s="23"/>
      <c r="B647" s="23"/>
      <c r="C647" s="23"/>
      <c r="D647" s="135"/>
    </row>
    <row r="648" spans="1:4" ht="22.5" customHeight="1" x14ac:dyDescent="0.2">
      <c r="A648" s="23"/>
      <c r="B648" s="23"/>
      <c r="C648" s="23"/>
      <c r="D648" s="135"/>
    </row>
    <row r="649" spans="1:4" ht="22.5" customHeight="1" x14ac:dyDescent="0.2">
      <c r="A649" s="23"/>
      <c r="B649" s="23"/>
      <c r="C649" s="23"/>
      <c r="D649" s="135"/>
    </row>
    <row r="650" spans="1:4" ht="22.5" customHeight="1" x14ac:dyDescent="0.2">
      <c r="A650" s="23"/>
      <c r="B650" s="23"/>
      <c r="C650" s="23"/>
      <c r="D650" s="135"/>
    </row>
    <row r="651" spans="1:4" ht="22.5" customHeight="1" x14ac:dyDescent="0.2">
      <c r="A651" s="23"/>
      <c r="B651" s="23"/>
      <c r="C651" s="23"/>
      <c r="D651" s="135"/>
    </row>
    <row r="652" spans="1:4" ht="22.5" customHeight="1" x14ac:dyDescent="0.2">
      <c r="A652" s="23"/>
      <c r="B652" s="23"/>
      <c r="C652" s="23"/>
      <c r="D652" s="135"/>
    </row>
    <row r="653" spans="1:4" ht="22.5" customHeight="1" x14ac:dyDescent="0.2">
      <c r="A653" s="23"/>
      <c r="B653" s="23"/>
      <c r="C653" s="23"/>
      <c r="D653" s="135"/>
    </row>
    <row r="654" spans="1:4" ht="22.5" customHeight="1" x14ac:dyDescent="0.2">
      <c r="A654" s="23"/>
      <c r="B654" s="23"/>
      <c r="C654" s="23"/>
      <c r="D654" s="135"/>
    </row>
    <row r="655" spans="1:4" ht="22.5" customHeight="1" x14ac:dyDescent="0.2">
      <c r="A655" s="23"/>
      <c r="B655" s="23"/>
      <c r="C655" s="23"/>
      <c r="D655" s="135"/>
    </row>
    <row r="656" spans="1:4" ht="22.5" customHeight="1" x14ac:dyDescent="0.2">
      <c r="A656" s="23"/>
      <c r="B656" s="23"/>
      <c r="C656" s="23"/>
      <c r="D656" s="135"/>
    </row>
    <row r="657" spans="1:4" ht="22.5" customHeight="1" x14ac:dyDescent="0.2">
      <c r="A657" s="23"/>
      <c r="B657" s="23"/>
      <c r="C657" s="23"/>
      <c r="D657" s="135"/>
    </row>
    <row r="658" spans="1:4" ht="22.5" customHeight="1" x14ac:dyDescent="0.2">
      <c r="A658" s="23"/>
      <c r="B658" s="23"/>
      <c r="C658" s="23"/>
      <c r="D658" s="135"/>
    </row>
    <row r="659" spans="1:4" ht="22.5" customHeight="1" x14ac:dyDescent="0.2">
      <c r="A659" s="23"/>
      <c r="B659" s="23"/>
      <c r="C659" s="23"/>
      <c r="D659" s="135"/>
    </row>
    <row r="660" spans="1:4" ht="22.5" customHeight="1" x14ac:dyDescent="0.2">
      <c r="A660" s="23"/>
      <c r="B660" s="23"/>
      <c r="C660" s="23"/>
      <c r="D660" s="135"/>
    </row>
    <row r="661" spans="1:4" ht="22.5" customHeight="1" x14ac:dyDescent="0.2">
      <c r="A661" s="23"/>
      <c r="B661" s="23"/>
      <c r="C661" s="23"/>
      <c r="D661" s="135"/>
    </row>
    <row r="662" spans="1:4" ht="22.5" customHeight="1" x14ac:dyDescent="0.2">
      <c r="A662" s="23"/>
      <c r="B662" s="23"/>
      <c r="C662" s="23"/>
      <c r="D662" s="135"/>
    </row>
    <row r="663" spans="1:4" ht="22.5" customHeight="1" x14ac:dyDescent="0.2">
      <c r="A663" s="23"/>
      <c r="B663" s="23"/>
      <c r="C663" s="23"/>
      <c r="D663" s="135"/>
    </row>
    <row r="664" spans="1:4" ht="22.5" customHeight="1" x14ac:dyDescent="0.2">
      <c r="A664" s="23"/>
      <c r="B664" s="23"/>
      <c r="C664" s="23"/>
      <c r="D664" s="135"/>
    </row>
    <row r="665" spans="1:4" ht="22.5" customHeight="1" x14ac:dyDescent="0.2">
      <c r="A665" s="23"/>
      <c r="B665" s="23"/>
      <c r="C665" s="23"/>
      <c r="D665" s="135"/>
    </row>
    <row r="666" spans="1:4" ht="22.5" customHeight="1" x14ac:dyDescent="0.2">
      <c r="A666" s="23"/>
      <c r="B666" s="23"/>
      <c r="C666" s="23"/>
      <c r="D666" s="135"/>
    </row>
    <row r="667" spans="1:4" ht="22.5" customHeight="1" x14ac:dyDescent="0.2">
      <c r="A667" s="23"/>
      <c r="B667" s="23"/>
      <c r="C667" s="23"/>
      <c r="D667" s="135"/>
    </row>
    <row r="668" spans="1:4" ht="22.5" customHeight="1" x14ac:dyDescent="0.2">
      <c r="A668" s="23"/>
      <c r="B668" s="23"/>
      <c r="C668" s="23"/>
      <c r="D668" s="135"/>
    </row>
    <row r="669" spans="1:4" ht="22.5" customHeight="1" x14ac:dyDescent="0.2">
      <c r="A669" s="23"/>
      <c r="B669" s="23"/>
      <c r="C669" s="23"/>
      <c r="D669" s="135"/>
    </row>
    <row r="670" spans="1:4" ht="22.5" customHeight="1" x14ac:dyDescent="0.2">
      <c r="A670" s="23"/>
      <c r="B670" s="23"/>
      <c r="C670" s="23"/>
      <c r="D670" s="135"/>
    </row>
    <row r="671" spans="1:4" ht="22.5" customHeight="1" x14ac:dyDescent="0.2">
      <c r="A671" s="23"/>
      <c r="B671" s="23"/>
      <c r="C671" s="23"/>
      <c r="D671" s="135"/>
    </row>
    <row r="672" spans="1:4" ht="22.5" customHeight="1" x14ac:dyDescent="0.2">
      <c r="A672" s="23"/>
      <c r="B672" s="23"/>
      <c r="C672" s="23"/>
      <c r="D672" s="135"/>
    </row>
    <row r="673" spans="1:4" ht="22.5" customHeight="1" x14ac:dyDescent="0.2">
      <c r="A673" s="23"/>
      <c r="B673" s="23"/>
      <c r="C673" s="23"/>
      <c r="D673" s="135"/>
    </row>
    <row r="674" spans="1:4" ht="22.5" customHeight="1" x14ac:dyDescent="0.2">
      <c r="A674" s="23"/>
      <c r="B674" s="23"/>
      <c r="C674" s="23"/>
      <c r="D674" s="135"/>
    </row>
    <row r="675" spans="1:4" ht="22.5" customHeight="1" x14ac:dyDescent="0.2">
      <c r="A675" s="23"/>
      <c r="B675" s="23"/>
      <c r="C675" s="23"/>
      <c r="D675" s="135"/>
    </row>
    <row r="676" spans="1:4" ht="22.5" customHeight="1" x14ac:dyDescent="0.2">
      <c r="A676" s="23"/>
      <c r="B676" s="23"/>
      <c r="C676" s="23"/>
      <c r="D676" s="135"/>
    </row>
    <row r="677" spans="1:4" ht="22.5" customHeight="1" x14ac:dyDescent="0.2">
      <c r="A677" s="23"/>
      <c r="B677" s="23"/>
      <c r="C677" s="23"/>
      <c r="D677" s="135"/>
    </row>
    <row r="678" spans="1:4" ht="22.5" customHeight="1" x14ac:dyDescent="0.2">
      <c r="A678" s="23"/>
      <c r="B678" s="23"/>
      <c r="C678" s="23"/>
      <c r="D678" s="135"/>
    </row>
    <row r="679" spans="1:4" ht="22.5" customHeight="1" x14ac:dyDescent="0.2">
      <c r="A679" s="23"/>
      <c r="B679" s="23"/>
      <c r="C679" s="23"/>
      <c r="D679" s="135"/>
    </row>
    <row r="680" spans="1:4" ht="22.5" customHeight="1" x14ac:dyDescent="0.2">
      <c r="A680" s="23"/>
      <c r="B680" s="23"/>
      <c r="C680" s="23"/>
      <c r="D680" s="135"/>
    </row>
    <row r="681" spans="1:4" ht="22.5" customHeight="1" x14ac:dyDescent="0.2">
      <c r="A681" s="23"/>
      <c r="B681" s="23"/>
      <c r="C681" s="23"/>
      <c r="D681" s="135"/>
    </row>
    <row r="682" spans="1:4" ht="22.5" customHeight="1" x14ac:dyDescent="0.2">
      <c r="A682" s="23"/>
      <c r="B682" s="23"/>
      <c r="C682" s="23"/>
      <c r="D682" s="135"/>
    </row>
    <row r="683" spans="1:4" ht="22.5" customHeight="1" x14ac:dyDescent="0.2">
      <c r="A683" s="23"/>
      <c r="B683" s="23"/>
      <c r="C683" s="23"/>
      <c r="D683" s="135"/>
    </row>
    <row r="684" spans="1:4" ht="22.5" customHeight="1" x14ac:dyDescent="0.2">
      <c r="A684" s="23"/>
      <c r="B684" s="23"/>
      <c r="C684" s="23"/>
      <c r="D684" s="135"/>
    </row>
    <row r="685" spans="1:4" ht="22.5" customHeight="1" x14ac:dyDescent="0.2">
      <c r="A685" s="23"/>
      <c r="B685" s="23"/>
      <c r="C685" s="23"/>
      <c r="D685" s="135"/>
    </row>
    <row r="686" spans="1:4" ht="22.5" customHeight="1" x14ac:dyDescent="0.2">
      <c r="A686" s="23"/>
      <c r="B686" s="23"/>
      <c r="C686" s="23"/>
      <c r="D686" s="135"/>
    </row>
    <row r="687" spans="1:4" ht="22.5" customHeight="1" x14ac:dyDescent="0.2">
      <c r="A687" s="23"/>
      <c r="B687" s="23"/>
      <c r="C687" s="23"/>
      <c r="D687" s="135"/>
    </row>
    <row r="688" spans="1:4" ht="22.5" customHeight="1" x14ac:dyDescent="0.2">
      <c r="A688" s="23"/>
      <c r="B688" s="23"/>
      <c r="C688" s="23"/>
      <c r="D688" s="135"/>
    </row>
    <row r="689" spans="1:4" ht="22.5" customHeight="1" x14ac:dyDescent="0.2">
      <c r="A689" s="23"/>
      <c r="B689" s="23"/>
      <c r="C689" s="23"/>
      <c r="D689" s="135"/>
    </row>
    <row r="690" spans="1:4" ht="22.5" customHeight="1" x14ac:dyDescent="0.2">
      <c r="A690" s="23"/>
      <c r="B690" s="23"/>
      <c r="C690" s="23"/>
      <c r="D690" s="135"/>
    </row>
    <row r="691" spans="1:4" ht="22.5" customHeight="1" x14ac:dyDescent="0.2">
      <c r="A691" s="23"/>
      <c r="B691" s="23"/>
      <c r="C691" s="23"/>
      <c r="D691" s="135"/>
    </row>
    <row r="692" spans="1:4" ht="22.5" customHeight="1" x14ac:dyDescent="0.2">
      <c r="A692" s="23"/>
      <c r="B692" s="23"/>
      <c r="C692" s="23"/>
      <c r="D692" s="135"/>
    </row>
    <row r="693" spans="1:4" ht="22.5" customHeight="1" x14ac:dyDescent="0.2">
      <c r="A693" s="23"/>
      <c r="B693" s="23"/>
      <c r="C693" s="23"/>
      <c r="D693" s="135"/>
    </row>
    <row r="694" spans="1:4" ht="22.5" customHeight="1" x14ac:dyDescent="0.2">
      <c r="A694" s="23"/>
      <c r="B694" s="23"/>
      <c r="C694" s="23"/>
      <c r="D694" s="135"/>
    </row>
    <row r="695" spans="1:4" ht="22.5" customHeight="1" x14ac:dyDescent="0.2">
      <c r="A695" s="23"/>
      <c r="B695" s="23"/>
      <c r="C695" s="23"/>
      <c r="D695" s="135"/>
    </row>
    <row r="696" spans="1:4" ht="22.5" customHeight="1" x14ac:dyDescent="0.2">
      <c r="A696" s="23"/>
      <c r="B696" s="23"/>
      <c r="C696" s="23"/>
      <c r="D696" s="135"/>
    </row>
    <row r="697" spans="1:4" ht="22.5" customHeight="1" x14ac:dyDescent="0.2">
      <c r="A697" s="23"/>
      <c r="B697" s="23"/>
      <c r="C697" s="23"/>
      <c r="D697" s="135"/>
    </row>
    <row r="698" spans="1:4" ht="22.5" customHeight="1" x14ac:dyDescent="0.2">
      <c r="A698" s="23"/>
      <c r="B698" s="23"/>
      <c r="C698" s="23"/>
      <c r="D698" s="135"/>
    </row>
    <row r="699" spans="1:4" ht="22.5" customHeight="1" x14ac:dyDescent="0.2">
      <c r="A699" s="23"/>
      <c r="B699" s="23"/>
      <c r="C699" s="23"/>
      <c r="D699" s="135"/>
    </row>
    <row r="700" spans="1:4" ht="22.5" customHeight="1" x14ac:dyDescent="0.2">
      <c r="A700" s="23"/>
      <c r="B700" s="23"/>
      <c r="C700" s="23"/>
      <c r="D700" s="135"/>
    </row>
    <row r="701" spans="1:4" ht="22.5" customHeight="1" x14ac:dyDescent="0.2">
      <c r="A701" s="23"/>
      <c r="B701" s="23"/>
      <c r="C701" s="23"/>
      <c r="D701" s="135"/>
    </row>
    <row r="702" spans="1:4" ht="22.5" customHeight="1" x14ac:dyDescent="0.2">
      <c r="A702" s="23"/>
      <c r="B702" s="23"/>
      <c r="C702" s="23"/>
      <c r="D702" s="135"/>
    </row>
    <row r="703" spans="1:4" ht="22.5" customHeight="1" x14ac:dyDescent="0.2">
      <c r="A703" s="23"/>
      <c r="B703" s="23"/>
      <c r="C703" s="23"/>
      <c r="D703" s="135"/>
    </row>
    <row r="704" spans="1:4" ht="22.5" customHeight="1" x14ac:dyDescent="0.2">
      <c r="A704" s="23"/>
      <c r="B704" s="23"/>
      <c r="C704" s="23"/>
      <c r="D704" s="135"/>
    </row>
    <row r="705" spans="1:4" ht="22.5" customHeight="1" x14ac:dyDescent="0.2">
      <c r="A705" s="23"/>
      <c r="B705" s="23"/>
      <c r="C705" s="23"/>
      <c r="D705" s="135"/>
    </row>
    <row r="706" spans="1:4" ht="22.5" customHeight="1" x14ac:dyDescent="0.2">
      <c r="A706" s="23"/>
      <c r="B706" s="23"/>
      <c r="C706" s="23"/>
      <c r="D706" s="135"/>
    </row>
    <row r="707" spans="1:4" ht="22.5" customHeight="1" x14ac:dyDescent="0.2">
      <c r="A707" s="23"/>
      <c r="B707" s="23"/>
      <c r="C707" s="23"/>
      <c r="D707" s="135"/>
    </row>
    <row r="708" spans="1:4" ht="22.5" customHeight="1" x14ac:dyDescent="0.2">
      <c r="A708" s="23"/>
      <c r="B708" s="23"/>
      <c r="C708" s="23"/>
      <c r="D708" s="135"/>
    </row>
    <row r="709" spans="1:4" ht="22.5" customHeight="1" x14ac:dyDescent="0.2">
      <c r="A709" s="23"/>
      <c r="B709" s="23"/>
      <c r="C709" s="23"/>
      <c r="D709" s="135"/>
    </row>
    <row r="710" spans="1:4" ht="22.5" customHeight="1" x14ac:dyDescent="0.2">
      <c r="A710" s="23"/>
      <c r="B710" s="23"/>
      <c r="C710" s="23"/>
      <c r="D710" s="135"/>
    </row>
    <row r="711" spans="1:4" ht="22.5" customHeight="1" x14ac:dyDescent="0.2">
      <c r="A711" s="23"/>
      <c r="B711" s="23"/>
      <c r="C711" s="23"/>
      <c r="D711" s="135"/>
    </row>
    <row r="712" spans="1:4" ht="22.5" customHeight="1" x14ac:dyDescent="0.2">
      <c r="A712" s="23"/>
      <c r="B712" s="23"/>
      <c r="C712" s="23"/>
      <c r="D712" s="135"/>
    </row>
    <row r="713" spans="1:4" ht="22.5" customHeight="1" x14ac:dyDescent="0.2">
      <c r="A713" s="23"/>
      <c r="B713" s="23"/>
      <c r="C713" s="23"/>
      <c r="D713" s="135"/>
    </row>
    <row r="714" spans="1:4" ht="22.5" customHeight="1" x14ac:dyDescent="0.2">
      <c r="A714" s="23"/>
      <c r="B714" s="23"/>
      <c r="C714" s="23"/>
      <c r="D714" s="135"/>
    </row>
    <row r="715" spans="1:4" ht="22.5" customHeight="1" x14ac:dyDescent="0.2">
      <c r="A715" s="23"/>
      <c r="B715" s="23"/>
      <c r="C715" s="23"/>
      <c r="D715" s="135"/>
    </row>
    <row r="716" spans="1:4" ht="22.5" customHeight="1" x14ac:dyDescent="0.2">
      <c r="A716" s="23"/>
      <c r="B716" s="23"/>
      <c r="C716" s="23"/>
      <c r="D716" s="135"/>
    </row>
    <row r="717" spans="1:4" ht="22.5" customHeight="1" x14ac:dyDescent="0.2">
      <c r="A717" s="23"/>
      <c r="B717" s="23"/>
      <c r="C717" s="23"/>
      <c r="D717" s="135"/>
    </row>
    <row r="718" spans="1:4" ht="22.5" customHeight="1" x14ac:dyDescent="0.2">
      <c r="A718" s="23"/>
      <c r="B718" s="23"/>
      <c r="C718" s="23"/>
      <c r="D718" s="135"/>
    </row>
    <row r="719" spans="1:4" ht="22.5" customHeight="1" x14ac:dyDescent="0.2">
      <c r="A719" s="23"/>
      <c r="B719" s="23"/>
      <c r="C719" s="23"/>
      <c r="D719" s="135"/>
    </row>
    <row r="720" spans="1:4" ht="22.5" customHeight="1" x14ac:dyDescent="0.2">
      <c r="A720" s="23"/>
      <c r="B720" s="23"/>
      <c r="C720" s="23"/>
      <c r="D720" s="135"/>
    </row>
    <row r="721" spans="1:4" ht="22.5" customHeight="1" x14ac:dyDescent="0.2">
      <c r="A721" s="23"/>
      <c r="B721" s="23"/>
      <c r="C721" s="23"/>
      <c r="D721" s="135"/>
    </row>
    <row r="722" spans="1:4" ht="22.5" customHeight="1" x14ac:dyDescent="0.2">
      <c r="A722" s="23"/>
      <c r="B722" s="23"/>
      <c r="C722" s="23"/>
      <c r="D722" s="135"/>
    </row>
    <row r="723" spans="1:4" ht="22.5" customHeight="1" x14ac:dyDescent="0.2">
      <c r="A723" s="23"/>
      <c r="B723" s="23"/>
      <c r="C723" s="23"/>
      <c r="D723" s="135"/>
    </row>
    <row r="724" spans="1:4" ht="22.5" customHeight="1" x14ac:dyDescent="0.2">
      <c r="A724" s="23"/>
      <c r="B724" s="23"/>
      <c r="C724" s="23"/>
      <c r="D724" s="135"/>
    </row>
    <row r="725" spans="1:4" ht="22.5" customHeight="1" x14ac:dyDescent="0.2">
      <c r="A725" s="23"/>
      <c r="B725" s="23"/>
      <c r="C725" s="23"/>
      <c r="D725" s="135"/>
    </row>
    <row r="726" spans="1:4" ht="22.5" customHeight="1" x14ac:dyDescent="0.2">
      <c r="A726" s="23"/>
      <c r="B726" s="23"/>
      <c r="C726" s="23"/>
      <c r="D726" s="135"/>
    </row>
    <row r="727" spans="1:4" ht="22.5" customHeight="1" x14ac:dyDescent="0.2">
      <c r="A727" s="23"/>
      <c r="B727" s="23"/>
      <c r="C727" s="23"/>
      <c r="D727" s="135"/>
    </row>
    <row r="728" spans="1:4" ht="22.5" customHeight="1" x14ac:dyDescent="0.2">
      <c r="A728" s="23"/>
      <c r="B728" s="23"/>
      <c r="C728" s="23"/>
      <c r="D728" s="136"/>
    </row>
    <row r="729" spans="1:4" ht="22.5" customHeight="1" x14ac:dyDescent="0.2">
      <c r="A729" s="23"/>
      <c r="B729" s="23"/>
      <c r="C729" s="23"/>
      <c r="D729" s="136"/>
    </row>
    <row r="730" spans="1:4" ht="22.5" customHeight="1" x14ac:dyDescent="0.2">
      <c r="A730" s="23"/>
      <c r="B730" s="23"/>
      <c r="C730" s="23"/>
      <c r="D730" s="136"/>
    </row>
    <row r="731" spans="1:4" ht="22.5" customHeight="1" x14ac:dyDescent="0.2">
      <c r="A731" s="23"/>
      <c r="B731" s="23"/>
      <c r="C731" s="23"/>
      <c r="D731" s="136"/>
    </row>
    <row r="732" spans="1:4" ht="22.5" customHeight="1" x14ac:dyDescent="0.2">
      <c r="A732" s="23"/>
      <c r="B732" s="23"/>
      <c r="C732" s="23"/>
      <c r="D732" s="136"/>
    </row>
    <row r="733" spans="1:4" ht="22.5" customHeight="1" x14ac:dyDescent="0.2">
      <c r="A733" s="23"/>
      <c r="B733" s="23"/>
      <c r="C733" s="23"/>
      <c r="D733" s="136"/>
    </row>
  </sheetData>
  <autoFilter ref="A6:K239" xr:uid="{00000000-0001-0000-0000-000000000000}"/>
  <mergeCells count="5">
    <mergeCell ref="F7:J7"/>
    <mergeCell ref="F8:J8"/>
    <mergeCell ref="F1:J1"/>
    <mergeCell ref="F2:J2"/>
    <mergeCell ref="A1:D1"/>
  </mergeCells>
  <dataValidations count="1">
    <dataValidation type="list" allowBlank="1" showInputMessage="1" showErrorMessage="1" sqref="D144:D727 D132:D141 D25:D34 D37:D60 D63:D72 D74:D75 D77:D78 D80:D81 D83:D92 D95:D108 D112:D119 D122:D129 D7:D22" xr:uid="{2CF37D91-5404-E143-BAF7-BF15070DA089}">
      <formula1>"1,2,3,4,5,6,7,8,9,MPD,HPD,PPD,EPD,ADM"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A523-00C0-4404-8F3A-6670368ABE51}">
  <dimension ref="A1:K649"/>
  <sheetViews>
    <sheetView topLeftCell="A619" workbookViewId="0">
      <selection activeCell="D8" sqref="D8"/>
    </sheetView>
  </sheetViews>
  <sheetFormatPr baseColWidth="10" defaultColWidth="9" defaultRowHeight="16" x14ac:dyDescent="0.2"/>
  <cols>
    <col min="1" max="1" width="24.1640625" style="49" customWidth="1"/>
    <col min="2" max="2" width="13.1640625" style="49" bestFit="1" customWidth="1"/>
    <col min="3" max="3" width="36.6640625" style="49" customWidth="1"/>
    <col min="4" max="4" width="10.83203125" style="49" bestFit="1" customWidth="1"/>
    <col min="5" max="5" width="10" style="49" bestFit="1" customWidth="1"/>
    <col min="6" max="6" width="19.33203125" style="49" customWidth="1"/>
    <col min="7" max="7" width="9.33203125" style="49" bestFit="1" customWidth="1"/>
    <col min="8" max="8" width="13.6640625" style="49" bestFit="1" customWidth="1"/>
    <col min="9" max="9" width="11.1640625" style="49" bestFit="1" customWidth="1"/>
    <col min="10" max="10" width="15.6640625" style="49" bestFit="1" customWidth="1"/>
    <col min="11" max="11" width="6" style="49" bestFit="1" customWidth="1"/>
    <col min="12" max="16384" width="9" style="49"/>
  </cols>
  <sheetData>
    <row r="1" spans="1:11" s="48" customFormat="1" x14ac:dyDescent="0.2">
      <c r="A1" s="48" t="s">
        <v>50</v>
      </c>
      <c r="B1" s="48" t="s">
        <v>51</v>
      </c>
      <c r="C1" s="48" t="s">
        <v>52</v>
      </c>
      <c r="D1" s="48" t="s">
        <v>53</v>
      </c>
      <c r="E1" s="48" t="s">
        <v>54</v>
      </c>
      <c r="F1" s="48" t="s">
        <v>55</v>
      </c>
      <c r="G1" s="48" t="s">
        <v>56</v>
      </c>
      <c r="H1" s="48" t="s">
        <v>57</v>
      </c>
      <c r="I1" s="48" t="s">
        <v>58</v>
      </c>
      <c r="J1" s="48" t="s">
        <v>59</v>
      </c>
      <c r="K1" s="48" t="s">
        <v>60</v>
      </c>
    </row>
    <row r="2" spans="1:11" x14ac:dyDescent="0.2">
      <c r="A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","#",3))+1,1)&amp;"-"&amp;LEFT(Educator!B7, 3)&amp;"-"&amp;LEFT(Educator!A7, 3)&amp;"-"&amp;"2027"</f>
        <v>UID-FLH---2027</v>
      </c>
      <c r="C2" s="49">
        <f>Educator!C7</f>
        <v>0</v>
      </c>
      <c r="D2" s="49" t="b">
        <f>IF(C2&gt;0,"topscore123")</f>
        <v>0</v>
      </c>
      <c r="E2" s="49">
        <f>Educator!A7</f>
        <v>0</v>
      </c>
      <c r="F2" s="49">
        <f>Educator!B7</f>
        <v>0</v>
      </c>
      <c r="G2" s="49" t="str">
        <f>Educator!A7 &amp;" " &amp;Educator!B7</f>
        <v xml:space="preserve"> </v>
      </c>
      <c r="J2" s="49">
        <f>Educator!C7</f>
        <v>0</v>
      </c>
      <c r="K2" s="49" t="b">
        <f>IF(C2&gt;0,"active")</f>
        <v>0</v>
      </c>
    </row>
    <row r="3" spans="1:11" x14ac:dyDescent="0.2">
      <c r="A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","#",3))+1,1)&amp;"-"&amp;LEFT(Educator!B8, 3)&amp;"-"&amp;LEFT(Educator!A8, 3)&amp;"-"&amp;"2027"</f>
        <v>UID-FLH---2027</v>
      </c>
      <c r="C3" s="49">
        <f>Educator!C8</f>
        <v>0</v>
      </c>
      <c r="D3" s="49" t="b">
        <f t="shared" ref="D3:D65" si="0">IF(C3&gt;0,"topscore123")</f>
        <v>0</v>
      </c>
      <c r="E3" s="49">
        <f>Educator!A8</f>
        <v>0</v>
      </c>
      <c r="F3" s="49">
        <f>Educator!B8</f>
        <v>0</v>
      </c>
      <c r="G3" s="49" t="str">
        <f>Educator!A8 &amp;" " &amp;Educator!B8</f>
        <v xml:space="preserve"> </v>
      </c>
      <c r="J3" s="49">
        <f>Educator!C8</f>
        <v>0</v>
      </c>
      <c r="K3" s="49" t="b">
        <f t="shared" ref="K3:K15" si="1">IF(C3&gt;0,"active")</f>
        <v>0</v>
      </c>
    </row>
    <row r="4" spans="1:11" x14ac:dyDescent="0.2">
      <c r="A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","#",3))+1,1)&amp;"-"&amp;LEFT(Educator!B9, 3)&amp;"-"&amp;LEFT(Educator!A9, 3)&amp;"-"&amp;"2027"</f>
        <v>UID-FLH---2027</v>
      </c>
      <c r="C4" s="49">
        <f>Educator!C9</f>
        <v>0</v>
      </c>
      <c r="D4" s="49" t="b">
        <f t="shared" si="0"/>
        <v>0</v>
      </c>
      <c r="E4" s="49">
        <f>Educator!A9</f>
        <v>0</v>
      </c>
      <c r="F4" s="49">
        <f>Educator!B9</f>
        <v>0</v>
      </c>
      <c r="G4" s="49" t="str">
        <f>Educator!A9 &amp;" " &amp;Educator!B9</f>
        <v xml:space="preserve"> </v>
      </c>
      <c r="J4" s="49">
        <f>Educator!C9</f>
        <v>0</v>
      </c>
      <c r="K4" s="49" t="b">
        <f t="shared" si="1"/>
        <v>0</v>
      </c>
    </row>
    <row r="5" spans="1:11" x14ac:dyDescent="0.2">
      <c r="A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","#",3))+1,1)&amp;"-"&amp;LEFT(Educator!B10, 3)&amp;"-"&amp;LEFT(Educator!A10, 3)&amp;"-"&amp;"2027"</f>
        <v>UID-FLH---2027</v>
      </c>
      <c r="C5" s="49">
        <f>Educator!C10</f>
        <v>0</v>
      </c>
      <c r="D5" s="49" t="b">
        <f t="shared" si="0"/>
        <v>0</v>
      </c>
      <c r="E5" s="49">
        <f>Educator!A10</f>
        <v>0</v>
      </c>
      <c r="F5" s="49">
        <f>Educator!B10</f>
        <v>0</v>
      </c>
      <c r="G5" s="49" t="str">
        <f>Educator!A10 &amp;" " &amp;Educator!B10</f>
        <v xml:space="preserve"> </v>
      </c>
      <c r="J5" s="49">
        <f>Educator!C10</f>
        <v>0</v>
      </c>
      <c r="K5" s="49" t="b">
        <f t="shared" si="1"/>
        <v>0</v>
      </c>
    </row>
    <row r="6" spans="1:11" x14ac:dyDescent="0.2">
      <c r="A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","#",3))+1,1)&amp;"-"&amp;LEFT(Educator!B11, 3)&amp;"-"&amp;LEFT(Educator!A11, 3)&amp;"-"&amp;"2027"</f>
        <v>UID-FLH---2027</v>
      </c>
      <c r="C6" s="49">
        <f>Educator!C11</f>
        <v>0</v>
      </c>
      <c r="D6" s="49" t="b">
        <f t="shared" si="0"/>
        <v>0</v>
      </c>
      <c r="E6" s="49">
        <f>Educator!A11</f>
        <v>0</v>
      </c>
      <c r="F6" s="49">
        <f>Educator!B11</f>
        <v>0</v>
      </c>
      <c r="G6" s="49" t="str">
        <f>Educator!A11 &amp;" " &amp;Educator!B11</f>
        <v xml:space="preserve"> </v>
      </c>
      <c r="J6" s="49">
        <f>Educator!C11</f>
        <v>0</v>
      </c>
      <c r="K6" s="49" t="b">
        <f t="shared" si="1"/>
        <v>0</v>
      </c>
    </row>
    <row r="7" spans="1:11" x14ac:dyDescent="0.2">
      <c r="A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","#",3))+1,1)&amp;"-"&amp;LEFT(Educator!B12, 3)&amp;"-"&amp;LEFT(Educator!A12, 3)&amp;"-"&amp;"2027"</f>
        <v>UID-FLH---2027</v>
      </c>
      <c r="C7" s="49">
        <f>Educator!C12</f>
        <v>0</v>
      </c>
      <c r="D7" s="49" t="b">
        <f t="shared" si="0"/>
        <v>0</v>
      </c>
      <c r="E7" s="49">
        <f>Educator!A12</f>
        <v>0</v>
      </c>
      <c r="F7" s="49">
        <f>Educator!B12</f>
        <v>0</v>
      </c>
      <c r="G7" s="49" t="str">
        <f>Educator!A12 &amp;" " &amp;Educator!B12</f>
        <v xml:space="preserve"> </v>
      </c>
      <c r="J7" s="49">
        <f>Educator!C12</f>
        <v>0</v>
      </c>
      <c r="K7" s="49" t="b">
        <f t="shared" si="1"/>
        <v>0</v>
      </c>
    </row>
    <row r="8" spans="1:11" x14ac:dyDescent="0.2">
      <c r="A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","#",3))+1,1)&amp;"-"&amp;LEFT(Educator!B13, 3)&amp;"-"&amp;LEFT(Educator!A13, 3)&amp;"-"&amp;"2027"</f>
        <v>UID-FLH---2027</v>
      </c>
      <c r="C8" s="49">
        <f>Educator!C13</f>
        <v>0</v>
      </c>
      <c r="D8" s="49" t="b">
        <f t="shared" si="0"/>
        <v>0</v>
      </c>
      <c r="E8" s="49">
        <f>Educator!A13</f>
        <v>0</v>
      </c>
      <c r="F8" s="49">
        <f>Educator!B13</f>
        <v>0</v>
      </c>
      <c r="G8" s="49" t="str">
        <f>Educator!A13 &amp;" " &amp;Educator!B13</f>
        <v xml:space="preserve"> </v>
      </c>
      <c r="J8" s="49">
        <f>Educator!C13</f>
        <v>0</v>
      </c>
      <c r="K8" s="49" t="b">
        <f t="shared" si="1"/>
        <v>0</v>
      </c>
    </row>
    <row r="9" spans="1:11" x14ac:dyDescent="0.2">
      <c r="A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","#",3))+1,1)&amp;"-"&amp;LEFT(Educator!B14, 3)&amp;"-"&amp;LEFT(Educator!A14, 3)&amp;"-"&amp;"2027"</f>
        <v>UID-FLH---2027</v>
      </c>
      <c r="C9" s="49">
        <f>Educator!C14</f>
        <v>0</v>
      </c>
      <c r="D9" s="49" t="b">
        <f t="shared" si="0"/>
        <v>0</v>
      </c>
      <c r="E9" s="49">
        <f>Educator!A14</f>
        <v>0</v>
      </c>
      <c r="F9" s="49">
        <f>Educator!B14</f>
        <v>0</v>
      </c>
      <c r="G9" s="49" t="str">
        <f>Educator!A14 &amp;" " &amp;Educator!B14</f>
        <v xml:space="preserve"> </v>
      </c>
      <c r="J9" s="49">
        <f>Educator!C14</f>
        <v>0</v>
      </c>
      <c r="K9" s="49" t="b">
        <f t="shared" si="1"/>
        <v>0</v>
      </c>
    </row>
    <row r="10" spans="1:11" x14ac:dyDescent="0.2">
      <c r="A1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","#",3))+1,1)&amp;"-"&amp;LEFT(Educator!B15, 3)&amp;"-"&amp;LEFT(Educator!A15, 3)&amp;"-"&amp;"2027"</f>
        <v>UID-FLH---2027</v>
      </c>
      <c r="C10" s="49">
        <f>Educator!C15</f>
        <v>0</v>
      </c>
      <c r="D10" s="49" t="b">
        <f t="shared" si="0"/>
        <v>0</v>
      </c>
      <c r="E10" s="49">
        <f>Educator!A15</f>
        <v>0</v>
      </c>
      <c r="F10" s="49">
        <f>Educator!B15</f>
        <v>0</v>
      </c>
      <c r="G10" s="49" t="str">
        <f>Educator!A15 &amp;" " &amp;Educator!B15</f>
        <v xml:space="preserve"> </v>
      </c>
      <c r="J10" s="49">
        <f>Educator!C15</f>
        <v>0</v>
      </c>
      <c r="K10" s="49" t="b">
        <f t="shared" si="1"/>
        <v>0</v>
      </c>
    </row>
    <row r="11" spans="1:11" x14ac:dyDescent="0.2">
      <c r="A1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","#",3))+1,1)&amp;"-"&amp;LEFT(Educator!B16, 3)&amp;"-"&amp;LEFT(Educator!A16, 3)&amp;"-"&amp;"2027"</f>
        <v>UID-FLH---2027</v>
      </c>
      <c r="C11" s="49">
        <f>Educator!C16</f>
        <v>0</v>
      </c>
      <c r="D11" s="49" t="b">
        <f t="shared" si="0"/>
        <v>0</v>
      </c>
      <c r="E11" s="49">
        <f>Educator!A16</f>
        <v>0</v>
      </c>
      <c r="F11" s="49">
        <f>Educator!B16</f>
        <v>0</v>
      </c>
      <c r="G11" s="49" t="str">
        <f>Educator!A16 &amp;" " &amp;Educator!B16</f>
        <v xml:space="preserve"> </v>
      </c>
      <c r="J11" s="49">
        <f>Educator!C16</f>
        <v>0</v>
      </c>
      <c r="K11" s="49" t="b">
        <f t="shared" si="1"/>
        <v>0</v>
      </c>
    </row>
    <row r="12" spans="1:11" x14ac:dyDescent="0.2">
      <c r="A1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","#",3))+1,1)&amp;"-"&amp;LEFT(Educator!B17, 3)&amp;"-"&amp;LEFT(Educator!A17, 3)&amp;"-"&amp;"2027"</f>
        <v>UID-FLH---2027</v>
      </c>
      <c r="C12" s="49">
        <f>Educator!C17</f>
        <v>0</v>
      </c>
      <c r="D12" s="49" t="b">
        <f t="shared" si="0"/>
        <v>0</v>
      </c>
      <c r="E12" s="49">
        <f>Educator!A17</f>
        <v>0</v>
      </c>
      <c r="F12" s="49">
        <f>Educator!B17</f>
        <v>0</v>
      </c>
      <c r="G12" s="49" t="str">
        <f>Educator!A17 &amp;" " &amp;Educator!B17</f>
        <v xml:space="preserve"> </v>
      </c>
      <c r="J12" s="49">
        <f>Educator!C17</f>
        <v>0</v>
      </c>
      <c r="K12" s="49" t="b">
        <f t="shared" si="1"/>
        <v>0</v>
      </c>
    </row>
    <row r="13" spans="1:11" x14ac:dyDescent="0.2">
      <c r="A1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","#",3))+1,1)&amp;"-"&amp;LEFT(Educator!B18, 3)&amp;"-"&amp;LEFT(Educator!A18, 3)&amp;"-"&amp;"2027"</f>
        <v>UID-FLH---2027</v>
      </c>
      <c r="C13" s="49">
        <f>Educator!C18</f>
        <v>0</v>
      </c>
      <c r="D13" s="49" t="b">
        <f t="shared" si="0"/>
        <v>0</v>
      </c>
      <c r="E13" s="49">
        <f>Educator!A18</f>
        <v>0</v>
      </c>
      <c r="F13" s="49">
        <f>Educator!B18</f>
        <v>0</v>
      </c>
      <c r="G13" s="49" t="str">
        <f>Educator!A18 &amp;" " &amp;Educator!B18</f>
        <v xml:space="preserve"> </v>
      </c>
      <c r="J13" s="49">
        <f>Educator!C18</f>
        <v>0</v>
      </c>
      <c r="K13" s="49" t="b">
        <f t="shared" si="1"/>
        <v>0</v>
      </c>
    </row>
    <row r="14" spans="1:11" x14ac:dyDescent="0.2">
      <c r="A1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","#",3))+1,1)&amp;"-"&amp;LEFT(Educator!B19, 3)&amp;"-"&amp;LEFT(Educator!A19, 3)&amp;"-"&amp;"2027"</f>
        <v>UID-FLH---2027</v>
      </c>
      <c r="C14" s="49">
        <f>Educator!C19</f>
        <v>0</v>
      </c>
      <c r="D14" s="49" t="b">
        <f t="shared" si="0"/>
        <v>0</v>
      </c>
      <c r="E14" s="49">
        <f>Educator!A19</f>
        <v>0</v>
      </c>
      <c r="F14" s="49">
        <f>Educator!B19</f>
        <v>0</v>
      </c>
      <c r="G14" s="49" t="str">
        <f>Educator!A19 &amp;" " &amp;Educator!B19</f>
        <v xml:space="preserve"> </v>
      </c>
      <c r="J14" s="49">
        <f>Educator!C19</f>
        <v>0</v>
      </c>
      <c r="K14" s="49" t="b">
        <f t="shared" si="1"/>
        <v>0</v>
      </c>
    </row>
    <row r="15" spans="1:11" x14ac:dyDescent="0.2">
      <c r="A1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","#",3))+1,1)&amp;"-"&amp;LEFT(Educator!B20, 3)&amp;"-"&amp;LEFT(Educator!A20, 3)&amp;"-"&amp;"2027"</f>
        <v>UID-FLH---2027</v>
      </c>
      <c r="C15" s="49">
        <f>Educator!C20</f>
        <v>0</v>
      </c>
      <c r="D15" s="49" t="b">
        <f t="shared" si="0"/>
        <v>0</v>
      </c>
      <c r="E15" s="49">
        <f>Educator!A20</f>
        <v>0</v>
      </c>
      <c r="F15" s="49">
        <f>Educator!B20</f>
        <v>0</v>
      </c>
      <c r="G15" s="49" t="str">
        <f>Educator!A20 &amp;" " &amp;Educator!B20</f>
        <v xml:space="preserve"> </v>
      </c>
      <c r="J15" s="49">
        <f>Educator!C20</f>
        <v>0</v>
      </c>
      <c r="K15" s="49" t="b">
        <f t="shared" si="1"/>
        <v>0</v>
      </c>
    </row>
    <row r="16" spans="1:11" x14ac:dyDescent="0.2">
      <c r="A1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","#",3))+1,1)&amp;"-"&amp;LEFT(Educator!B21, 3)&amp;"-"&amp;LEFT(Educator!A21, 3)&amp;"-"&amp;"2027"</f>
        <v>UID-FLH---2027</v>
      </c>
      <c r="C16" s="49">
        <f>Educator!C21</f>
        <v>0</v>
      </c>
      <c r="D16" s="49" t="b">
        <f t="shared" si="0"/>
        <v>0</v>
      </c>
      <c r="E16" s="49">
        <f>Educator!A21</f>
        <v>0</v>
      </c>
      <c r="F16" s="49">
        <f>Educator!B21</f>
        <v>0</v>
      </c>
      <c r="G16" s="49" t="str">
        <f>Educator!A21 &amp;" " &amp;Educator!B21</f>
        <v xml:space="preserve"> </v>
      </c>
      <c r="J16" s="49">
        <f>Educator!C21</f>
        <v>0</v>
      </c>
      <c r="K16" s="49" t="b">
        <f>IF(C16&gt;0,"active")</f>
        <v>0</v>
      </c>
    </row>
    <row r="17" spans="1:11" x14ac:dyDescent="0.2">
      <c r="A1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","#",3))+1,1)&amp;"-"&amp;LEFT(Educator!B22, 3)&amp;"-"&amp;LEFT(Educator!A22, 3)&amp;"-"&amp;"2027"</f>
        <v>UID-FLH---2027</v>
      </c>
      <c r="C17" s="49">
        <f>Educator!C22</f>
        <v>0</v>
      </c>
      <c r="D17" s="49" t="b">
        <f t="shared" si="0"/>
        <v>0</v>
      </c>
      <c r="E17" s="49">
        <f>Educator!A22</f>
        <v>0</v>
      </c>
      <c r="F17" s="49">
        <f>Educator!B22</f>
        <v>0</v>
      </c>
      <c r="G17" s="49" t="str">
        <f>Educator!A22 &amp;" " &amp;Educator!B22</f>
        <v xml:space="preserve"> </v>
      </c>
      <c r="J17" s="49">
        <f>Educator!C22</f>
        <v>0</v>
      </c>
      <c r="K17" s="49" t="b">
        <f t="shared" ref="K17:K20" si="2">IF(C17&gt;0,"active")</f>
        <v>0</v>
      </c>
    </row>
    <row r="18" spans="1:11" x14ac:dyDescent="0.2">
      <c r="A1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","#",3))+1,1)&amp;"-"&amp;LEFT(Educator!B23, 3)&amp;"-"&amp;LEFT(Educator!A23, 3)&amp;"-"&amp;"2027"</f>
        <v>UID-FLH---2027</v>
      </c>
      <c r="C18" s="49">
        <f>Educator!C23</f>
        <v>0</v>
      </c>
      <c r="D18" s="49" t="b">
        <f t="shared" si="0"/>
        <v>0</v>
      </c>
      <c r="E18" s="49">
        <f>Educator!A23</f>
        <v>0</v>
      </c>
      <c r="F18" s="49">
        <f>Educator!B23</f>
        <v>0</v>
      </c>
      <c r="G18" s="49" t="str">
        <f>Educator!A23 &amp;" " &amp;Educator!B23</f>
        <v xml:space="preserve"> </v>
      </c>
      <c r="J18" s="49">
        <f>Educator!C23</f>
        <v>0</v>
      </c>
      <c r="K18" s="49" t="b">
        <f t="shared" si="2"/>
        <v>0</v>
      </c>
    </row>
    <row r="19" spans="1:11" x14ac:dyDescent="0.2">
      <c r="A1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","#",3))+1,1)&amp;"-"&amp;LEFT(Educator!B24, 3)&amp;"-"&amp;LEFT(Educator!A24, 3)&amp;"-"&amp;"2027"</f>
        <v>UID-FLH---2027</v>
      </c>
      <c r="C19" s="49">
        <f>Educator!C24</f>
        <v>0</v>
      </c>
      <c r="D19" s="49" t="b">
        <f t="shared" si="0"/>
        <v>0</v>
      </c>
      <c r="E19" s="49">
        <f>Educator!A24</f>
        <v>0</v>
      </c>
      <c r="F19" s="49">
        <f>Educator!B24</f>
        <v>0</v>
      </c>
      <c r="G19" s="49" t="str">
        <f>Educator!A24 &amp;" " &amp;Educator!B24</f>
        <v xml:space="preserve"> </v>
      </c>
      <c r="J19" s="49">
        <f>Educator!C24</f>
        <v>0</v>
      </c>
      <c r="K19" s="49" t="b">
        <f t="shared" si="2"/>
        <v>0</v>
      </c>
    </row>
    <row r="20" spans="1:11" x14ac:dyDescent="0.2">
      <c r="A2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","#",3))+1,1)&amp;"-"&amp;LEFT(Educator!B25, 3)&amp;"-"&amp;LEFT(Educator!A25, 3)&amp;"-"&amp;"2027"</f>
        <v>UID-FLH---2027</v>
      </c>
      <c r="C20" s="49">
        <f>Educator!C25</f>
        <v>0</v>
      </c>
      <c r="D20" s="49" t="b">
        <f t="shared" si="0"/>
        <v>0</v>
      </c>
      <c r="E20" s="49">
        <f>Educator!A25</f>
        <v>0</v>
      </c>
      <c r="F20" s="49">
        <f>Educator!B25</f>
        <v>0</v>
      </c>
      <c r="G20" s="49" t="str">
        <f>Educator!A25 &amp;" " &amp;Educator!B25</f>
        <v xml:space="preserve"> </v>
      </c>
      <c r="J20" s="49">
        <f>Educator!C25</f>
        <v>0</v>
      </c>
      <c r="K20" s="49" t="b">
        <f t="shared" si="2"/>
        <v>0</v>
      </c>
    </row>
    <row r="21" spans="1:11" x14ac:dyDescent="0.2">
      <c r="A2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","#",3))+1,1)&amp;"-"&amp;LEFT(Educator!B26, 3)&amp;"-"&amp;LEFT(Educator!A26, 3)&amp;"-"&amp;"2027"</f>
        <v>UID-FLH---2027</v>
      </c>
      <c r="C21" s="49">
        <f>Educator!C26</f>
        <v>0</v>
      </c>
      <c r="D21" s="49" t="b">
        <f t="shared" si="0"/>
        <v>0</v>
      </c>
      <c r="E21" s="49">
        <f>Educator!A26</f>
        <v>0</v>
      </c>
      <c r="F21" s="49">
        <f>Educator!B26</f>
        <v>0</v>
      </c>
      <c r="G21" s="49" t="str">
        <f>Educator!A26 &amp;" " &amp;Educator!B26</f>
        <v xml:space="preserve"> </v>
      </c>
      <c r="J21" s="49">
        <f>Educator!C26</f>
        <v>0</v>
      </c>
      <c r="K21" s="49" t="b">
        <f t="shared" ref="K21:K40" si="3">IF(C21&gt;0,"active")</f>
        <v>0</v>
      </c>
    </row>
    <row r="22" spans="1:11" ht="17" customHeight="1" x14ac:dyDescent="0.2">
      <c r="A2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","#",3))+1,1)&amp;"-"&amp;LEFT(Educator!B27, 3)&amp;"-"&amp;LEFT(Educator!A27, 3)&amp;"-"&amp;"2027"</f>
        <v>UID-FLH---2027</v>
      </c>
      <c r="C22" s="49">
        <f>Educator!C27</f>
        <v>0</v>
      </c>
      <c r="D22" s="49" t="b">
        <f t="shared" si="0"/>
        <v>0</v>
      </c>
      <c r="E22" s="49">
        <f>Educator!A27</f>
        <v>0</v>
      </c>
      <c r="F22" s="49">
        <f>Educator!B27</f>
        <v>0</v>
      </c>
      <c r="G22" s="49" t="str">
        <f>Educator!A27 &amp;" " &amp;Educator!B27</f>
        <v xml:space="preserve"> </v>
      </c>
      <c r="J22" s="49">
        <f>Educator!C27</f>
        <v>0</v>
      </c>
      <c r="K22" s="49" t="b">
        <f t="shared" si="3"/>
        <v>0</v>
      </c>
    </row>
    <row r="23" spans="1:11" x14ac:dyDescent="0.2">
      <c r="A2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","#",3))+1,1)&amp;"-"&amp;LEFT(Educator!B28, 3)&amp;"-"&amp;LEFT(Educator!A28, 3)&amp;"-"&amp;"2027"</f>
        <v>UID-FLH---2027</v>
      </c>
      <c r="C23" s="49">
        <f>Educator!C28</f>
        <v>0</v>
      </c>
      <c r="D23" s="49" t="b">
        <f t="shared" si="0"/>
        <v>0</v>
      </c>
      <c r="E23" s="49">
        <f>Educator!A28</f>
        <v>0</v>
      </c>
      <c r="F23" s="49">
        <f>Educator!B28</f>
        <v>0</v>
      </c>
      <c r="G23" s="49" t="str">
        <f>Educator!A28 &amp;" " &amp;Educator!B28</f>
        <v xml:space="preserve"> </v>
      </c>
      <c r="J23" s="49">
        <f>Educator!C28</f>
        <v>0</v>
      </c>
      <c r="K23" s="49" t="b">
        <f t="shared" si="3"/>
        <v>0</v>
      </c>
    </row>
    <row r="24" spans="1:11" x14ac:dyDescent="0.2">
      <c r="A2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","#",3))+1,1)&amp;"-"&amp;LEFT(Educator!B29, 3)&amp;"-"&amp;LEFT(Educator!A29, 3)&amp;"-"&amp;"2027"</f>
        <v>UID-FLH---2027</v>
      </c>
      <c r="C24" s="49">
        <f>Educator!C29</f>
        <v>0</v>
      </c>
      <c r="D24" s="49" t="b">
        <f t="shared" si="0"/>
        <v>0</v>
      </c>
      <c r="E24" s="49">
        <f>Educator!A29</f>
        <v>0</v>
      </c>
      <c r="F24" s="49">
        <f>Educator!B29</f>
        <v>0</v>
      </c>
      <c r="G24" s="49" t="str">
        <f>Educator!A29 &amp;" " &amp;Educator!B29</f>
        <v xml:space="preserve"> </v>
      </c>
      <c r="J24" s="49">
        <f>Educator!C29</f>
        <v>0</v>
      </c>
      <c r="K24" s="49" t="b">
        <f t="shared" si="3"/>
        <v>0</v>
      </c>
    </row>
    <row r="25" spans="1:11" x14ac:dyDescent="0.2">
      <c r="A2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","#",3))+1,1)&amp;"-"&amp;LEFT(Educator!B30, 3)&amp;"-"&amp;LEFT(Educator!A30, 3)&amp;"-"&amp;"2027"</f>
        <v>UID-FLH---2027</v>
      </c>
      <c r="C25" s="49">
        <f>Educator!C30</f>
        <v>0</v>
      </c>
      <c r="D25" s="49" t="b">
        <f t="shared" si="0"/>
        <v>0</v>
      </c>
      <c r="E25" s="49">
        <f>Educator!A30</f>
        <v>0</v>
      </c>
      <c r="F25" s="49">
        <f>Educator!B30</f>
        <v>0</v>
      </c>
      <c r="G25" s="49" t="str">
        <f>Educator!A30 &amp;" " &amp;Educator!B30</f>
        <v xml:space="preserve"> </v>
      </c>
      <c r="J25" s="49">
        <f>Educator!C30</f>
        <v>0</v>
      </c>
      <c r="K25" s="49" t="b">
        <f t="shared" si="3"/>
        <v>0</v>
      </c>
    </row>
    <row r="26" spans="1:11" x14ac:dyDescent="0.2">
      <c r="A2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","#",3))+1,1)&amp;"-"&amp;LEFT(Educator!B31, 3)&amp;"-"&amp;LEFT(Educator!A31, 3)&amp;"-"&amp;"2027"</f>
        <v>UID-FLH---2027</v>
      </c>
      <c r="C26" s="49">
        <f>Educator!C31</f>
        <v>0</v>
      </c>
      <c r="D26" s="49" t="b">
        <f t="shared" si="0"/>
        <v>0</v>
      </c>
      <c r="E26" s="49">
        <f>Educator!A31</f>
        <v>0</v>
      </c>
      <c r="F26" s="49">
        <f>Educator!B31</f>
        <v>0</v>
      </c>
      <c r="G26" s="49" t="str">
        <f>Educator!A31 &amp;" " &amp;Educator!B31</f>
        <v xml:space="preserve"> </v>
      </c>
      <c r="J26" s="49">
        <f>Educator!C31</f>
        <v>0</v>
      </c>
      <c r="K26" s="49" t="b">
        <f t="shared" si="3"/>
        <v>0</v>
      </c>
    </row>
    <row r="27" spans="1:11" x14ac:dyDescent="0.2">
      <c r="A2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","#",3))+1,1)&amp;"-"&amp;LEFT(Educator!B32, 3)&amp;"-"&amp;LEFT(Educator!A32, 3)&amp;"-"&amp;"2027"</f>
        <v>UID-FLH---2027</v>
      </c>
      <c r="C27" s="49">
        <f>Educator!C32</f>
        <v>0</v>
      </c>
      <c r="D27" s="49" t="b">
        <f t="shared" si="0"/>
        <v>0</v>
      </c>
      <c r="E27" s="49">
        <f>Educator!A32</f>
        <v>0</v>
      </c>
      <c r="F27" s="49">
        <f>Educator!B32</f>
        <v>0</v>
      </c>
      <c r="G27" s="49" t="str">
        <f>Educator!A32 &amp;" " &amp;Educator!B32</f>
        <v xml:space="preserve"> </v>
      </c>
      <c r="J27" s="49">
        <f>Educator!C32</f>
        <v>0</v>
      </c>
      <c r="K27" s="49" t="b">
        <f t="shared" si="3"/>
        <v>0</v>
      </c>
    </row>
    <row r="28" spans="1:11" x14ac:dyDescent="0.2">
      <c r="A2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","#",3))+1,1)&amp;"-"&amp;LEFT(Educator!B33, 3)&amp;"-"&amp;LEFT(Educator!A33, 3)&amp;"-"&amp;"2027"</f>
        <v>UID-FLH---2027</v>
      </c>
      <c r="C28" s="49">
        <f>Educator!C33</f>
        <v>0</v>
      </c>
      <c r="D28" s="49" t="b">
        <f t="shared" si="0"/>
        <v>0</v>
      </c>
      <c r="E28" s="49">
        <f>Educator!A33</f>
        <v>0</v>
      </c>
      <c r="F28" s="49">
        <f>Educator!B33</f>
        <v>0</v>
      </c>
      <c r="G28" s="49" t="str">
        <f>Educator!A33 &amp;" " &amp;Educator!B33</f>
        <v xml:space="preserve"> </v>
      </c>
      <c r="J28" s="49">
        <f>Educator!C33</f>
        <v>0</v>
      </c>
      <c r="K28" s="49" t="b">
        <f t="shared" si="3"/>
        <v>0</v>
      </c>
    </row>
    <row r="29" spans="1:11" x14ac:dyDescent="0.2">
      <c r="A2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","#",3))+1,1)&amp;"-"&amp;LEFT(Educator!B34, 3)&amp;"-"&amp;LEFT(Educator!A34, 3)&amp;"-"&amp;"2027"</f>
        <v>UID-FLH---2027</v>
      </c>
      <c r="C29" s="49">
        <f>Educator!C34</f>
        <v>0</v>
      </c>
      <c r="D29" s="49" t="b">
        <f t="shared" si="0"/>
        <v>0</v>
      </c>
      <c r="E29" s="49">
        <f>Educator!A34</f>
        <v>0</v>
      </c>
      <c r="F29" s="49">
        <f>Educator!B34</f>
        <v>0</v>
      </c>
      <c r="G29" s="49" t="str">
        <f>Educator!A34 &amp;" " &amp;Educator!B34</f>
        <v xml:space="preserve"> </v>
      </c>
      <c r="J29" s="49">
        <f>Educator!C34</f>
        <v>0</v>
      </c>
      <c r="K29" s="49" t="b">
        <f t="shared" si="3"/>
        <v>0</v>
      </c>
    </row>
    <row r="30" spans="1:11" x14ac:dyDescent="0.2">
      <c r="A3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","#",3))+1,1)&amp;"-"&amp;LEFT(Educator!B35, 3)&amp;"-"&amp;LEFT(Educator!A35, 3)&amp;"-"&amp;"2027"</f>
        <v>UID-FLH---2027</v>
      </c>
      <c r="C30" s="49">
        <f>Educator!C35</f>
        <v>0</v>
      </c>
      <c r="D30" s="49" t="b">
        <f t="shared" si="0"/>
        <v>0</v>
      </c>
      <c r="E30" s="49">
        <f>Educator!A35</f>
        <v>0</v>
      </c>
      <c r="F30" s="49">
        <f>Educator!B35</f>
        <v>0</v>
      </c>
      <c r="G30" s="49" t="str">
        <f>Educator!A35 &amp;" " &amp;Educator!B35</f>
        <v xml:space="preserve"> </v>
      </c>
      <c r="J30" s="49">
        <f>Educator!C35</f>
        <v>0</v>
      </c>
      <c r="K30" s="49" t="b">
        <f t="shared" si="3"/>
        <v>0</v>
      </c>
    </row>
    <row r="31" spans="1:11" x14ac:dyDescent="0.2">
      <c r="A3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","#",3))+1,1)&amp;"-"&amp;LEFT(Educator!B36, 3)&amp;"-"&amp;LEFT(Educator!A36, 3)&amp;"-"&amp;"2027"</f>
        <v>UID-FLH---2027</v>
      </c>
      <c r="C31" s="49">
        <f>Educator!C36</f>
        <v>0</v>
      </c>
      <c r="D31" s="49" t="b">
        <f t="shared" si="0"/>
        <v>0</v>
      </c>
      <c r="E31" s="49">
        <f>Educator!A36</f>
        <v>0</v>
      </c>
      <c r="F31" s="49">
        <f>Educator!B36</f>
        <v>0</v>
      </c>
      <c r="G31" s="49" t="str">
        <f>Educator!A36 &amp;" " &amp;Educator!B36</f>
        <v xml:space="preserve"> </v>
      </c>
      <c r="J31" s="49">
        <f>Educator!C36</f>
        <v>0</v>
      </c>
      <c r="K31" s="49" t="b">
        <f t="shared" si="3"/>
        <v>0</v>
      </c>
    </row>
    <row r="32" spans="1:11" x14ac:dyDescent="0.2">
      <c r="A3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","#",3))+1,1)&amp;"-"&amp;LEFT(Educator!B37, 3)&amp;"-"&amp;LEFT(Educator!A37, 3)&amp;"-"&amp;"2027"</f>
        <v>UID-FLH---2027</v>
      </c>
      <c r="C32" s="49">
        <f>Educator!C37</f>
        <v>0</v>
      </c>
      <c r="D32" s="49" t="b">
        <f t="shared" si="0"/>
        <v>0</v>
      </c>
      <c r="E32" s="49">
        <f>Educator!A37</f>
        <v>0</v>
      </c>
      <c r="F32" s="49">
        <f>Educator!B37</f>
        <v>0</v>
      </c>
      <c r="G32" s="49" t="str">
        <f>Educator!A37 &amp;" " &amp;Educator!B37</f>
        <v xml:space="preserve"> </v>
      </c>
      <c r="J32" s="49">
        <f>Educator!C37</f>
        <v>0</v>
      </c>
      <c r="K32" s="49" t="b">
        <f t="shared" si="3"/>
        <v>0</v>
      </c>
    </row>
    <row r="33" spans="1:11" x14ac:dyDescent="0.2">
      <c r="A3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","#",3))+1,1)&amp;"-"&amp;LEFT(Educator!B38, 3)&amp;"-"&amp;LEFT(Educator!A38, 3)&amp;"-"&amp;"2027"</f>
        <v>UID-FLH---2027</v>
      </c>
      <c r="C33" s="49">
        <f>Educator!C38</f>
        <v>0</v>
      </c>
      <c r="D33" s="49" t="b">
        <f t="shared" si="0"/>
        <v>0</v>
      </c>
      <c r="E33" s="49">
        <f>Educator!A38</f>
        <v>0</v>
      </c>
      <c r="F33" s="49">
        <f>Educator!B38</f>
        <v>0</v>
      </c>
      <c r="G33" s="49" t="str">
        <f>Educator!A38 &amp;" " &amp;Educator!B38</f>
        <v xml:space="preserve"> </v>
      </c>
      <c r="J33" s="49">
        <f>Educator!C38</f>
        <v>0</v>
      </c>
      <c r="K33" s="49" t="b">
        <f t="shared" si="3"/>
        <v>0</v>
      </c>
    </row>
    <row r="34" spans="1:11" x14ac:dyDescent="0.2">
      <c r="A3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","#",3))+1,1)&amp;"-"&amp;LEFT(Educator!B39, 3)&amp;"-"&amp;LEFT(Educator!A39, 3)&amp;"-"&amp;"2027"</f>
        <v>UID-FLH---2027</v>
      </c>
      <c r="C34" s="49">
        <f>Educator!C39</f>
        <v>0</v>
      </c>
      <c r="D34" s="49" t="b">
        <f t="shared" si="0"/>
        <v>0</v>
      </c>
      <c r="E34" s="49">
        <f>Educator!A39</f>
        <v>0</v>
      </c>
      <c r="F34" s="49">
        <f>Educator!B39</f>
        <v>0</v>
      </c>
      <c r="G34" s="49" t="str">
        <f>Educator!A39 &amp;" " &amp;Educator!B39</f>
        <v xml:space="preserve"> </v>
      </c>
      <c r="J34" s="49">
        <f>Educator!C39</f>
        <v>0</v>
      </c>
      <c r="K34" s="49" t="b">
        <f t="shared" si="3"/>
        <v>0</v>
      </c>
    </row>
    <row r="35" spans="1:11" x14ac:dyDescent="0.2">
      <c r="A3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","#",3))+1,1)&amp;"-"&amp;LEFT(Educator!B40, 3)&amp;"-"&amp;LEFT(Educator!A40, 3)&amp;"-"&amp;"2027"</f>
        <v>UID-FLH---2027</v>
      </c>
      <c r="C35" s="49">
        <f>Educator!C40</f>
        <v>0</v>
      </c>
      <c r="D35" s="49" t="b">
        <f t="shared" si="0"/>
        <v>0</v>
      </c>
      <c r="E35" s="49">
        <f>Educator!A40</f>
        <v>0</v>
      </c>
      <c r="F35" s="49">
        <f>Educator!B40</f>
        <v>0</v>
      </c>
      <c r="G35" s="49" t="str">
        <f>Educator!A40 &amp;" " &amp;Educator!B40</f>
        <v xml:space="preserve"> </v>
      </c>
      <c r="J35" s="49">
        <f>Educator!C40</f>
        <v>0</v>
      </c>
      <c r="K35" s="49" t="b">
        <f t="shared" si="3"/>
        <v>0</v>
      </c>
    </row>
    <row r="36" spans="1:11" x14ac:dyDescent="0.2">
      <c r="A3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","#",3))+1,1)&amp;"-"&amp;LEFT(Educator!B41, 3)&amp;"-"&amp;LEFT(Educator!A41, 3)&amp;"-"&amp;"2027"</f>
        <v>UID-FLH---2027</v>
      </c>
      <c r="C36" s="49">
        <f>Educator!C41</f>
        <v>0</v>
      </c>
      <c r="D36" s="49" t="b">
        <f t="shared" si="0"/>
        <v>0</v>
      </c>
      <c r="E36" s="49">
        <f>Educator!A41</f>
        <v>0</v>
      </c>
      <c r="F36" s="49">
        <f>Educator!B41</f>
        <v>0</v>
      </c>
      <c r="G36" s="49" t="str">
        <f>Educator!A41 &amp;" " &amp;Educator!B41</f>
        <v xml:space="preserve"> </v>
      </c>
      <c r="J36" s="49">
        <f>Educator!C41</f>
        <v>0</v>
      </c>
      <c r="K36" s="49" t="b">
        <f t="shared" si="3"/>
        <v>0</v>
      </c>
    </row>
    <row r="37" spans="1:11" x14ac:dyDescent="0.2">
      <c r="A3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","#",3))+1,1)&amp;"-"&amp;LEFT(Educator!B42, 3)&amp;"-"&amp;LEFT(Educator!A42, 3)&amp;"-"&amp;"2027"</f>
        <v>UID-FLH---2027</v>
      </c>
      <c r="C37" s="49">
        <f>Educator!C42</f>
        <v>0</v>
      </c>
      <c r="D37" s="49" t="b">
        <f t="shared" si="0"/>
        <v>0</v>
      </c>
      <c r="E37" s="49">
        <f>Educator!A42</f>
        <v>0</v>
      </c>
      <c r="F37" s="49">
        <f>Educator!B42</f>
        <v>0</v>
      </c>
      <c r="G37" s="49" t="str">
        <f>Educator!A42 &amp;" " &amp;Educator!B42</f>
        <v xml:space="preserve"> </v>
      </c>
      <c r="J37" s="49">
        <f>Educator!C42</f>
        <v>0</v>
      </c>
      <c r="K37" s="49" t="b">
        <f t="shared" si="3"/>
        <v>0</v>
      </c>
    </row>
    <row r="38" spans="1:11" x14ac:dyDescent="0.2">
      <c r="A3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","#",3))+1,1)&amp;"-"&amp;LEFT(Educator!B43, 3)&amp;"-"&amp;LEFT(Educator!A43, 3)&amp;"-"&amp;"2027"</f>
        <v>UID-FLH---2027</v>
      </c>
      <c r="C38" s="49">
        <f>Educator!C43</f>
        <v>0</v>
      </c>
      <c r="D38" s="49" t="b">
        <f t="shared" si="0"/>
        <v>0</v>
      </c>
      <c r="E38" s="49">
        <f>Educator!A43</f>
        <v>0</v>
      </c>
      <c r="F38" s="49">
        <f>Educator!B43</f>
        <v>0</v>
      </c>
      <c r="G38" s="49" t="str">
        <f>Educator!A43 &amp;" " &amp;Educator!B43</f>
        <v xml:space="preserve"> </v>
      </c>
      <c r="J38" s="49">
        <f>Educator!C43</f>
        <v>0</v>
      </c>
      <c r="K38" s="49" t="b">
        <f t="shared" si="3"/>
        <v>0</v>
      </c>
    </row>
    <row r="39" spans="1:11" x14ac:dyDescent="0.2">
      <c r="A3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","#",3))+1,1)&amp;"-"&amp;LEFT(Educator!B44, 3)&amp;"-"&amp;LEFT(Educator!A44, 3)&amp;"-"&amp;"2027"</f>
        <v>UID-FLH---2027</v>
      </c>
      <c r="C39" s="49">
        <f>Educator!C44</f>
        <v>0</v>
      </c>
      <c r="D39" s="49" t="b">
        <f t="shared" si="0"/>
        <v>0</v>
      </c>
      <c r="E39" s="49">
        <f>Educator!A44</f>
        <v>0</v>
      </c>
      <c r="F39" s="49">
        <f>Educator!B44</f>
        <v>0</v>
      </c>
      <c r="G39" s="49" t="str">
        <f>Educator!A44 &amp;" " &amp;Educator!B44</f>
        <v xml:space="preserve"> </v>
      </c>
      <c r="J39" s="49">
        <f>Educator!C44</f>
        <v>0</v>
      </c>
      <c r="K39" s="49" t="b">
        <f t="shared" si="3"/>
        <v>0</v>
      </c>
    </row>
    <row r="40" spans="1:11" x14ac:dyDescent="0.2">
      <c r="A4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","#",3))+1,1)&amp;"-"&amp;LEFT(Educator!B45, 3)&amp;"-"&amp;LEFT(Educator!A45, 3)&amp;"-"&amp;"2027"</f>
        <v>UID-FLH---2027</v>
      </c>
      <c r="C40" s="49">
        <f>Educator!C45</f>
        <v>0</v>
      </c>
      <c r="D40" s="49" t="b">
        <f t="shared" si="0"/>
        <v>0</v>
      </c>
      <c r="E40" s="49">
        <f>Educator!A45</f>
        <v>0</v>
      </c>
      <c r="F40" s="49">
        <f>Educator!B45</f>
        <v>0</v>
      </c>
      <c r="G40" s="49" t="str">
        <f>Educator!A45 &amp;" " &amp;Educator!B45</f>
        <v xml:space="preserve"> </v>
      </c>
      <c r="J40" s="49">
        <f>Educator!C45</f>
        <v>0</v>
      </c>
      <c r="K40" s="49" t="b">
        <f t="shared" si="3"/>
        <v>0</v>
      </c>
    </row>
    <row r="41" spans="1:11" x14ac:dyDescent="0.2">
      <c r="A4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","#",3))+1,1)&amp;"-"&amp;LEFT(Educator!B46, 3)&amp;"-"&amp;LEFT(Educator!A46, 3)&amp;"-"&amp;"2027"</f>
        <v>UID-FLH---2027</v>
      </c>
      <c r="C41" s="49">
        <f>Educator!C46</f>
        <v>0</v>
      </c>
      <c r="D41" s="49" t="b">
        <f t="shared" si="0"/>
        <v>0</v>
      </c>
      <c r="E41" s="49">
        <f>Educator!A46</f>
        <v>0</v>
      </c>
      <c r="F41" s="49">
        <f>Educator!B46</f>
        <v>0</v>
      </c>
      <c r="G41" s="49" t="str">
        <f>Educator!A46 &amp;" " &amp;Educator!B46</f>
        <v xml:space="preserve"> </v>
      </c>
      <c r="J41" s="49">
        <f>Educator!C46</f>
        <v>0</v>
      </c>
      <c r="K41" s="49" t="b">
        <f t="shared" ref="K41:K81" si="4">IF(C41&gt;0,"active")</f>
        <v>0</v>
      </c>
    </row>
    <row r="42" spans="1:11" x14ac:dyDescent="0.2">
      <c r="A4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","#",3))+1,1)&amp;"-"&amp;LEFT(Educator!B47, 3)&amp;"-"&amp;LEFT(Educator!A47, 3)&amp;"-"&amp;"2027"</f>
        <v>UID-FLH---2027</v>
      </c>
      <c r="C42" s="49">
        <f>Educator!C47</f>
        <v>0</v>
      </c>
      <c r="D42" s="49" t="b">
        <f t="shared" si="0"/>
        <v>0</v>
      </c>
      <c r="E42" s="49">
        <f>Educator!A47</f>
        <v>0</v>
      </c>
      <c r="F42" s="49">
        <f>Educator!B47</f>
        <v>0</v>
      </c>
      <c r="G42" s="49" t="str">
        <f>Educator!A47 &amp;" " &amp;Educator!B47</f>
        <v xml:space="preserve"> </v>
      </c>
      <c r="J42" s="49">
        <f>Educator!C47</f>
        <v>0</v>
      </c>
      <c r="K42" s="49" t="b">
        <f t="shared" si="4"/>
        <v>0</v>
      </c>
    </row>
    <row r="43" spans="1:11" x14ac:dyDescent="0.2">
      <c r="A4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","#",3))+1,1)&amp;"-"&amp;LEFT(Educator!B48, 3)&amp;"-"&amp;LEFT(Educator!A48, 3)&amp;"-"&amp;"2027"</f>
        <v>UID-FLH---2027</v>
      </c>
      <c r="C43" s="49">
        <f>Educator!C48</f>
        <v>0</v>
      </c>
      <c r="D43" s="49" t="b">
        <f t="shared" si="0"/>
        <v>0</v>
      </c>
      <c r="E43" s="49">
        <f>Educator!A48</f>
        <v>0</v>
      </c>
      <c r="F43" s="49">
        <f>Educator!B48</f>
        <v>0</v>
      </c>
      <c r="G43" s="49" t="str">
        <f>Educator!A48 &amp;" " &amp;Educator!B48</f>
        <v xml:space="preserve"> </v>
      </c>
      <c r="J43" s="49">
        <f>Educator!C48</f>
        <v>0</v>
      </c>
      <c r="K43" s="49" t="b">
        <f t="shared" si="4"/>
        <v>0</v>
      </c>
    </row>
    <row r="44" spans="1:11" x14ac:dyDescent="0.2">
      <c r="A4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","#",3))+1,1)&amp;"-"&amp;LEFT(Educator!B49, 3)&amp;"-"&amp;LEFT(Educator!A49, 3)&amp;"-"&amp;"2027"</f>
        <v>UID-FLH---2027</v>
      </c>
      <c r="C44" s="49">
        <f>Educator!C49</f>
        <v>0</v>
      </c>
      <c r="D44" s="49" t="b">
        <f t="shared" si="0"/>
        <v>0</v>
      </c>
      <c r="E44" s="49">
        <f>Educator!A49</f>
        <v>0</v>
      </c>
      <c r="F44" s="49">
        <f>Educator!B49</f>
        <v>0</v>
      </c>
      <c r="G44" s="49" t="str">
        <f>Educator!A49 &amp;" " &amp;Educator!B49</f>
        <v xml:space="preserve"> </v>
      </c>
      <c r="J44" s="49">
        <f>Educator!C49</f>
        <v>0</v>
      </c>
      <c r="K44" s="49" t="b">
        <f t="shared" si="4"/>
        <v>0</v>
      </c>
    </row>
    <row r="45" spans="1:11" x14ac:dyDescent="0.2">
      <c r="A4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","#",3))+1,1)&amp;"-"&amp;LEFT(Educator!B50, 3)&amp;"-"&amp;LEFT(Educator!A50, 3)&amp;"-"&amp;"2027"</f>
        <v>UID-FLH---2027</v>
      </c>
      <c r="C45" s="49">
        <f>Educator!C50</f>
        <v>0</v>
      </c>
      <c r="D45" s="49" t="b">
        <f t="shared" si="0"/>
        <v>0</v>
      </c>
      <c r="E45" s="49">
        <f>Educator!A50</f>
        <v>0</v>
      </c>
      <c r="F45" s="49">
        <f>Educator!B50</f>
        <v>0</v>
      </c>
      <c r="G45" s="49" t="str">
        <f>Educator!A50 &amp;" " &amp;Educator!B50</f>
        <v xml:space="preserve"> </v>
      </c>
      <c r="J45" s="49">
        <f>Educator!C50</f>
        <v>0</v>
      </c>
      <c r="K45" s="49" t="b">
        <f t="shared" si="4"/>
        <v>0</v>
      </c>
    </row>
    <row r="46" spans="1:11" x14ac:dyDescent="0.2">
      <c r="A4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","#",3))+1,1)&amp;"-"&amp;LEFT(Educator!B51, 3)&amp;"-"&amp;LEFT(Educator!A51, 3)&amp;"-"&amp;"2027"</f>
        <v>UID-FLH---2027</v>
      </c>
      <c r="C46" s="49">
        <f>Educator!C51</f>
        <v>0</v>
      </c>
      <c r="D46" s="49" t="b">
        <f t="shared" si="0"/>
        <v>0</v>
      </c>
      <c r="E46" s="49">
        <f>Educator!A51</f>
        <v>0</v>
      </c>
      <c r="F46" s="49">
        <f>Educator!B51</f>
        <v>0</v>
      </c>
      <c r="G46" s="49" t="str">
        <f>Educator!A51 &amp;" " &amp;Educator!B51</f>
        <v xml:space="preserve"> </v>
      </c>
      <c r="J46" s="49">
        <f>Educator!C51</f>
        <v>0</v>
      </c>
      <c r="K46" s="49" t="b">
        <f t="shared" si="4"/>
        <v>0</v>
      </c>
    </row>
    <row r="47" spans="1:11" x14ac:dyDescent="0.2">
      <c r="A4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","#",3))+1,1)&amp;"-"&amp;LEFT(Educator!B52, 3)&amp;"-"&amp;LEFT(Educator!A52, 3)&amp;"-"&amp;"2027"</f>
        <v>UID-FLH---2027</v>
      </c>
      <c r="C47" s="49">
        <f>Educator!C52</f>
        <v>0</v>
      </c>
      <c r="D47" s="49" t="b">
        <f t="shared" si="0"/>
        <v>0</v>
      </c>
      <c r="E47" s="49">
        <f>Educator!A52</f>
        <v>0</v>
      </c>
      <c r="F47" s="49">
        <f>Educator!B52</f>
        <v>0</v>
      </c>
      <c r="G47" s="49" t="str">
        <f>Educator!A52 &amp;" " &amp;Educator!B52</f>
        <v xml:space="preserve"> </v>
      </c>
      <c r="J47" s="49">
        <f>Educator!C52</f>
        <v>0</v>
      </c>
      <c r="K47" s="49" t="b">
        <f t="shared" si="4"/>
        <v>0</v>
      </c>
    </row>
    <row r="48" spans="1:11" x14ac:dyDescent="0.2">
      <c r="A4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","#",3))+1,1)&amp;"-"&amp;LEFT(Educator!B53, 3)&amp;"-"&amp;LEFT(Educator!A53, 3)&amp;"-"&amp;"2027"</f>
        <v>UID-FLH---2027</v>
      </c>
      <c r="C48" s="49">
        <f>Educator!C53</f>
        <v>0</v>
      </c>
      <c r="D48" s="49" t="b">
        <f t="shared" si="0"/>
        <v>0</v>
      </c>
      <c r="E48" s="49">
        <f>Educator!A53</f>
        <v>0</v>
      </c>
      <c r="F48" s="49">
        <f>Educator!B53</f>
        <v>0</v>
      </c>
      <c r="G48" s="49" t="str">
        <f>Educator!A53 &amp;" " &amp;Educator!B53</f>
        <v xml:space="preserve"> </v>
      </c>
      <c r="J48" s="49">
        <f>Educator!C53</f>
        <v>0</v>
      </c>
      <c r="K48" s="49" t="b">
        <f t="shared" si="4"/>
        <v>0</v>
      </c>
    </row>
    <row r="49" spans="1:11" x14ac:dyDescent="0.2">
      <c r="A4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","#",3))+1,1)&amp;"-"&amp;LEFT(Educator!B54, 3)&amp;"-"&amp;LEFT(Educator!A54, 3)&amp;"-"&amp;"2027"</f>
        <v>UID-FLH---2027</v>
      </c>
      <c r="C49" s="49">
        <f>Educator!C54</f>
        <v>0</v>
      </c>
      <c r="D49" s="49" t="b">
        <f t="shared" si="0"/>
        <v>0</v>
      </c>
      <c r="E49" s="49">
        <f>Educator!A54</f>
        <v>0</v>
      </c>
      <c r="F49" s="49">
        <f>Educator!B54</f>
        <v>0</v>
      </c>
      <c r="G49" s="49" t="str">
        <f>Educator!A54 &amp;" " &amp;Educator!B54</f>
        <v xml:space="preserve"> </v>
      </c>
      <c r="J49" s="49">
        <f>Educator!C54</f>
        <v>0</v>
      </c>
      <c r="K49" s="49" t="b">
        <f t="shared" si="4"/>
        <v>0</v>
      </c>
    </row>
    <row r="50" spans="1:11" x14ac:dyDescent="0.2">
      <c r="A5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","#",3))+1,1)&amp;"-"&amp;LEFT(Educator!B55, 3)&amp;"-"&amp;LEFT(Educator!A55, 3)&amp;"-"&amp;"2027"</f>
        <v>UID-FLH---2027</v>
      </c>
      <c r="C50" s="49">
        <f>Educator!C55</f>
        <v>0</v>
      </c>
      <c r="D50" s="49" t="b">
        <f t="shared" si="0"/>
        <v>0</v>
      </c>
      <c r="E50" s="49">
        <f>Educator!A55</f>
        <v>0</v>
      </c>
      <c r="F50" s="49">
        <f>Educator!B55</f>
        <v>0</v>
      </c>
      <c r="G50" s="49" t="str">
        <f>Educator!A55 &amp;" " &amp;Educator!B55</f>
        <v xml:space="preserve"> </v>
      </c>
      <c r="J50" s="49">
        <f>Educator!C55</f>
        <v>0</v>
      </c>
      <c r="K50" s="49" t="b">
        <f t="shared" si="4"/>
        <v>0</v>
      </c>
    </row>
    <row r="51" spans="1:11" x14ac:dyDescent="0.2">
      <c r="A5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","#",3))+1,1)&amp;"-"&amp;LEFT(Educator!B56, 3)&amp;"-"&amp;LEFT(Educator!A56, 3)&amp;"-"&amp;"2027"</f>
        <v>UID-FLH---2027</v>
      </c>
      <c r="C51" s="49">
        <f>Educator!C56</f>
        <v>0</v>
      </c>
      <c r="D51" s="49" t="b">
        <f t="shared" si="0"/>
        <v>0</v>
      </c>
      <c r="E51" s="49">
        <f>Educator!A56</f>
        <v>0</v>
      </c>
      <c r="F51" s="49">
        <f>Educator!B56</f>
        <v>0</v>
      </c>
      <c r="G51" s="49" t="str">
        <f>Educator!A56 &amp;" " &amp;Educator!B56</f>
        <v xml:space="preserve"> </v>
      </c>
      <c r="J51" s="49">
        <f>Educator!C56</f>
        <v>0</v>
      </c>
      <c r="K51" s="49" t="b">
        <f t="shared" si="4"/>
        <v>0</v>
      </c>
    </row>
    <row r="52" spans="1:11" x14ac:dyDescent="0.2">
      <c r="A5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","#",3))+1,1)&amp;"-"&amp;LEFT(Educator!B57, 3)&amp;"-"&amp;LEFT(Educator!A57, 3)&amp;"-"&amp;"2027"</f>
        <v>UID-FLH---2027</v>
      </c>
      <c r="C52" s="49">
        <f>Educator!C57</f>
        <v>0</v>
      </c>
      <c r="D52" s="49" t="b">
        <f t="shared" si="0"/>
        <v>0</v>
      </c>
      <c r="E52" s="49">
        <f>Educator!A57</f>
        <v>0</v>
      </c>
      <c r="F52" s="49">
        <f>Educator!B57</f>
        <v>0</v>
      </c>
      <c r="G52" s="49" t="str">
        <f>Educator!A57 &amp;" " &amp;Educator!B57</f>
        <v xml:space="preserve"> </v>
      </c>
      <c r="J52" s="49">
        <f>Educator!C57</f>
        <v>0</v>
      </c>
      <c r="K52" s="49" t="b">
        <f t="shared" si="4"/>
        <v>0</v>
      </c>
    </row>
    <row r="53" spans="1:11" x14ac:dyDescent="0.2">
      <c r="A5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","#",3))+1,1)&amp;"-"&amp;LEFT(Educator!B58, 3)&amp;"-"&amp;LEFT(Educator!A58, 3)&amp;"-"&amp;"2027"</f>
        <v>UID-FLH---2027</v>
      </c>
      <c r="C53" s="49">
        <f>Educator!C58</f>
        <v>0</v>
      </c>
      <c r="D53" s="49" t="b">
        <f t="shared" si="0"/>
        <v>0</v>
      </c>
      <c r="E53" s="49">
        <f>Educator!A58</f>
        <v>0</v>
      </c>
      <c r="F53" s="49">
        <f>Educator!B58</f>
        <v>0</v>
      </c>
      <c r="G53" s="49" t="str">
        <f>Educator!A58 &amp;" " &amp;Educator!B58</f>
        <v xml:space="preserve"> </v>
      </c>
      <c r="J53" s="49">
        <f>Educator!C58</f>
        <v>0</v>
      </c>
      <c r="K53" s="49" t="b">
        <f t="shared" si="4"/>
        <v>0</v>
      </c>
    </row>
    <row r="54" spans="1:11" x14ac:dyDescent="0.2">
      <c r="A5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","#",3))+1,1)&amp;"-"&amp;LEFT(Educator!B59, 3)&amp;"-"&amp;LEFT(Educator!A59, 3)&amp;"-"&amp;"2027"</f>
        <v>UID-FLH---2027</v>
      </c>
      <c r="C54" s="49">
        <f>Educator!C59</f>
        <v>0</v>
      </c>
      <c r="D54" s="49" t="b">
        <f t="shared" si="0"/>
        <v>0</v>
      </c>
      <c r="E54" s="49">
        <f>Educator!A59</f>
        <v>0</v>
      </c>
      <c r="F54" s="49">
        <f>Educator!B59</f>
        <v>0</v>
      </c>
      <c r="G54" s="49" t="str">
        <f>Educator!A59 &amp;" " &amp;Educator!B59</f>
        <v xml:space="preserve"> </v>
      </c>
      <c r="J54" s="49">
        <f>Educator!C59</f>
        <v>0</v>
      </c>
      <c r="K54" s="49" t="b">
        <f t="shared" si="4"/>
        <v>0</v>
      </c>
    </row>
    <row r="55" spans="1:11" x14ac:dyDescent="0.2">
      <c r="A5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","#",3))+1,1)&amp;"-"&amp;LEFT(Educator!B60, 3)&amp;"-"&amp;LEFT(Educator!A60, 3)&amp;"-"&amp;"2027"</f>
        <v>UID-FLH---2027</v>
      </c>
      <c r="C55" s="49">
        <f>Educator!C60</f>
        <v>0</v>
      </c>
      <c r="D55" s="49" t="b">
        <f t="shared" si="0"/>
        <v>0</v>
      </c>
      <c r="E55" s="49">
        <f>Educator!A60</f>
        <v>0</v>
      </c>
      <c r="F55" s="49">
        <f>Educator!B60</f>
        <v>0</v>
      </c>
      <c r="G55" s="49" t="str">
        <f>Educator!A60 &amp;" " &amp;Educator!B60</f>
        <v xml:space="preserve"> </v>
      </c>
      <c r="J55" s="49">
        <f>Educator!C60</f>
        <v>0</v>
      </c>
      <c r="K55" s="49" t="b">
        <f t="shared" si="4"/>
        <v>0</v>
      </c>
    </row>
    <row r="56" spans="1:11" x14ac:dyDescent="0.2">
      <c r="A5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","#",3))+1,1)&amp;"-"&amp;LEFT(Educator!B61, 3)&amp;"-"&amp;LEFT(Educator!A61, 3)&amp;"-"&amp;"2027"</f>
        <v>UID-FLH---2027</v>
      </c>
      <c r="C56" s="49">
        <f>Educator!C61</f>
        <v>0</v>
      </c>
      <c r="D56" s="49" t="b">
        <f t="shared" si="0"/>
        <v>0</v>
      </c>
      <c r="E56" s="49">
        <f>Educator!A61</f>
        <v>0</v>
      </c>
      <c r="F56" s="49">
        <f>Educator!B61</f>
        <v>0</v>
      </c>
      <c r="G56" s="49" t="str">
        <f>Educator!A61 &amp;" " &amp;Educator!B61</f>
        <v xml:space="preserve"> </v>
      </c>
      <c r="J56" s="49">
        <f>Educator!C61</f>
        <v>0</v>
      </c>
      <c r="K56" s="49" t="b">
        <f t="shared" si="4"/>
        <v>0</v>
      </c>
    </row>
    <row r="57" spans="1:11" x14ac:dyDescent="0.2">
      <c r="A5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","#",3))+1,1)&amp;"-"&amp;LEFT(Educator!B62, 3)&amp;"-"&amp;LEFT(Educator!A62, 3)&amp;"-"&amp;"2027"</f>
        <v>UID-FLH---2027</v>
      </c>
      <c r="C57" s="49">
        <f>Educator!C62</f>
        <v>0</v>
      </c>
      <c r="D57" s="49" t="b">
        <f t="shared" si="0"/>
        <v>0</v>
      </c>
      <c r="E57" s="49">
        <f>Educator!A62</f>
        <v>0</v>
      </c>
      <c r="F57" s="49">
        <f>Educator!B62</f>
        <v>0</v>
      </c>
      <c r="G57" s="49" t="str">
        <f>Educator!A62 &amp;" " &amp;Educator!B62</f>
        <v xml:space="preserve"> </v>
      </c>
      <c r="J57" s="49">
        <f>Educator!C62</f>
        <v>0</v>
      </c>
      <c r="K57" s="49" t="b">
        <f t="shared" si="4"/>
        <v>0</v>
      </c>
    </row>
    <row r="58" spans="1:11" x14ac:dyDescent="0.2">
      <c r="A5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","#",3))+1,1)&amp;"-"&amp;LEFT(Educator!B63, 3)&amp;"-"&amp;LEFT(Educator!A63, 3)&amp;"-"&amp;"2027"</f>
        <v>UID-FLH---2027</v>
      </c>
      <c r="C58" s="49">
        <f>Educator!C63</f>
        <v>0</v>
      </c>
      <c r="D58" s="49" t="b">
        <f t="shared" si="0"/>
        <v>0</v>
      </c>
      <c r="E58" s="49">
        <f>Educator!A63</f>
        <v>0</v>
      </c>
      <c r="F58" s="49">
        <f>Educator!B63</f>
        <v>0</v>
      </c>
      <c r="G58" s="49" t="str">
        <f>Educator!A63 &amp;" " &amp;Educator!B63</f>
        <v xml:space="preserve"> </v>
      </c>
      <c r="J58" s="49">
        <f>Educator!C63</f>
        <v>0</v>
      </c>
      <c r="K58" s="49" t="b">
        <f t="shared" si="4"/>
        <v>0</v>
      </c>
    </row>
    <row r="59" spans="1:11" x14ac:dyDescent="0.2">
      <c r="A5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","#",3))+1,1)&amp;"-"&amp;LEFT(Educator!B64, 3)&amp;"-"&amp;LEFT(Educator!A64, 3)&amp;"-"&amp;"2027"</f>
        <v>UID-FLH---2027</v>
      </c>
      <c r="C59" s="49">
        <f>Educator!C64</f>
        <v>0</v>
      </c>
      <c r="D59" s="49" t="b">
        <f t="shared" si="0"/>
        <v>0</v>
      </c>
      <c r="E59" s="49">
        <f>Educator!A64</f>
        <v>0</v>
      </c>
      <c r="F59" s="49">
        <f>Educator!B64</f>
        <v>0</v>
      </c>
      <c r="G59" s="49" t="str">
        <f>Educator!A64 &amp;" " &amp;Educator!B64</f>
        <v xml:space="preserve"> </v>
      </c>
      <c r="J59" s="49">
        <f>Educator!C64</f>
        <v>0</v>
      </c>
      <c r="K59" s="49" t="b">
        <f t="shared" si="4"/>
        <v>0</v>
      </c>
    </row>
    <row r="60" spans="1:11" x14ac:dyDescent="0.2">
      <c r="A6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","#",3))+1,1)&amp;"-"&amp;LEFT(Educator!B65, 3)&amp;"-"&amp;LEFT(Educator!A65, 3)&amp;"-"&amp;"2027"</f>
        <v>UID-FLH---2027</v>
      </c>
      <c r="C60" s="49">
        <f>Educator!C65</f>
        <v>0</v>
      </c>
      <c r="D60" s="49" t="b">
        <f t="shared" si="0"/>
        <v>0</v>
      </c>
      <c r="E60" s="49">
        <f>Educator!A65</f>
        <v>0</v>
      </c>
      <c r="F60" s="49">
        <f>Educator!B65</f>
        <v>0</v>
      </c>
      <c r="G60" s="49" t="str">
        <f>Educator!A65 &amp;" " &amp;Educator!B65</f>
        <v xml:space="preserve"> </v>
      </c>
      <c r="J60" s="49">
        <f>Educator!C65</f>
        <v>0</v>
      </c>
      <c r="K60" s="49" t="b">
        <f t="shared" si="4"/>
        <v>0</v>
      </c>
    </row>
    <row r="61" spans="1:11" x14ac:dyDescent="0.2">
      <c r="A6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","#",3))+1,1)&amp;"-"&amp;LEFT(Educator!B66, 3)&amp;"-"&amp;LEFT(Educator!A66, 3)&amp;"-"&amp;"2027"</f>
        <v>UID-FLH---2027</v>
      </c>
      <c r="C61" s="49">
        <f>Educator!C66</f>
        <v>0</v>
      </c>
      <c r="D61" s="49" t="b">
        <f t="shared" si="0"/>
        <v>0</v>
      </c>
      <c r="E61" s="49">
        <f>Educator!A66</f>
        <v>0</v>
      </c>
      <c r="F61" s="49">
        <f>Educator!B66</f>
        <v>0</v>
      </c>
      <c r="G61" s="49" t="str">
        <f>Educator!A66 &amp;" " &amp;Educator!B66</f>
        <v xml:space="preserve"> </v>
      </c>
      <c r="J61" s="49">
        <f>Educator!C66</f>
        <v>0</v>
      </c>
      <c r="K61" s="49" t="b">
        <f t="shared" si="4"/>
        <v>0</v>
      </c>
    </row>
    <row r="62" spans="1:11" x14ac:dyDescent="0.2">
      <c r="A6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","#",3))+1,1)&amp;"-"&amp;LEFT(Educator!B67, 3)&amp;"-"&amp;LEFT(Educator!A67, 3)&amp;"-"&amp;"2027"</f>
        <v>UID-FLH---2027</v>
      </c>
      <c r="C62" s="49">
        <f>Educator!C67</f>
        <v>0</v>
      </c>
      <c r="D62" s="49" t="b">
        <f t="shared" si="0"/>
        <v>0</v>
      </c>
      <c r="E62" s="49">
        <f>Educator!A67</f>
        <v>0</v>
      </c>
      <c r="F62" s="49">
        <f>Educator!B67</f>
        <v>0</v>
      </c>
      <c r="G62" s="49" t="str">
        <f>Educator!A67 &amp;" " &amp;Educator!B67</f>
        <v xml:space="preserve"> </v>
      </c>
      <c r="J62" s="49">
        <f>Educator!C67</f>
        <v>0</v>
      </c>
      <c r="K62" s="49" t="b">
        <f t="shared" si="4"/>
        <v>0</v>
      </c>
    </row>
    <row r="63" spans="1:11" x14ac:dyDescent="0.2">
      <c r="A6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","#",3))+1,1)&amp;"-"&amp;LEFT(Educator!B68, 3)&amp;"-"&amp;LEFT(Educator!A68, 3)&amp;"-"&amp;"2027"</f>
        <v>UID-FLH---2027</v>
      </c>
      <c r="C63" s="49">
        <f>Educator!C68</f>
        <v>0</v>
      </c>
      <c r="D63" s="49" t="b">
        <f t="shared" si="0"/>
        <v>0</v>
      </c>
      <c r="E63" s="49">
        <f>Educator!A68</f>
        <v>0</v>
      </c>
      <c r="F63" s="49">
        <f>Educator!B68</f>
        <v>0</v>
      </c>
      <c r="G63" s="49" t="str">
        <f>Educator!A68 &amp;" " &amp;Educator!B68</f>
        <v xml:space="preserve"> </v>
      </c>
      <c r="J63" s="49">
        <f>Educator!C68</f>
        <v>0</v>
      </c>
      <c r="K63" s="49" t="b">
        <f t="shared" si="4"/>
        <v>0</v>
      </c>
    </row>
    <row r="64" spans="1:11" x14ac:dyDescent="0.2">
      <c r="A6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","#",3))+1,1)&amp;"-"&amp;LEFT(Educator!B69, 3)&amp;"-"&amp;LEFT(Educator!A69, 3)&amp;"-"&amp;"2027"</f>
        <v>UID-FLH---2027</v>
      </c>
      <c r="C64" s="49">
        <f>Educator!C69</f>
        <v>0</v>
      </c>
      <c r="D64" s="49" t="b">
        <f t="shared" si="0"/>
        <v>0</v>
      </c>
      <c r="E64" s="49">
        <f>Educator!A69</f>
        <v>0</v>
      </c>
      <c r="F64" s="49">
        <f>Educator!B69</f>
        <v>0</v>
      </c>
      <c r="G64" s="49" t="str">
        <f>Educator!A69 &amp;" " &amp;Educator!B69</f>
        <v xml:space="preserve"> </v>
      </c>
      <c r="J64" s="49">
        <f>Educator!C69</f>
        <v>0</v>
      </c>
      <c r="K64" s="49" t="b">
        <f t="shared" si="4"/>
        <v>0</v>
      </c>
    </row>
    <row r="65" spans="1:11" x14ac:dyDescent="0.2">
      <c r="A6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","#",3))+1,1)&amp;"-"&amp;LEFT(Educator!B70, 3)&amp;"-"&amp;LEFT(Educator!A70, 3)&amp;"-"&amp;"2027"</f>
        <v>UID-FLH---2027</v>
      </c>
      <c r="C65" s="49">
        <f>Educator!C70</f>
        <v>0</v>
      </c>
      <c r="D65" s="49" t="b">
        <f t="shared" si="0"/>
        <v>0</v>
      </c>
      <c r="E65" s="49">
        <f>Educator!A70</f>
        <v>0</v>
      </c>
      <c r="F65" s="49">
        <f>Educator!B70</f>
        <v>0</v>
      </c>
      <c r="G65" s="49" t="str">
        <f>Educator!A70 &amp;" " &amp;Educator!B70</f>
        <v xml:space="preserve"> </v>
      </c>
      <c r="J65" s="49">
        <f>Educator!C70</f>
        <v>0</v>
      </c>
      <c r="K65" s="49" t="b">
        <f t="shared" si="4"/>
        <v>0</v>
      </c>
    </row>
    <row r="66" spans="1:11" x14ac:dyDescent="0.2">
      <c r="A6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","#",3))+1,1)&amp;"-"&amp;LEFT(Educator!B71, 3)&amp;"-"&amp;LEFT(Educator!A71, 3)&amp;"-"&amp;"2027"</f>
        <v>UID-FLH---2027</v>
      </c>
      <c r="C66" s="49">
        <f>Educator!C71</f>
        <v>0</v>
      </c>
      <c r="D66" s="49" t="b">
        <f t="shared" ref="D66:D81" si="5">IF(C66&gt;0,"topscore123")</f>
        <v>0</v>
      </c>
      <c r="E66" s="49">
        <f>Educator!A71</f>
        <v>0</v>
      </c>
      <c r="F66" s="49">
        <f>Educator!B71</f>
        <v>0</v>
      </c>
      <c r="G66" s="49" t="str">
        <f>Educator!A71 &amp;" " &amp;Educator!B71</f>
        <v xml:space="preserve"> </v>
      </c>
      <c r="J66" s="49">
        <f>Educator!C71</f>
        <v>0</v>
      </c>
      <c r="K66" s="49" t="b">
        <f t="shared" si="4"/>
        <v>0</v>
      </c>
    </row>
    <row r="67" spans="1:11" x14ac:dyDescent="0.2">
      <c r="A6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","#",3))+1,1)&amp;"-"&amp;LEFT(Educator!B72, 3)&amp;"-"&amp;LEFT(Educator!A72, 3)&amp;"-"&amp;"2027"</f>
        <v>UID-FLH---2027</v>
      </c>
      <c r="C67" s="49">
        <f>Educator!C72</f>
        <v>0</v>
      </c>
      <c r="D67" s="49" t="b">
        <f t="shared" si="5"/>
        <v>0</v>
      </c>
      <c r="E67" s="49">
        <f>Educator!A72</f>
        <v>0</v>
      </c>
      <c r="F67" s="49">
        <f>Educator!B72</f>
        <v>0</v>
      </c>
      <c r="G67" s="49" t="str">
        <f>Educator!A72 &amp;" " &amp;Educator!B72</f>
        <v xml:space="preserve"> </v>
      </c>
      <c r="J67" s="49">
        <f>Educator!C72</f>
        <v>0</v>
      </c>
      <c r="K67" s="49" t="b">
        <f t="shared" si="4"/>
        <v>0</v>
      </c>
    </row>
    <row r="68" spans="1:11" x14ac:dyDescent="0.2">
      <c r="A6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","#",3))+1,1)&amp;"-"&amp;LEFT(Educator!B73, 3)&amp;"-"&amp;LEFT(Educator!A73, 3)&amp;"-"&amp;"2027"</f>
        <v>UID-FLH---2027</v>
      </c>
      <c r="C68" s="49">
        <f>Educator!C73</f>
        <v>0</v>
      </c>
      <c r="D68" s="49" t="b">
        <f t="shared" si="5"/>
        <v>0</v>
      </c>
      <c r="E68" s="49">
        <f>Educator!A73</f>
        <v>0</v>
      </c>
      <c r="F68" s="49">
        <f>Educator!B73</f>
        <v>0</v>
      </c>
      <c r="G68" s="49" t="str">
        <f>Educator!A73 &amp;" " &amp;Educator!B73</f>
        <v xml:space="preserve"> </v>
      </c>
      <c r="J68" s="49">
        <f>Educator!C73</f>
        <v>0</v>
      </c>
      <c r="K68" s="49" t="b">
        <f t="shared" si="4"/>
        <v>0</v>
      </c>
    </row>
    <row r="69" spans="1:11" x14ac:dyDescent="0.2">
      <c r="A6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","#",3))+1,1)&amp;"-"&amp;LEFT(Educator!B74, 3)&amp;"-"&amp;LEFT(Educator!A74, 3)&amp;"-"&amp;"2027"</f>
        <v>UID-FLH---2027</v>
      </c>
      <c r="C69" s="49">
        <f>Educator!C74</f>
        <v>0</v>
      </c>
      <c r="D69" s="49" t="b">
        <f t="shared" si="5"/>
        <v>0</v>
      </c>
      <c r="E69" s="49">
        <f>Educator!A74</f>
        <v>0</v>
      </c>
      <c r="F69" s="49">
        <f>Educator!B74</f>
        <v>0</v>
      </c>
      <c r="G69" s="49" t="str">
        <f>Educator!A74 &amp;" " &amp;Educator!B74</f>
        <v xml:space="preserve"> </v>
      </c>
      <c r="J69" s="49">
        <f>Educator!C74</f>
        <v>0</v>
      </c>
      <c r="K69" s="49" t="b">
        <f t="shared" si="4"/>
        <v>0</v>
      </c>
    </row>
    <row r="70" spans="1:11" x14ac:dyDescent="0.2">
      <c r="A7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","#",3))+1,1)&amp;"-"&amp;LEFT(Educator!B75, 3)&amp;"-"&amp;LEFT(Educator!A75, 3)&amp;"-"&amp;"2027"</f>
        <v>UID-FLH---2027</v>
      </c>
      <c r="C70" s="49">
        <f>Educator!C75</f>
        <v>0</v>
      </c>
      <c r="D70" s="49" t="b">
        <f t="shared" si="5"/>
        <v>0</v>
      </c>
      <c r="E70" s="49">
        <f>Educator!A75</f>
        <v>0</v>
      </c>
      <c r="F70" s="49">
        <f>Educator!B75</f>
        <v>0</v>
      </c>
      <c r="G70" s="49" t="str">
        <f>Educator!A75 &amp;" " &amp;Educator!B75</f>
        <v xml:space="preserve"> </v>
      </c>
      <c r="J70" s="49">
        <f>Educator!C75</f>
        <v>0</v>
      </c>
      <c r="K70" s="49" t="b">
        <f t="shared" si="4"/>
        <v>0</v>
      </c>
    </row>
    <row r="71" spans="1:11" x14ac:dyDescent="0.2">
      <c r="A7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","#",3))+1,1)&amp;"-"&amp;LEFT(Educator!B76, 3)&amp;"-"&amp;LEFT(Educator!A76, 3)&amp;"-"&amp;"2027"</f>
        <v>UID-FLH---2027</v>
      </c>
      <c r="C71" s="49">
        <f>Educator!C76</f>
        <v>0</v>
      </c>
      <c r="D71" s="49" t="b">
        <f t="shared" si="5"/>
        <v>0</v>
      </c>
      <c r="E71" s="49">
        <f>Educator!A76</f>
        <v>0</v>
      </c>
      <c r="F71" s="49">
        <f>Educator!B76</f>
        <v>0</v>
      </c>
      <c r="G71" s="49" t="str">
        <f>Educator!A76 &amp;" " &amp;Educator!B76</f>
        <v xml:space="preserve"> </v>
      </c>
      <c r="J71" s="49">
        <f>Educator!C76</f>
        <v>0</v>
      </c>
      <c r="K71" s="49" t="b">
        <f t="shared" si="4"/>
        <v>0</v>
      </c>
    </row>
    <row r="72" spans="1:11" x14ac:dyDescent="0.2">
      <c r="A7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","#",3))+1,1)&amp;"-"&amp;LEFT(Educator!B77, 3)&amp;"-"&amp;LEFT(Educator!A77, 3)&amp;"-"&amp;"2027"</f>
        <v>UID-FLH---2027</v>
      </c>
      <c r="C72" s="49">
        <f>Educator!C77</f>
        <v>0</v>
      </c>
      <c r="D72" s="49" t="b">
        <f t="shared" si="5"/>
        <v>0</v>
      </c>
      <c r="E72" s="49">
        <f>Educator!A77</f>
        <v>0</v>
      </c>
      <c r="F72" s="49">
        <f>Educator!B77</f>
        <v>0</v>
      </c>
      <c r="G72" s="49" t="str">
        <f>Educator!A77 &amp;" " &amp;Educator!B77</f>
        <v xml:space="preserve"> </v>
      </c>
      <c r="J72" s="49">
        <f>Educator!C77</f>
        <v>0</v>
      </c>
      <c r="K72" s="49" t="b">
        <f t="shared" si="4"/>
        <v>0</v>
      </c>
    </row>
    <row r="73" spans="1:11" x14ac:dyDescent="0.2">
      <c r="A7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","#",3))+1,1)&amp;"-"&amp;LEFT(Educator!B78, 3)&amp;"-"&amp;LEFT(Educator!A78, 3)&amp;"-"&amp;"2027"</f>
        <v>UID-FLH---2027</v>
      </c>
      <c r="C73" s="49">
        <f>Educator!C78</f>
        <v>0</v>
      </c>
      <c r="D73" s="49" t="b">
        <f t="shared" si="5"/>
        <v>0</v>
      </c>
      <c r="E73" s="49">
        <f>Educator!A78</f>
        <v>0</v>
      </c>
      <c r="F73" s="49">
        <f>Educator!B78</f>
        <v>0</v>
      </c>
      <c r="G73" s="49" t="str">
        <f>Educator!A78 &amp;" " &amp;Educator!B78</f>
        <v xml:space="preserve"> </v>
      </c>
      <c r="J73" s="49">
        <f>Educator!C78</f>
        <v>0</v>
      </c>
      <c r="K73" s="49" t="b">
        <f t="shared" si="4"/>
        <v>0</v>
      </c>
    </row>
    <row r="74" spans="1:11" x14ac:dyDescent="0.2">
      <c r="A7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","#",3))+1,1)&amp;"-"&amp;LEFT(Educator!B79, 3)&amp;"-"&amp;LEFT(Educator!A79, 3)&amp;"-"&amp;"2027"</f>
        <v>UID-FLH---2027</v>
      </c>
      <c r="C74" s="49">
        <f>Educator!C79</f>
        <v>0</v>
      </c>
      <c r="D74" s="49" t="b">
        <f t="shared" si="5"/>
        <v>0</v>
      </c>
      <c r="E74" s="49">
        <f>Educator!A79</f>
        <v>0</v>
      </c>
      <c r="F74" s="49">
        <f>Educator!B79</f>
        <v>0</v>
      </c>
      <c r="G74" s="49" t="str">
        <f>Educator!A79 &amp;" " &amp;Educator!B79</f>
        <v xml:space="preserve"> </v>
      </c>
      <c r="J74" s="49">
        <f>Educator!C79</f>
        <v>0</v>
      </c>
      <c r="K74" s="49" t="b">
        <f t="shared" si="4"/>
        <v>0</v>
      </c>
    </row>
    <row r="75" spans="1:11" x14ac:dyDescent="0.2">
      <c r="A7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","#",3))+1,1)&amp;"-"&amp;LEFT(Educator!B80, 3)&amp;"-"&amp;LEFT(Educator!A80, 3)&amp;"-"&amp;"2027"</f>
        <v>UID-FLH---2027</v>
      </c>
      <c r="C75" s="49">
        <f>Educator!C80</f>
        <v>0</v>
      </c>
      <c r="D75" s="49" t="b">
        <f t="shared" si="5"/>
        <v>0</v>
      </c>
      <c r="E75" s="49">
        <f>Educator!A80</f>
        <v>0</v>
      </c>
      <c r="F75" s="49">
        <f>Educator!B80</f>
        <v>0</v>
      </c>
      <c r="G75" s="49" t="str">
        <f>Educator!A80 &amp;" " &amp;Educator!B80</f>
        <v xml:space="preserve"> </v>
      </c>
      <c r="J75" s="49">
        <f>Educator!C80</f>
        <v>0</v>
      </c>
      <c r="K75" s="49" t="b">
        <f t="shared" si="4"/>
        <v>0</v>
      </c>
    </row>
    <row r="76" spans="1:11" x14ac:dyDescent="0.2">
      <c r="A7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","#",3))+1,1)&amp;"-"&amp;LEFT(Educator!B81, 3)&amp;"-"&amp;LEFT(Educator!A81, 3)&amp;"-"&amp;"2027"</f>
        <v>UID-FLH---2027</v>
      </c>
      <c r="C76" s="49">
        <f>Educator!C81</f>
        <v>0</v>
      </c>
      <c r="D76" s="49" t="b">
        <f t="shared" si="5"/>
        <v>0</v>
      </c>
      <c r="E76" s="49">
        <f>Educator!A81</f>
        <v>0</v>
      </c>
      <c r="F76" s="49">
        <f>Educator!B81</f>
        <v>0</v>
      </c>
      <c r="G76" s="49" t="str">
        <f>Educator!A81 &amp;" " &amp;Educator!B81</f>
        <v xml:space="preserve"> </v>
      </c>
      <c r="J76" s="49">
        <f>Educator!C81</f>
        <v>0</v>
      </c>
      <c r="K76" s="49" t="b">
        <f t="shared" si="4"/>
        <v>0</v>
      </c>
    </row>
    <row r="77" spans="1:11" x14ac:dyDescent="0.2">
      <c r="A7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","#",3))+1,1)&amp;"-"&amp;LEFT(Educator!B82, 3)&amp;"-"&amp;LEFT(Educator!A82, 3)&amp;"-"&amp;"2027"</f>
        <v>UID-FLH---2027</v>
      </c>
      <c r="C77" s="49">
        <f>Educator!C82</f>
        <v>0</v>
      </c>
      <c r="D77" s="49" t="b">
        <f t="shared" si="5"/>
        <v>0</v>
      </c>
      <c r="E77" s="49">
        <f>Educator!A82</f>
        <v>0</v>
      </c>
      <c r="F77" s="49">
        <f>Educator!B82</f>
        <v>0</v>
      </c>
      <c r="G77" s="49" t="str">
        <f>Educator!A82 &amp;" " &amp;Educator!B82</f>
        <v xml:space="preserve"> </v>
      </c>
      <c r="J77" s="49">
        <f>Educator!C82</f>
        <v>0</v>
      </c>
      <c r="K77" s="49" t="b">
        <f t="shared" si="4"/>
        <v>0</v>
      </c>
    </row>
    <row r="78" spans="1:11" x14ac:dyDescent="0.2">
      <c r="A7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","#",3))+1,1)&amp;"-"&amp;LEFT(Educator!B83, 3)&amp;"-"&amp;LEFT(Educator!A83, 3)&amp;"-"&amp;"2027"</f>
        <v>UID-FLH---2027</v>
      </c>
      <c r="C78" s="49">
        <f>Educator!C83</f>
        <v>0</v>
      </c>
      <c r="D78" s="49" t="b">
        <f t="shared" si="5"/>
        <v>0</v>
      </c>
      <c r="E78" s="49">
        <f>Educator!A83</f>
        <v>0</v>
      </c>
      <c r="F78" s="49">
        <f>Educator!B83</f>
        <v>0</v>
      </c>
      <c r="G78" s="49" t="str">
        <f>Educator!A83 &amp;" " &amp;Educator!B83</f>
        <v xml:space="preserve"> </v>
      </c>
      <c r="J78" s="49">
        <f>Educator!C83</f>
        <v>0</v>
      </c>
      <c r="K78" s="49" t="b">
        <f t="shared" si="4"/>
        <v>0</v>
      </c>
    </row>
    <row r="79" spans="1:11" x14ac:dyDescent="0.2">
      <c r="A7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","#",3))+1,1)&amp;"-"&amp;LEFT(Educator!B84, 3)&amp;"-"&amp;LEFT(Educator!A84, 3)&amp;"-"&amp;"2027"</f>
        <v>UID-FLH---2027</v>
      </c>
      <c r="C79" s="49">
        <f>Educator!C84</f>
        <v>0</v>
      </c>
      <c r="D79" s="49" t="b">
        <f t="shared" si="5"/>
        <v>0</v>
      </c>
      <c r="E79" s="49">
        <f>Educator!A84</f>
        <v>0</v>
      </c>
      <c r="F79" s="49">
        <f>Educator!B84</f>
        <v>0</v>
      </c>
      <c r="G79" s="49" t="str">
        <f>Educator!A84 &amp;" " &amp;Educator!B84</f>
        <v xml:space="preserve"> </v>
      </c>
      <c r="J79" s="49">
        <f>Educator!C84</f>
        <v>0</v>
      </c>
      <c r="K79" s="49" t="b">
        <f t="shared" si="4"/>
        <v>0</v>
      </c>
    </row>
    <row r="80" spans="1:11" x14ac:dyDescent="0.2">
      <c r="A8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","#",3))+1,1)&amp;"-"&amp;LEFT(Educator!B85, 3)&amp;"-"&amp;LEFT(Educator!A85, 3)&amp;"-"&amp;"2027"</f>
        <v>UID-FLH---2027</v>
      </c>
      <c r="C80" s="49">
        <f>Educator!C85</f>
        <v>0</v>
      </c>
      <c r="D80" s="49" t="b">
        <f t="shared" si="5"/>
        <v>0</v>
      </c>
      <c r="E80" s="49">
        <f>Educator!A85</f>
        <v>0</v>
      </c>
      <c r="F80" s="49">
        <f>Educator!B85</f>
        <v>0</v>
      </c>
      <c r="G80" s="49" t="str">
        <f>Educator!A85 &amp;" " &amp;Educator!B85</f>
        <v xml:space="preserve"> </v>
      </c>
      <c r="J80" s="49">
        <f>Educator!C85</f>
        <v>0</v>
      </c>
      <c r="K80" s="49" t="b">
        <f t="shared" si="4"/>
        <v>0</v>
      </c>
    </row>
    <row r="81" spans="1:11" x14ac:dyDescent="0.2">
      <c r="A8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","#",3))+1,1)&amp;"-"&amp;LEFT(Educator!B86, 3)&amp;"-"&amp;LEFT(Educator!A86, 3)&amp;"-"&amp;"2027"</f>
        <v>UID-FLH---2027</v>
      </c>
      <c r="C81" s="49">
        <f>Educator!C86</f>
        <v>0</v>
      </c>
      <c r="D81" s="49" t="b">
        <f t="shared" si="5"/>
        <v>0</v>
      </c>
      <c r="E81" s="49">
        <f>Educator!A86</f>
        <v>0</v>
      </c>
      <c r="F81" s="49">
        <f>Educator!B86</f>
        <v>0</v>
      </c>
      <c r="G81" s="49" t="str">
        <f>Educator!A86 &amp;" " &amp;Educator!B86</f>
        <v xml:space="preserve"> </v>
      </c>
      <c r="J81" s="49">
        <f>Educator!C86</f>
        <v>0</v>
      </c>
      <c r="K81" s="49" t="b">
        <f t="shared" si="4"/>
        <v>0</v>
      </c>
    </row>
    <row r="82" spans="1:11" x14ac:dyDescent="0.2">
      <c r="A8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","#",3))+1,1)&amp;"-"&amp;LEFT(Educator!B87, 3)&amp;"-"&amp;LEFT(Educator!A87, 3)&amp;"-"&amp;"2027"</f>
        <v>UID-FLH---2027</v>
      </c>
      <c r="C82" s="49">
        <f>Educator!C87</f>
        <v>0</v>
      </c>
      <c r="D82" s="49" t="b">
        <f t="shared" ref="D82:D145" si="6">IF(C82&gt;0,"topscore123")</f>
        <v>0</v>
      </c>
      <c r="E82" s="49">
        <f>Educator!A87</f>
        <v>0</v>
      </c>
      <c r="F82" s="49">
        <f>Educator!B87</f>
        <v>0</v>
      </c>
      <c r="G82" s="49" t="str">
        <f>Educator!A87 &amp;" " &amp;Educator!B87</f>
        <v xml:space="preserve"> </v>
      </c>
      <c r="J82" s="49">
        <f>Educator!C87</f>
        <v>0</v>
      </c>
      <c r="K82" s="49" t="b">
        <f t="shared" ref="K82:K145" si="7">IF(C82&gt;0,"active")</f>
        <v>0</v>
      </c>
    </row>
    <row r="83" spans="1:11" x14ac:dyDescent="0.2">
      <c r="A8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","#",3))+1,1)&amp;"-"&amp;LEFT(Educator!B88, 3)&amp;"-"&amp;LEFT(Educator!A88, 3)&amp;"-"&amp;"2027"</f>
        <v>UID-FLH---2027</v>
      </c>
      <c r="C83" s="49">
        <f>Educator!C88</f>
        <v>0</v>
      </c>
      <c r="D83" s="49" t="b">
        <f t="shared" si="6"/>
        <v>0</v>
      </c>
      <c r="E83" s="49">
        <f>Educator!A88</f>
        <v>0</v>
      </c>
      <c r="F83" s="49">
        <f>Educator!B88</f>
        <v>0</v>
      </c>
      <c r="G83" s="49" t="str">
        <f>Educator!A88 &amp;" " &amp;Educator!B88</f>
        <v xml:space="preserve"> </v>
      </c>
      <c r="J83" s="49">
        <f>Educator!C88</f>
        <v>0</v>
      </c>
      <c r="K83" s="49" t="b">
        <f t="shared" si="7"/>
        <v>0</v>
      </c>
    </row>
    <row r="84" spans="1:11" x14ac:dyDescent="0.2">
      <c r="A8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","#",3))+1,1)&amp;"-"&amp;LEFT(Educator!B89, 3)&amp;"-"&amp;LEFT(Educator!A89, 3)&amp;"-"&amp;"2027"</f>
        <v>UID-FLH---2027</v>
      </c>
      <c r="C84" s="49">
        <f>Educator!C89</f>
        <v>0</v>
      </c>
      <c r="D84" s="49" t="b">
        <f t="shared" si="6"/>
        <v>0</v>
      </c>
      <c r="E84" s="49">
        <f>Educator!A89</f>
        <v>0</v>
      </c>
      <c r="F84" s="49">
        <f>Educator!B89</f>
        <v>0</v>
      </c>
      <c r="G84" s="49" t="str">
        <f>Educator!A89 &amp;" " &amp;Educator!B89</f>
        <v xml:space="preserve"> </v>
      </c>
      <c r="J84" s="49">
        <f>Educator!C89</f>
        <v>0</v>
      </c>
      <c r="K84" s="49" t="b">
        <f t="shared" si="7"/>
        <v>0</v>
      </c>
    </row>
    <row r="85" spans="1:11" x14ac:dyDescent="0.2">
      <c r="A8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","#",3))+1,1)&amp;"-"&amp;LEFT(Educator!B90, 3)&amp;"-"&amp;LEFT(Educator!A90, 3)&amp;"-"&amp;"2027"</f>
        <v>UID-FLH---2027</v>
      </c>
      <c r="C85" s="49">
        <f>Educator!C90</f>
        <v>0</v>
      </c>
      <c r="D85" s="49" t="b">
        <f t="shared" si="6"/>
        <v>0</v>
      </c>
      <c r="E85" s="49">
        <f>Educator!A90</f>
        <v>0</v>
      </c>
      <c r="F85" s="49">
        <f>Educator!B90</f>
        <v>0</v>
      </c>
      <c r="G85" s="49" t="str">
        <f>Educator!A90 &amp;" " &amp;Educator!B90</f>
        <v xml:space="preserve"> </v>
      </c>
      <c r="J85" s="49">
        <f>Educator!C90</f>
        <v>0</v>
      </c>
      <c r="K85" s="49" t="b">
        <f t="shared" si="7"/>
        <v>0</v>
      </c>
    </row>
    <row r="86" spans="1:11" x14ac:dyDescent="0.2">
      <c r="A8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","#",3))+1,1)&amp;"-"&amp;LEFT(Educator!B91, 3)&amp;"-"&amp;LEFT(Educator!A91, 3)&amp;"-"&amp;"2027"</f>
        <v>UID-FLH---2027</v>
      </c>
      <c r="C86" s="49">
        <f>Educator!C91</f>
        <v>0</v>
      </c>
      <c r="D86" s="49" t="b">
        <f t="shared" si="6"/>
        <v>0</v>
      </c>
      <c r="E86" s="49">
        <f>Educator!A91</f>
        <v>0</v>
      </c>
      <c r="F86" s="49">
        <f>Educator!B91</f>
        <v>0</v>
      </c>
      <c r="G86" s="49" t="str">
        <f>Educator!A91 &amp;" " &amp;Educator!B91</f>
        <v xml:space="preserve"> </v>
      </c>
      <c r="J86" s="49">
        <f>Educator!C91</f>
        <v>0</v>
      </c>
      <c r="K86" s="49" t="b">
        <f t="shared" si="7"/>
        <v>0</v>
      </c>
    </row>
    <row r="87" spans="1:11" x14ac:dyDescent="0.2">
      <c r="A8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","#",3))+1,1)&amp;"-"&amp;LEFT(Educator!B92, 3)&amp;"-"&amp;LEFT(Educator!A92, 3)&amp;"-"&amp;"2027"</f>
        <v>UID-FLH---2027</v>
      </c>
      <c r="C87" s="49">
        <f>Educator!C92</f>
        <v>0</v>
      </c>
      <c r="D87" s="49" t="b">
        <f t="shared" si="6"/>
        <v>0</v>
      </c>
      <c r="E87" s="49">
        <f>Educator!A92</f>
        <v>0</v>
      </c>
      <c r="F87" s="49">
        <f>Educator!B92</f>
        <v>0</v>
      </c>
      <c r="G87" s="49" t="str">
        <f>Educator!A92 &amp;" " &amp;Educator!B92</f>
        <v xml:space="preserve"> </v>
      </c>
      <c r="J87" s="49">
        <f>Educator!C92</f>
        <v>0</v>
      </c>
      <c r="K87" s="49" t="b">
        <f t="shared" si="7"/>
        <v>0</v>
      </c>
    </row>
    <row r="88" spans="1:11" x14ac:dyDescent="0.2">
      <c r="A8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","#",3))+1,1)&amp;"-"&amp;LEFT(Educator!B93, 3)&amp;"-"&amp;LEFT(Educator!A93, 3)&amp;"-"&amp;"2027"</f>
        <v>UID-FLH---2027</v>
      </c>
      <c r="C88" s="49">
        <f>Educator!C93</f>
        <v>0</v>
      </c>
      <c r="D88" s="49" t="b">
        <f t="shared" si="6"/>
        <v>0</v>
      </c>
      <c r="E88" s="49">
        <f>Educator!A93</f>
        <v>0</v>
      </c>
      <c r="F88" s="49">
        <f>Educator!B93</f>
        <v>0</v>
      </c>
      <c r="G88" s="49" t="str">
        <f>Educator!A93 &amp;" " &amp;Educator!B93</f>
        <v xml:space="preserve"> </v>
      </c>
      <c r="J88" s="49">
        <f>Educator!C93</f>
        <v>0</v>
      </c>
      <c r="K88" s="49" t="b">
        <f t="shared" si="7"/>
        <v>0</v>
      </c>
    </row>
    <row r="89" spans="1:11" x14ac:dyDescent="0.2">
      <c r="A8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","#",3))+1,1)&amp;"-"&amp;LEFT(Educator!B94, 3)&amp;"-"&amp;LEFT(Educator!A94, 3)&amp;"-"&amp;"2027"</f>
        <v>UID-FLH---2027</v>
      </c>
      <c r="C89" s="49">
        <f>Educator!C94</f>
        <v>0</v>
      </c>
      <c r="D89" s="49" t="b">
        <f t="shared" si="6"/>
        <v>0</v>
      </c>
      <c r="E89" s="49">
        <f>Educator!A94</f>
        <v>0</v>
      </c>
      <c r="F89" s="49">
        <f>Educator!B94</f>
        <v>0</v>
      </c>
      <c r="G89" s="49" t="str">
        <f>Educator!A94 &amp;" " &amp;Educator!B94</f>
        <v xml:space="preserve"> </v>
      </c>
      <c r="J89" s="49">
        <f>Educator!C94</f>
        <v>0</v>
      </c>
      <c r="K89" s="49" t="b">
        <f t="shared" si="7"/>
        <v>0</v>
      </c>
    </row>
    <row r="90" spans="1:11" x14ac:dyDescent="0.2">
      <c r="A9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","#",3))+1,1)&amp;"-"&amp;LEFT(Educator!B95, 3)&amp;"-"&amp;LEFT(Educator!A95, 3)&amp;"-"&amp;"2027"</f>
        <v>UID-FLH---2027</v>
      </c>
      <c r="C90" s="49">
        <f>Educator!C95</f>
        <v>0</v>
      </c>
      <c r="D90" s="49" t="b">
        <f t="shared" si="6"/>
        <v>0</v>
      </c>
      <c r="E90" s="49">
        <f>Educator!A95</f>
        <v>0</v>
      </c>
      <c r="F90" s="49">
        <f>Educator!B95</f>
        <v>0</v>
      </c>
      <c r="G90" s="49" t="str">
        <f>Educator!A95 &amp;" " &amp;Educator!B95</f>
        <v xml:space="preserve"> </v>
      </c>
      <c r="J90" s="49">
        <f>Educator!C95</f>
        <v>0</v>
      </c>
      <c r="K90" s="49" t="b">
        <f t="shared" si="7"/>
        <v>0</v>
      </c>
    </row>
    <row r="91" spans="1:11" x14ac:dyDescent="0.2">
      <c r="A9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","#",3))+1,1)&amp;"-"&amp;LEFT(Educator!B96, 3)&amp;"-"&amp;LEFT(Educator!A96, 3)&amp;"-"&amp;"2027"</f>
        <v>UID-FLH---2027</v>
      </c>
      <c r="C91" s="49">
        <f>Educator!C96</f>
        <v>0</v>
      </c>
      <c r="D91" s="49" t="b">
        <f t="shared" si="6"/>
        <v>0</v>
      </c>
      <c r="E91" s="49">
        <f>Educator!A96</f>
        <v>0</v>
      </c>
      <c r="F91" s="49">
        <f>Educator!B96</f>
        <v>0</v>
      </c>
      <c r="G91" s="49" t="str">
        <f>Educator!A96 &amp;" " &amp;Educator!B96</f>
        <v xml:space="preserve"> </v>
      </c>
      <c r="J91" s="49">
        <f>Educator!C96</f>
        <v>0</v>
      </c>
      <c r="K91" s="49" t="b">
        <f t="shared" si="7"/>
        <v>0</v>
      </c>
    </row>
    <row r="92" spans="1:11" x14ac:dyDescent="0.2">
      <c r="A9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","#",3))+1,1)&amp;"-"&amp;LEFT(Educator!B97, 3)&amp;"-"&amp;LEFT(Educator!A97, 3)&amp;"-"&amp;"2027"</f>
        <v>UID-FLH---2027</v>
      </c>
      <c r="C92" s="49">
        <f>Educator!C97</f>
        <v>0</v>
      </c>
      <c r="D92" s="49" t="b">
        <f t="shared" si="6"/>
        <v>0</v>
      </c>
      <c r="E92" s="49">
        <f>Educator!A97</f>
        <v>0</v>
      </c>
      <c r="F92" s="49">
        <f>Educator!B97</f>
        <v>0</v>
      </c>
      <c r="G92" s="49" t="str">
        <f>Educator!A97 &amp;" " &amp;Educator!B97</f>
        <v xml:space="preserve"> </v>
      </c>
      <c r="J92" s="49">
        <f>Educator!C97</f>
        <v>0</v>
      </c>
      <c r="K92" s="49" t="b">
        <f t="shared" si="7"/>
        <v>0</v>
      </c>
    </row>
    <row r="93" spans="1:11" x14ac:dyDescent="0.2">
      <c r="A9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","#",3))+1,1)&amp;"-"&amp;LEFT(Educator!B98, 3)&amp;"-"&amp;LEFT(Educator!A98, 3)&amp;"-"&amp;"2027"</f>
        <v>UID-FLH---2027</v>
      </c>
      <c r="C93" s="49">
        <f>Educator!C98</f>
        <v>0</v>
      </c>
      <c r="D93" s="49" t="b">
        <f t="shared" si="6"/>
        <v>0</v>
      </c>
      <c r="E93" s="49">
        <f>Educator!A98</f>
        <v>0</v>
      </c>
      <c r="F93" s="49">
        <f>Educator!B98</f>
        <v>0</v>
      </c>
      <c r="G93" s="49" t="str">
        <f>Educator!A98 &amp;" " &amp;Educator!B98</f>
        <v xml:space="preserve"> </v>
      </c>
      <c r="J93" s="49">
        <f>Educator!C98</f>
        <v>0</v>
      </c>
      <c r="K93" s="49" t="b">
        <f t="shared" si="7"/>
        <v>0</v>
      </c>
    </row>
    <row r="94" spans="1:11" x14ac:dyDescent="0.2">
      <c r="A9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","#",3))+1,1)&amp;"-"&amp;LEFT(Educator!B99, 3)&amp;"-"&amp;LEFT(Educator!A99, 3)&amp;"-"&amp;"2027"</f>
        <v>UID-FLH---2027</v>
      </c>
      <c r="C94" s="49">
        <f>Educator!C99</f>
        <v>0</v>
      </c>
      <c r="D94" s="49" t="b">
        <f t="shared" si="6"/>
        <v>0</v>
      </c>
      <c r="E94" s="49">
        <f>Educator!A99</f>
        <v>0</v>
      </c>
      <c r="F94" s="49">
        <f>Educator!B99</f>
        <v>0</v>
      </c>
      <c r="G94" s="49" t="str">
        <f>Educator!A99 &amp;" " &amp;Educator!B99</f>
        <v xml:space="preserve"> </v>
      </c>
      <c r="J94" s="49">
        <f>Educator!C99</f>
        <v>0</v>
      </c>
      <c r="K94" s="49" t="b">
        <f t="shared" si="7"/>
        <v>0</v>
      </c>
    </row>
    <row r="95" spans="1:11" x14ac:dyDescent="0.2">
      <c r="A9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","#",3))+1,1)&amp;"-"&amp;LEFT(Educator!B100, 3)&amp;"-"&amp;LEFT(Educator!A100, 3)&amp;"-"&amp;"2027"</f>
        <v>UID-FLH---2027</v>
      </c>
      <c r="C95" s="49">
        <f>Educator!C100</f>
        <v>0</v>
      </c>
      <c r="D95" s="49" t="b">
        <f t="shared" si="6"/>
        <v>0</v>
      </c>
      <c r="E95" s="49">
        <f>Educator!A100</f>
        <v>0</v>
      </c>
      <c r="F95" s="49">
        <f>Educator!B100</f>
        <v>0</v>
      </c>
      <c r="G95" s="49" t="str">
        <f>Educator!A100 &amp;" " &amp;Educator!B100</f>
        <v xml:space="preserve"> </v>
      </c>
      <c r="J95" s="49">
        <f>Educator!C100</f>
        <v>0</v>
      </c>
      <c r="K95" s="49" t="b">
        <f t="shared" si="7"/>
        <v>0</v>
      </c>
    </row>
    <row r="96" spans="1:11" x14ac:dyDescent="0.2">
      <c r="A9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","#",3))+1,1)&amp;"-"&amp;LEFT(Educator!B101, 3)&amp;"-"&amp;LEFT(Educator!A101, 3)&amp;"-"&amp;"2027"</f>
        <v>UID-FLH---2027</v>
      </c>
      <c r="C96" s="49">
        <f>Educator!C101</f>
        <v>0</v>
      </c>
      <c r="D96" s="49" t="b">
        <f t="shared" si="6"/>
        <v>0</v>
      </c>
      <c r="E96" s="49">
        <f>Educator!A101</f>
        <v>0</v>
      </c>
      <c r="F96" s="49">
        <f>Educator!B101</f>
        <v>0</v>
      </c>
      <c r="G96" s="49" t="str">
        <f>Educator!A101 &amp;" " &amp;Educator!B101</f>
        <v xml:space="preserve"> </v>
      </c>
      <c r="J96" s="49">
        <f>Educator!C101</f>
        <v>0</v>
      </c>
      <c r="K96" s="49" t="b">
        <f t="shared" si="7"/>
        <v>0</v>
      </c>
    </row>
    <row r="97" spans="1:11" x14ac:dyDescent="0.2">
      <c r="A9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","#",3))+1,1)&amp;"-"&amp;LEFT(Educator!B102, 3)&amp;"-"&amp;LEFT(Educator!A102, 3)&amp;"-"&amp;"2027"</f>
        <v>UID-FLH---2027</v>
      </c>
      <c r="C97" s="49">
        <f>Educator!C102</f>
        <v>0</v>
      </c>
      <c r="D97" s="49" t="b">
        <f t="shared" si="6"/>
        <v>0</v>
      </c>
      <c r="E97" s="49">
        <f>Educator!A102</f>
        <v>0</v>
      </c>
      <c r="F97" s="49">
        <f>Educator!B102</f>
        <v>0</v>
      </c>
      <c r="G97" s="49" t="str">
        <f>Educator!A102 &amp;" " &amp;Educator!B102</f>
        <v xml:space="preserve"> </v>
      </c>
      <c r="J97" s="49">
        <f>Educator!C102</f>
        <v>0</v>
      </c>
      <c r="K97" s="49" t="b">
        <f t="shared" si="7"/>
        <v>0</v>
      </c>
    </row>
    <row r="98" spans="1:11" x14ac:dyDescent="0.2">
      <c r="A9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","#",3))+1,1)&amp;"-"&amp;LEFT(Educator!B103, 3)&amp;"-"&amp;LEFT(Educator!A103, 3)&amp;"-"&amp;"2027"</f>
        <v>UID-FLH---2027</v>
      </c>
      <c r="C98" s="49">
        <f>Educator!C103</f>
        <v>0</v>
      </c>
      <c r="D98" s="49" t="b">
        <f t="shared" si="6"/>
        <v>0</v>
      </c>
      <c r="E98" s="49">
        <f>Educator!A103</f>
        <v>0</v>
      </c>
      <c r="F98" s="49">
        <f>Educator!B103</f>
        <v>0</v>
      </c>
      <c r="G98" s="49" t="str">
        <f>Educator!A103 &amp;" " &amp;Educator!B103</f>
        <v xml:space="preserve"> </v>
      </c>
      <c r="J98" s="49">
        <f>Educator!C103</f>
        <v>0</v>
      </c>
      <c r="K98" s="49" t="b">
        <f t="shared" si="7"/>
        <v>0</v>
      </c>
    </row>
    <row r="99" spans="1:11" x14ac:dyDescent="0.2">
      <c r="A9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","#",3))+1,1)&amp;"-"&amp;LEFT(Educator!B104, 3)&amp;"-"&amp;LEFT(Educator!A104, 3)&amp;"-"&amp;"2027"</f>
        <v>UID-FLH---2027</v>
      </c>
      <c r="C99" s="49">
        <f>Educator!C104</f>
        <v>0</v>
      </c>
      <c r="D99" s="49" t="b">
        <f t="shared" si="6"/>
        <v>0</v>
      </c>
      <c r="E99" s="49">
        <f>Educator!A104</f>
        <v>0</v>
      </c>
      <c r="F99" s="49">
        <f>Educator!B104</f>
        <v>0</v>
      </c>
      <c r="G99" s="49" t="str">
        <f>Educator!A104 &amp;" " &amp;Educator!B104</f>
        <v xml:space="preserve"> </v>
      </c>
      <c r="J99" s="49">
        <f>Educator!C104</f>
        <v>0</v>
      </c>
      <c r="K99" s="49" t="b">
        <f t="shared" si="7"/>
        <v>0</v>
      </c>
    </row>
    <row r="100" spans="1:11" x14ac:dyDescent="0.2">
      <c r="A10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","#",3))+1,1)&amp;"-"&amp;LEFT(Educator!B105, 3)&amp;"-"&amp;LEFT(Educator!A105, 3)&amp;"-"&amp;"2027"</f>
        <v>UID-FLH---2027</v>
      </c>
      <c r="C100" s="49">
        <f>Educator!C105</f>
        <v>0</v>
      </c>
      <c r="D100" s="49" t="b">
        <f t="shared" si="6"/>
        <v>0</v>
      </c>
      <c r="E100" s="49">
        <f>Educator!A105</f>
        <v>0</v>
      </c>
      <c r="F100" s="49">
        <f>Educator!B105</f>
        <v>0</v>
      </c>
      <c r="G100" s="49" t="str">
        <f>Educator!A105 &amp;" " &amp;Educator!B105</f>
        <v xml:space="preserve"> </v>
      </c>
      <c r="J100" s="49">
        <f>Educator!C105</f>
        <v>0</v>
      </c>
      <c r="K100" s="49" t="b">
        <f t="shared" si="7"/>
        <v>0</v>
      </c>
    </row>
    <row r="101" spans="1:11" x14ac:dyDescent="0.2">
      <c r="A10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","#",3))+1,1)&amp;"-"&amp;LEFT(Educator!B106, 3)&amp;"-"&amp;LEFT(Educator!A106, 3)&amp;"-"&amp;"2027"</f>
        <v>UID-FLH---2027</v>
      </c>
      <c r="C101" s="49">
        <f>Educator!C106</f>
        <v>0</v>
      </c>
      <c r="D101" s="49" t="b">
        <f t="shared" si="6"/>
        <v>0</v>
      </c>
      <c r="E101" s="49">
        <f>Educator!A106</f>
        <v>0</v>
      </c>
      <c r="F101" s="49">
        <f>Educator!B106</f>
        <v>0</v>
      </c>
      <c r="G101" s="49" t="str">
        <f>Educator!A106 &amp;" " &amp;Educator!B106</f>
        <v xml:space="preserve"> </v>
      </c>
      <c r="J101" s="49">
        <f>Educator!C106</f>
        <v>0</v>
      </c>
      <c r="K101" s="49" t="b">
        <f t="shared" si="7"/>
        <v>0</v>
      </c>
    </row>
    <row r="102" spans="1:11" x14ac:dyDescent="0.2">
      <c r="A10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","#",3))+1,1)&amp;"-"&amp;LEFT(Educator!B107, 3)&amp;"-"&amp;LEFT(Educator!A107, 3)&amp;"-"&amp;"2027"</f>
        <v>UID-FLH---2027</v>
      </c>
      <c r="C102" s="49">
        <f>Educator!C107</f>
        <v>0</v>
      </c>
      <c r="D102" s="49" t="b">
        <f t="shared" si="6"/>
        <v>0</v>
      </c>
      <c r="E102" s="49">
        <f>Educator!A107</f>
        <v>0</v>
      </c>
      <c r="F102" s="49">
        <f>Educator!B107</f>
        <v>0</v>
      </c>
      <c r="G102" s="49" t="str">
        <f>Educator!A107 &amp;" " &amp;Educator!B107</f>
        <v xml:space="preserve"> </v>
      </c>
      <c r="J102" s="49">
        <f>Educator!C107</f>
        <v>0</v>
      </c>
      <c r="K102" s="49" t="b">
        <f t="shared" si="7"/>
        <v>0</v>
      </c>
    </row>
    <row r="103" spans="1:11" x14ac:dyDescent="0.2">
      <c r="A10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","#",3))+1,1)&amp;"-"&amp;LEFT(Educator!B108, 3)&amp;"-"&amp;LEFT(Educator!A108, 3)&amp;"-"&amp;"2027"</f>
        <v>UID-FLH---2027</v>
      </c>
      <c r="C103" s="49">
        <f>Educator!C108</f>
        <v>0</v>
      </c>
      <c r="D103" s="49" t="b">
        <f t="shared" si="6"/>
        <v>0</v>
      </c>
      <c r="E103" s="49">
        <f>Educator!A108</f>
        <v>0</v>
      </c>
      <c r="F103" s="49">
        <f>Educator!B108</f>
        <v>0</v>
      </c>
      <c r="G103" s="49" t="str">
        <f>Educator!A108 &amp;" " &amp;Educator!B108</f>
        <v xml:space="preserve"> </v>
      </c>
      <c r="J103" s="49">
        <f>Educator!C108</f>
        <v>0</v>
      </c>
      <c r="K103" s="49" t="b">
        <f t="shared" si="7"/>
        <v>0</v>
      </c>
    </row>
    <row r="104" spans="1:11" x14ac:dyDescent="0.2">
      <c r="A10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","#",3))+1,1)&amp;"-"&amp;LEFT(Educator!B109, 3)&amp;"-"&amp;LEFT(Educator!A109, 3)&amp;"-"&amp;"2027"</f>
        <v>UID-FLH---2027</v>
      </c>
      <c r="C104" s="49">
        <f>Educator!C109</f>
        <v>0</v>
      </c>
      <c r="D104" s="49" t="b">
        <f t="shared" si="6"/>
        <v>0</v>
      </c>
      <c r="E104" s="49">
        <f>Educator!A109</f>
        <v>0</v>
      </c>
      <c r="F104" s="49">
        <f>Educator!B109</f>
        <v>0</v>
      </c>
      <c r="G104" s="49" t="str">
        <f>Educator!A109 &amp;" " &amp;Educator!B109</f>
        <v xml:space="preserve"> </v>
      </c>
      <c r="J104" s="49">
        <f>Educator!C109</f>
        <v>0</v>
      </c>
      <c r="K104" s="49" t="b">
        <f t="shared" si="7"/>
        <v>0</v>
      </c>
    </row>
    <row r="105" spans="1:11" x14ac:dyDescent="0.2">
      <c r="A10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","#",3))+1,1)&amp;"-"&amp;LEFT(Educator!B110, 3)&amp;"-"&amp;LEFT(Educator!A110, 3)&amp;"-"&amp;"2027"</f>
        <v>UID-FLH---2027</v>
      </c>
      <c r="C105" s="49">
        <f>Educator!C110</f>
        <v>0</v>
      </c>
      <c r="D105" s="49" t="b">
        <f t="shared" si="6"/>
        <v>0</v>
      </c>
      <c r="E105" s="49">
        <f>Educator!A110</f>
        <v>0</v>
      </c>
      <c r="F105" s="49">
        <f>Educator!B110</f>
        <v>0</v>
      </c>
      <c r="G105" s="49" t="str">
        <f>Educator!A110 &amp;" " &amp;Educator!B110</f>
        <v xml:space="preserve"> </v>
      </c>
      <c r="J105" s="49">
        <f>Educator!C110</f>
        <v>0</v>
      </c>
      <c r="K105" s="49" t="b">
        <f t="shared" si="7"/>
        <v>0</v>
      </c>
    </row>
    <row r="106" spans="1:11" x14ac:dyDescent="0.2">
      <c r="A10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","#",3))+1,1)&amp;"-"&amp;LEFT(Educator!B111, 3)&amp;"-"&amp;LEFT(Educator!A111, 3)&amp;"-"&amp;"2027"</f>
        <v>UID-FLH---2027</v>
      </c>
      <c r="C106" s="49">
        <f>Educator!C111</f>
        <v>0</v>
      </c>
      <c r="D106" s="49" t="b">
        <f t="shared" si="6"/>
        <v>0</v>
      </c>
      <c r="E106" s="49">
        <f>Educator!A111</f>
        <v>0</v>
      </c>
      <c r="F106" s="49">
        <f>Educator!B111</f>
        <v>0</v>
      </c>
      <c r="G106" s="49" t="str">
        <f>Educator!A111 &amp;" " &amp;Educator!B111</f>
        <v xml:space="preserve"> </v>
      </c>
      <c r="J106" s="49">
        <f>Educator!C111</f>
        <v>0</v>
      </c>
      <c r="K106" s="49" t="b">
        <f t="shared" si="7"/>
        <v>0</v>
      </c>
    </row>
    <row r="107" spans="1:11" x14ac:dyDescent="0.2">
      <c r="A10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","#",3))+1,1)&amp;"-"&amp;LEFT(Educator!B112, 3)&amp;"-"&amp;LEFT(Educator!A112, 3)&amp;"-"&amp;"2027"</f>
        <v>UID-FLH---2027</v>
      </c>
      <c r="C107" s="49">
        <f>Educator!C112</f>
        <v>0</v>
      </c>
      <c r="D107" s="49" t="b">
        <f t="shared" si="6"/>
        <v>0</v>
      </c>
      <c r="E107" s="49">
        <f>Educator!A112</f>
        <v>0</v>
      </c>
      <c r="F107" s="49">
        <f>Educator!B112</f>
        <v>0</v>
      </c>
      <c r="G107" s="49" t="str">
        <f>Educator!A112 &amp;" " &amp;Educator!B112</f>
        <v xml:space="preserve"> </v>
      </c>
      <c r="J107" s="49">
        <f>Educator!C112</f>
        <v>0</v>
      </c>
      <c r="K107" s="49" t="b">
        <f t="shared" si="7"/>
        <v>0</v>
      </c>
    </row>
    <row r="108" spans="1:11" x14ac:dyDescent="0.2">
      <c r="A10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","#",3))+1,1)&amp;"-"&amp;LEFT(Educator!B113, 3)&amp;"-"&amp;LEFT(Educator!A113, 3)&amp;"-"&amp;"2027"</f>
        <v>UID-FLH---2027</v>
      </c>
      <c r="C108" s="49">
        <f>Educator!C113</f>
        <v>0</v>
      </c>
      <c r="D108" s="49" t="b">
        <f t="shared" si="6"/>
        <v>0</v>
      </c>
      <c r="E108" s="49">
        <f>Educator!A113</f>
        <v>0</v>
      </c>
      <c r="F108" s="49">
        <f>Educator!B113</f>
        <v>0</v>
      </c>
      <c r="G108" s="49" t="str">
        <f>Educator!A113 &amp;" " &amp;Educator!B113</f>
        <v xml:space="preserve"> </v>
      </c>
      <c r="J108" s="49">
        <f>Educator!C113</f>
        <v>0</v>
      </c>
      <c r="K108" s="49" t="b">
        <f t="shared" si="7"/>
        <v>0</v>
      </c>
    </row>
    <row r="109" spans="1:11" x14ac:dyDescent="0.2">
      <c r="A10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","#",3))+1,1)&amp;"-"&amp;LEFT(Educator!B114, 3)&amp;"-"&amp;LEFT(Educator!A114, 3)&amp;"-"&amp;"2027"</f>
        <v>UID-FLH---2027</v>
      </c>
      <c r="C109" s="49">
        <f>Educator!C114</f>
        <v>0</v>
      </c>
      <c r="D109" s="49" t="b">
        <f t="shared" si="6"/>
        <v>0</v>
      </c>
      <c r="E109" s="49">
        <f>Educator!A114</f>
        <v>0</v>
      </c>
      <c r="F109" s="49">
        <f>Educator!B114</f>
        <v>0</v>
      </c>
      <c r="G109" s="49" t="str">
        <f>Educator!A114 &amp;" " &amp;Educator!B114</f>
        <v xml:space="preserve"> </v>
      </c>
      <c r="J109" s="49">
        <f>Educator!C114</f>
        <v>0</v>
      </c>
      <c r="K109" s="49" t="b">
        <f t="shared" si="7"/>
        <v>0</v>
      </c>
    </row>
    <row r="110" spans="1:11" x14ac:dyDescent="0.2">
      <c r="A11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","#",3))+1,1)&amp;"-"&amp;LEFT(Educator!B115, 3)&amp;"-"&amp;LEFT(Educator!A115, 3)&amp;"-"&amp;"2027"</f>
        <v>UID-FLH---2027</v>
      </c>
      <c r="C110" s="49">
        <f>Educator!C115</f>
        <v>0</v>
      </c>
      <c r="D110" s="49" t="b">
        <f t="shared" si="6"/>
        <v>0</v>
      </c>
      <c r="E110" s="49">
        <f>Educator!A115</f>
        <v>0</v>
      </c>
      <c r="F110" s="49">
        <f>Educator!B115</f>
        <v>0</v>
      </c>
      <c r="G110" s="49" t="str">
        <f>Educator!A115 &amp;" " &amp;Educator!B115</f>
        <v xml:space="preserve"> </v>
      </c>
      <c r="J110" s="49">
        <f>Educator!C115</f>
        <v>0</v>
      </c>
      <c r="K110" s="49" t="b">
        <f t="shared" si="7"/>
        <v>0</v>
      </c>
    </row>
    <row r="111" spans="1:11" x14ac:dyDescent="0.2">
      <c r="A11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","#",3))+1,1)&amp;"-"&amp;LEFT(Educator!B116, 3)&amp;"-"&amp;LEFT(Educator!A116, 3)&amp;"-"&amp;"2027"</f>
        <v>UID-FLH---2027</v>
      </c>
      <c r="C111" s="49">
        <f>Educator!C116</f>
        <v>0</v>
      </c>
      <c r="D111" s="49" t="b">
        <f t="shared" si="6"/>
        <v>0</v>
      </c>
      <c r="E111" s="49">
        <f>Educator!A116</f>
        <v>0</v>
      </c>
      <c r="F111" s="49">
        <f>Educator!B116</f>
        <v>0</v>
      </c>
      <c r="G111" s="49" t="str">
        <f>Educator!A116 &amp;" " &amp;Educator!B116</f>
        <v xml:space="preserve"> </v>
      </c>
      <c r="J111" s="49">
        <f>Educator!C116</f>
        <v>0</v>
      </c>
      <c r="K111" s="49" t="b">
        <f t="shared" si="7"/>
        <v>0</v>
      </c>
    </row>
    <row r="112" spans="1:11" x14ac:dyDescent="0.2">
      <c r="A11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","#",3))+1,1)&amp;"-"&amp;LEFT(Educator!B117, 3)&amp;"-"&amp;LEFT(Educator!A117, 3)&amp;"-"&amp;"2027"</f>
        <v>UID-FLH---2027</v>
      </c>
      <c r="C112" s="49">
        <f>Educator!C117</f>
        <v>0</v>
      </c>
      <c r="D112" s="49" t="b">
        <f t="shared" si="6"/>
        <v>0</v>
      </c>
      <c r="E112" s="49">
        <f>Educator!A117</f>
        <v>0</v>
      </c>
      <c r="F112" s="49">
        <f>Educator!B117</f>
        <v>0</v>
      </c>
      <c r="G112" s="49" t="str">
        <f>Educator!A117 &amp;" " &amp;Educator!B117</f>
        <v xml:space="preserve"> </v>
      </c>
      <c r="J112" s="49">
        <f>Educator!C117</f>
        <v>0</v>
      </c>
      <c r="K112" s="49" t="b">
        <f t="shared" si="7"/>
        <v>0</v>
      </c>
    </row>
    <row r="113" spans="1:11" x14ac:dyDescent="0.2">
      <c r="A11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","#",3))+1,1)&amp;"-"&amp;LEFT(Educator!B118, 3)&amp;"-"&amp;LEFT(Educator!A118, 3)&amp;"-"&amp;"2027"</f>
        <v>UID-FLH---2027</v>
      </c>
      <c r="C113" s="49">
        <f>Educator!C118</f>
        <v>0</v>
      </c>
      <c r="D113" s="49" t="b">
        <f t="shared" si="6"/>
        <v>0</v>
      </c>
      <c r="E113" s="49">
        <f>Educator!A118</f>
        <v>0</v>
      </c>
      <c r="F113" s="49">
        <f>Educator!B118</f>
        <v>0</v>
      </c>
      <c r="G113" s="49" t="str">
        <f>Educator!A118 &amp;" " &amp;Educator!B118</f>
        <v xml:space="preserve"> </v>
      </c>
      <c r="J113" s="49">
        <f>Educator!C118</f>
        <v>0</v>
      </c>
      <c r="K113" s="49" t="b">
        <f t="shared" si="7"/>
        <v>0</v>
      </c>
    </row>
    <row r="114" spans="1:11" x14ac:dyDescent="0.2">
      <c r="A11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","#",3))+1,1)&amp;"-"&amp;LEFT(Educator!B119, 3)&amp;"-"&amp;LEFT(Educator!A119, 3)&amp;"-"&amp;"2027"</f>
        <v>UID-FLH---2027</v>
      </c>
      <c r="C114" s="49">
        <f>Educator!C119</f>
        <v>0</v>
      </c>
      <c r="D114" s="49" t="b">
        <f t="shared" si="6"/>
        <v>0</v>
      </c>
      <c r="E114" s="49">
        <f>Educator!A119</f>
        <v>0</v>
      </c>
      <c r="F114" s="49">
        <f>Educator!B119</f>
        <v>0</v>
      </c>
      <c r="G114" s="49" t="str">
        <f>Educator!A119 &amp;" " &amp;Educator!B119</f>
        <v xml:space="preserve"> </v>
      </c>
      <c r="J114" s="49">
        <f>Educator!C119</f>
        <v>0</v>
      </c>
      <c r="K114" s="49" t="b">
        <f t="shared" si="7"/>
        <v>0</v>
      </c>
    </row>
    <row r="115" spans="1:11" x14ac:dyDescent="0.2">
      <c r="A11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","#",3))+1,1)&amp;"-"&amp;LEFT(Educator!B120, 3)&amp;"-"&amp;LEFT(Educator!A120, 3)&amp;"-"&amp;"2027"</f>
        <v>UID-FLH---2027</v>
      </c>
      <c r="C115" s="49">
        <f>Educator!C120</f>
        <v>0</v>
      </c>
      <c r="D115" s="49" t="b">
        <f t="shared" si="6"/>
        <v>0</v>
      </c>
      <c r="E115" s="49">
        <f>Educator!A120</f>
        <v>0</v>
      </c>
      <c r="F115" s="49">
        <f>Educator!B120</f>
        <v>0</v>
      </c>
      <c r="G115" s="49" t="str">
        <f>Educator!A120 &amp;" " &amp;Educator!B120</f>
        <v xml:space="preserve"> </v>
      </c>
      <c r="J115" s="49">
        <f>Educator!C120</f>
        <v>0</v>
      </c>
      <c r="K115" s="49" t="b">
        <f t="shared" si="7"/>
        <v>0</v>
      </c>
    </row>
    <row r="116" spans="1:11" x14ac:dyDescent="0.2">
      <c r="A11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","#",3))+1,1)&amp;"-"&amp;LEFT(Educator!B121, 3)&amp;"-"&amp;LEFT(Educator!A121, 3)&amp;"-"&amp;"2027"</f>
        <v>UID-FLH---2027</v>
      </c>
      <c r="C116" s="49">
        <f>Educator!C121</f>
        <v>0</v>
      </c>
      <c r="D116" s="49" t="b">
        <f t="shared" si="6"/>
        <v>0</v>
      </c>
      <c r="E116" s="49">
        <f>Educator!A121</f>
        <v>0</v>
      </c>
      <c r="F116" s="49">
        <f>Educator!B121</f>
        <v>0</v>
      </c>
      <c r="G116" s="49" t="str">
        <f>Educator!A121 &amp;" " &amp;Educator!B121</f>
        <v xml:space="preserve"> </v>
      </c>
      <c r="J116" s="49">
        <f>Educator!C121</f>
        <v>0</v>
      </c>
      <c r="K116" s="49" t="b">
        <f t="shared" si="7"/>
        <v>0</v>
      </c>
    </row>
    <row r="117" spans="1:11" x14ac:dyDescent="0.2">
      <c r="A11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","#",3))+1,1)&amp;"-"&amp;LEFT(Educator!B122, 3)&amp;"-"&amp;LEFT(Educator!A122, 3)&amp;"-"&amp;"2027"</f>
        <v>UID-FLH---2027</v>
      </c>
      <c r="C117" s="49">
        <f>Educator!C122</f>
        <v>0</v>
      </c>
      <c r="D117" s="49" t="b">
        <f t="shared" si="6"/>
        <v>0</v>
      </c>
      <c r="E117" s="49">
        <f>Educator!A122</f>
        <v>0</v>
      </c>
      <c r="F117" s="49">
        <f>Educator!B122</f>
        <v>0</v>
      </c>
      <c r="G117" s="49" t="str">
        <f>Educator!A122 &amp;" " &amp;Educator!B122</f>
        <v xml:space="preserve"> </v>
      </c>
      <c r="J117" s="49">
        <f>Educator!C122</f>
        <v>0</v>
      </c>
      <c r="K117" s="49" t="b">
        <f t="shared" si="7"/>
        <v>0</v>
      </c>
    </row>
    <row r="118" spans="1:11" x14ac:dyDescent="0.2">
      <c r="A11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","#",3))+1,1)&amp;"-"&amp;LEFT(Educator!B123, 3)&amp;"-"&amp;LEFT(Educator!A123, 3)&amp;"-"&amp;"2027"</f>
        <v>UID-FLH---2027</v>
      </c>
      <c r="C118" s="49">
        <f>Educator!C123</f>
        <v>0</v>
      </c>
      <c r="D118" s="49" t="b">
        <f t="shared" si="6"/>
        <v>0</v>
      </c>
      <c r="E118" s="49">
        <f>Educator!A123</f>
        <v>0</v>
      </c>
      <c r="F118" s="49">
        <f>Educator!B123</f>
        <v>0</v>
      </c>
      <c r="G118" s="49" t="str">
        <f>Educator!A123 &amp;" " &amp;Educator!B123</f>
        <v xml:space="preserve"> </v>
      </c>
      <c r="J118" s="49">
        <f>Educator!C123</f>
        <v>0</v>
      </c>
      <c r="K118" s="49" t="b">
        <f t="shared" si="7"/>
        <v>0</v>
      </c>
    </row>
    <row r="119" spans="1:11" x14ac:dyDescent="0.2">
      <c r="A11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","#",3))+1,1)&amp;"-"&amp;LEFT(Educator!B124, 3)&amp;"-"&amp;LEFT(Educator!A124, 3)&amp;"-"&amp;"2027"</f>
        <v>UID-FLH---2027</v>
      </c>
      <c r="C119" s="49">
        <f>Educator!C124</f>
        <v>0</v>
      </c>
      <c r="D119" s="49" t="b">
        <f t="shared" si="6"/>
        <v>0</v>
      </c>
      <c r="E119" s="49">
        <f>Educator!A124</f>
        <v>0</v>
      </c>
      <c r="F119" s="49">
        <f>Educator!B124</f>
        <v>0</v>
      </c>
      <c r="G119" s="49" t="str">
        <f>Educator!A124 &amp;" " &amp;Educator!B124</f>
        <v xml:space="preserve"> </v>
      </c>
      <c r="J119" s="49">
        <f>Educator!C124</f>
        <v>0</v>
      </c>
      <c r="K119" s="49" t="b">
        <f t="shared" si="7"/>
        <v>0</v>
      </c>
    </row>
    <row r="120" spans="1:11" x14ac:dyDescent="0.2">
      <c r="A12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","#",3))+1,1)&amp;"-"&amp;LEFT(Educator!B125, 3)&amp;"-"&amp;LEFT(Educator!A125, 3)&amp;"-"&amp;"2027"</f>
        <v>UID-FLH---2027</v>
      </c>
      <c r="C120" s="49">
        <f>Educator!C125</f>
        <v>0</v>
      </c>
      <c r="D120" s="49" t="b">
        <f t="shared" si="6"/>
        <v>0</v>
      </c>
      <c r="E120" s="49">
        <f>Educator!A125</f>
        <v>0</v>
      </c>
      <c r="F120" s="49">
        <f>Educator!B125</f>
        <v>0</v>
      </c>
      <c r="G120" s="49" t="str">
        <f>Educator!A125 &amp;" " &amp;Educator!B125</f>
        <v xml:space="preserve"> </v>
      </c>
      <c r="J120" s="49">
        <f>Educator!C125</f>
        <v>0</v>
      </c>
      <c r="K120" s="49" t="b">
        <f t="shared" si="7"/>
        <v>0</v>
      </c>
    </row>
    <row r="121" spans="1:11" x14ac:dyDescent="0.2">
      <c r="A12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","#",3))+1,1)&amp;"-"&amp;LEFT(Educator!B126, 3)&amp;"-"&amp;LEFT(Educator!A126, 3)&amp;"-"&amp;"2027"</f>
        <v>UID-FLH---2027</v>
      </c>
      <c r="C121" s="49">
        <f>Educator!C126</f>
        <v>0</v>
      </c>
      <c r="D121" s="49" t="b">
        <f t="shared" si="6"/>
        <v>0</v>
      </c>
      <c r="E121" s="49">
        <f>Educator!A126</f>
        <v>0</v>
      </c>
      <c r="F121" s="49">
        <f>Educator!B126</f>
        <v>0</v>
      </c>
      <c r="G121" s="49" t="str">
        <f>Educator!A126 &amp;" " &amp;Educator!B126</f>
        <v xml:space="preserve"> </v>
      </c>
      <c r="J121" s="49">
        <f>Educator!C126</f>
        <v>0</v>
      </c>
      <c r="K121" s="49" t="b">
        <f t="shared" si="7"/>
        <v>0</v>
      </c>
    </row>
    <row r="122" spans="1:11" x14ac:dyDescent="0.2">
      <c r="A12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","#",3))+1,1)&amp;"-"&amp;LEFT(Educator!B127, 3)&amp;"-"&amp;LEFT(Educator!A127, 3)&amp;"-"&amp;"2027"</f>
        <v>UID-FLH---2027</v>
      </c>
      <c r="C122" s="49">
        <f>Educator!C127</f>
        <v>0</v>
      </c>
      <c r="D122" s="49" t="b">
        <f t="shared" si="6"/>
        <v>0</v>
      </c>
      <c r="E122" s="49">
        <f>Educator!A127</f>
        <v>0</v>
      </c>
      <c r="F122" s="49">
        <f>Educator!B127</f>
        <v>0</v>
      </c>
      <c r="G122" s="49" t="str">
        <f>Educator!A127 &amp;" " &amp;Educator!B127</f>
        <v xml:space="preserve"> </v>
      </c>
      <c r="J122" s="49">
        <f>Educator!C127</f>
        <v>0</v>
      </c>
      <c r="K122" s="49" t="b">
        <f t="shared" si="7"/>
        <v>0</v>
      </c>
    </row>
    <row r="123" spans="1:11" x14ac:dyDescent="0.2">
      <c r="A12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","#",3))+1,1)&amp;"-"&amp;LEFT(Educator!B128, 3)&amp;"-"&amp;LEFT(Educator!A128, 3)&amp;"-"&amp;"2027"</f>
        <v>UID-FLH---2027</v>
      </c>
      <c r="C123" s="49">
        <f>Educator!C128</f>
        <v>0</v>
      </c>
      <c r="D123" s="49" t="b">
        <f t="shared" si="6"/>
        <v>0</v>
      </c>
      <c r="E123" s="49">
        <f>Educator!A128</f>
        <v>0</v>
      </c>
      <c r="F123" s="49">
        <f>Educator!B128</f>
        <v>0</v>
      </c>
      <c r="G123" s="49" t="str">
        <f>Educator!A128 &amp;" " &amp;Educator!B128</f>
        <v xml:space="preserve"> </v>
      </c>
      <c r="J123" s="49">
        <f>Educator!C128</f>
        <v>0</v>
      </c>
      <c r="K123" s="49" t="b">
        <f t="shared" si="7"/>
        <v>0</v>
      </c>
    </row>
    <row r="124" spans="1:11" x14ac:dyDescent="0.2">
      <c r="A12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","#",3))+1,1)&amp;"-"&amp;LEFT(Educator!B129, 3)&amp;"-"&amp;LEFT(Educator!A129, 3)&amp;"-"&amp;"2027"</f>
        <v>UID-FLH---2027</v>
      </c>
      <c r="C124" s="49">
        <f>Educator!C129</f>
        <v>0</v>
      </c>
      <c r="D124" s="49" t="b">
        <f t="shared" si="6"/>
        <v>0</v>
      </c>
      <c r="E124" s="49">
        <f>Educator!A129</f>
        <v>0</v>
      </c>
      <c r="F124" s="49">
        <f>Educator!B129</f>
        <v>0</v>
      </c>
      <c r="G124" s="49" t="str">
        <f>Educator!A129 &amp;" " &amp;Educator!B129</f>
        <v xml:space="preserve"> </v>
      </c>
      <c r="J124" s="49">
        <f>Educator!C129</f>
        <v>0</v>
      </c>
      <c r="K124" s="49" t="b">
        <f t="shared" si="7"/>
        <v>0</v>
      </c>
    </row>
    <row r="125" spans="1:11" x14ac:dyDescent="0.2">
      <c r="A12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","#",3))+1,1)&amp;"-"&amp;LEFT(Educator!B130, 3)&amp;"-"&amp;LEFT(Educator!A130, 3)&amp;"-"&amp;"2027"</f>
        <v>UID-FLH---2027</v>
      </c>
      <c r="C125" s="49">
        <f>Educator!C130</f>
        <v>0</v>
      </c>
      <c r="D125" s="49" t="b">
        <f t="shared" si="6"/>
        <v>0</v>
      </c>
      <c r="E125" s="49">
        <f>Educator!A130</f>
        <v>0</v>
      </c>
      <c r="F125" s="49">
        <f>Educator!B130</f>
        <v>0</v>
      </c>
      <c r="G125" s="49" t="str">
        <f>Educator!A130 &amp;" " &amp;Educator!B130</f>
        <v xml:space="preserve"> </v>
      </c>
      <c r="J125" s="49">
        <f>Educator!C130</f>
        <v>0</v>
      </c>
      <c r="K125" s="49" t="b">
        <f t="shared" si="7"/>
        <v>0</v>
      </c>
    </row>
    <row r="126" spans="1:11" x14ac:dyDescent="0.2">
      <c r="A12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","#",3))+1,1)&amp;"-"&amp;LEFT(Educator!B131, 3)&amp;"-"&amp;LEFT(Educator!A131, 3)&amp;"-"&amp;"2027"</f>
        <v>UID-FLH---2027</v>
      </c>
      <c r="C126" s="49">
        <f>Educator!C131</f>
        <v>0</v>
      </c>
      <c r="D126" s="49" t="b">
        <f t="shared" si="6"/>
        <v>0</v>
      </c>
      <c r="E126" s="49">
        <f>Educator!A131</f>
        <v>0</v>
      </c>
      <c r="F126" s="49">
        <f>Educator!B131</f>
        <v>0</v>
      </c>
      <c r="G126" s="49" t="str">
        <f>Educator!A131 &amp;" " &amp;Educator!B131</f>
        <v xml:space="preserve"> </v>
      </c>
      <c r="J126" s="49">
        <f>Educator!C131</f>
        <v>0</v>
      </c>
      <c r="K126" s="49" t="b">
        <f t="shared" si="7"/>
        <v>0</v>
      </c>
    </row>
    <row r="127" spans="1:11" x14ac:dyDescent="0.2">
      <c r="A12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","#",3))+1,1)&amp;"-"&amp;LEFT(Educator!B132, 3)&amp;"-"&amp;LEFT(Educator!A132, 3)&amp;"-"&amp;"2027"</f>
        <v>UID-FLH---2027</v>
      </c>
      <c r="C127" s="49">
        <f>Educator!C132</f>
        <v>0</v>
      </c>
      <c r="D127" s="49" t="b">
        <f t="shared" si="6"/>
        <v>0</v>
      </c>
      <c r="E127" s="49">
        <f>Educator!A132</f>
        <v>0</v>
      </c>
      <c r="F127" s="49">
        <f>Educator!B132</f>
        <v>0</v>
      </c>
      <c r="G127" s="49" t="str">
        <f>Educator!A132 &amp;" " &amp;Educator!B132</f>
        <v xml:space="preserve"> </v>
      </c>
      <c r="J127" s="49">
        <f>Educator!C132</f>
        <v>0</v>
      </c>
      <c r="K127" s="49" t="b">
        <f t="shared" si="7"/>
        <v>0</v>
      </c>
    </row>
    <row r="128" spans="1:11" x14ac:dyDescent="0.2">
      <c r="A12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","#",3))+1,1)&amp;"-"&amp;LEFT(Educator!B133, 3)&amp;"-"&amp;LEFT(Educator!A133, 3)&amp;"-"&amp;"2027"</f>
        <v>UID-FLH---2027</v>
      </c>
      <c r="C128" s="49">
        <f>Educator!C133</f>
        <v>0</v>
      </c>
      <c r="D128" s="49" t="b">
        <f t="shared" si="6"/>
        <v>0</v>
      </c>
      <c r="E128" s="49">
        <f>Educator!A133</f>
        <v>0</v>
      </c>
      <c r="F128" s="49">
        <f>Educator!B133</f>
        <v>0</v>
      </c>
      <c r="G128" s="49" t="str">
        <f>Educator!A133 &amp;" " &amp;Educator!B133</f>
        <v xml:space="preserve"> </v>
      </c>
      <c r="J128" s="49">
        <f>Educator!C133</f>
        <v>0</v>
      </c>
      <c r="K128" s="49" t="b">
        <f t="shared" si="7"/>
        <v>0</v>
      </c>
    </row>
    <row r="129" spans="1:11" x14ac:dyDescent="0.2">
      <c r="A12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","#",3))+1,1)&amp;"-"&amp;LEFT(Educator!B134, 3)&amp;"-"&amp;LEFT(Educator!A134, 3)&amp;"-"&amp;"2027"</f>
        <v>UID-FLH---2027</v>
      </c>
      <c r="C129" s="49">
        <f>Educator!C134</f>
        <v>0</v>
      </c>
      <c r="D129" s="49" t="b">
        <f t="shared" si="6"/>
        <v>0</v>
      </c>
      <c r="E129" s="49">
        <f>Educator!A134</f>
        <v>0</v>
      </c>
      <c r="F129" s="49">
        <f>Educator!B134</f>
        <v>0</v>
      </c>
      <c r="G129" s="49" t="str">
        <f>Educator!A134 &amp;" " &amp;Educator!B134</f>
        <v xml:space="preserve"> </v>
      </c>
      <c r="J129" s="49">
        <f>Educator!C134</f>
        <v>0</v>
      </c>
      <c r="K129" s="49" t="b">
        <f t="shared" si="7"/>
        <v>0</v>
      </c>
    </row>
    <row r="130" spans="1:11" x14ac:dyDescent="0.2">
      <c r="A13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","#",3))+1,1)&amp;"-"&amp;LEFT(Educator!B135, 3)&amp;"-"&amp;LEFT(Educator!A135, 3)&amp;"-"&amp;"2027"</f>
        <v>UID-FLH---2027</v>
      </c>
      <c r="C130" s="49">
        <f>Educator!C135</f>
        <v>0</v>
      </c>
      <c r="D130" s="49" t="b">
        <f t="shared" si="6"/>
        <v>0</v>
      </c>
      <c r="E130" s="49">
        <f>Educator!A135</f>
        <v>0</v>
      </c>
      <c r="F130" s="49">
        <f>Educator!B135</f>
        <v>0</v>
      </c>
      <c r="G130" s="49" t="str">
        <f>Educator!A135 &amp;" " &amp;Educator!B135</f>
        <v xml:space="preserve"> </v>
      </c>
      <c r="J130" s="49">
        <f>Educator!C135</f>
        <v>0</v>
      </c>
      <c r="K130" s="49" t="b">
        <f t="shared" si="7"/>
        <v>0</v>
      </c>
    </row>
    <row r="131" spans="1:11" x14ac:dyDescent="0.2">
      <c r="A13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","#",3))+1,1)&amp;"-"&amp;LEFT(Educator!B136, 3)&amp;"-"&amp;LEFT(Educator!A136, 3)&amp;"-"&amp;"2027"</f>
        <v>UID-FLH---2027</v>
      </c>
      <c r="C131" s="49">
        <f>Educator!C136</f>
        <v>0</v>
      </c>
      <c r="D131" s="49" t="b">
        <f t="shared" si="6"/>
        <v>0</v>
      </c>
      <c r="E131" s="49">
        <f>Educator!A136</f>
        <v>0</v>
      </c>
      <c r="F131" s="49">
        <f>Educator!B136</f>
        <v>0</v>
      </c>
      <c r="G131" s="49" t="str">
        <f>Educator!A136 &amp;" " &amp;Educator!B136</f>
        <v xml:space="preserve"> </v>
      </c>
      <c r="J131" s="49">
        <f>Educator!C136</f>
        <v>0</v>
      </c>
      <c r="K131" s="49" t="b">
        <f t="shared" si="7"/>
        <v>0</v>
      </c>
    </row>
    <row r="132" spans="1:11" x14ac:dyDescent="0.2">
      <c r="A13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","#",3))+1,1)&amp;"-"&amp;LEFT(Educator!B137, 3)&amp;"-"&amp;LEFT(Educator!A137, 3)&amp;"-"&amp;"2027"</f>
        <v>UID-FLH---2027</v>
      </c>
      <c r="C132" s="49">
        <f>Educator!C137</f>
        <v>0</v>
      </c>
      <c r="D132" s="49" t="b">
        <f t="shared" si="6"/>
        <v>0</v>
      </c>
      <c r="E132" s="49">
        <f>Educator!A137</f>
        <v>0</v>
      </c>
      <c r="F132" s="49">
        <f>Educator!B137</f>
        <v>0</v>
      </c>
      <c r="G132" s="49" t="str">
        <f>Educator!A137 &amp;" " &amp;Educator!B137</f>
        <v xml:space="preserve"> </v>
      </c>
      <c r="J132" s="49">
        <f>Educator!C137</f>
        <v>0</v>
      </c>
      <c r="K132" s="49" t="b">
        <f t="shared" si="7"/>
        <v>0</v>
      </c>
    </row>
    <row r="133" spans="1:11" x14ac:dyDescent="0.2">
      <c r="A13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","#",3))+1,1)&amp;"-"&amp;LEFT(Educator!B138, 3)&amp;"-"&amp;LEFT(Educator!A138, 3)&amp;"-"&amp;"2027"</f>
        <v>UID-FLH---2027</v>
      </c>
      <c r="C133" s="49">
        <f>Educator!C138</f>
        <v>0</v>
      </c>
      <c r="D133" s="49" t="b">
        <f t="shared" si="6"/>
        <v>0</v>
      </c>
      <c r="E133" s="49">
        <f>Educator!A138</f>
        <v>0</v>
      </c>
      <c r="F133" s="49">
        <f>Educator!B138</f>
        <v>0</v>
      </c>
      <c r="G133" s="49" t="str">
        <f>Educator!A138 &amp;" " &amp;Educator!B138</f>
        <v xml:space="preserve"> </v>
      </c>
      <c r="J133" s="49">
        <f>Educator!C138</f>
        <v>0</v>
      </c>
      <c r="K133" s="49" t="b">
        <f t="shared" si="7"/>
        <v>0</v>
      </c>
    </row>
    <row r="134" spans="1:11" x14ac:dyDescent="0.2">
      <c r="A13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","#",3))+1,1)&amp;"-"&amp;LEFT(Educator!B139, 3)&amp;"-"&amp;LEFT(Educator!A139, 3)&amp;"-"&amp;"2027"</f>
        <v>UID-FLH---2027</v>
      </c>
      <c r="C134" s="49">
        <f>Educator!C139</f>
        <v>0</v>
      </c>
      <c r="D134" s="49" t="b">
        <f t="shared" si="6"/>
        <v>0</v>
      </c>
      <c r="E134" s="49">
        <f>Educator!A139</f>
        <v>0</v>
      </c>
      <c r="F134" s="49">
        <f>Educator!B139</f>
        <v>0</v>
      </c>
      <c r="G134" s="49" t="str">
        <f>Educator!A139 &amp;" " &amp;Educator!B139</f>
        <v xml:space="preserve"> </v>
      </c>
      <c r="J134" s="49">
        <f>Educator!C139</f>
        <v>0</v>
      </c>
      <c r="K134" s="49" t="b">
        <f t="shared" si="7"/>
        <v>0</v>
      </c>
    </row>
    <row r="135" spans="1:11" x14ac:dyDescent="0.2">
      <c r="A13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","#",3))+1,1)&amp;"-"&amp;LEFT(Educator!B140, 3)&amp;"-"&amp;LEFT(Educator!A140, 3)&amp;"-"&amp;"2027"</f>
        <v>UID-FLH---2027</v>
      </c>
      <c r="C135" s="49">
        <f>Educator!C140</f>
        <v>0</v>
      </c>
      <c r="D135" s="49" t="b">
        <f t="shared" si="6"/>
        <v>0</v>
      </c>
      <c r="E135" s="49">
        <f>Educator!A140</f>
        <v>0</v>
      </c>
      <c r="F135" s="49">
        <f>Educator!B140</f>
        <v>0</v>
      </c>
      <c r="G135" s="49" t="str">
        <f>Educator!A140 &amp;" " &amp;Educator!B140</f>
        <v xml:space="preserve"> </v>
      </c>
      <c r="J135" s="49">
        <f>Educator!C140</f>
        <v>0</v>
      </c>
      <c r="K135" s="49" t="b">
        <f t="shared" si="7"/>
        <v>0</v>
      </c>
    </row>
    <row r="136" spans="1:11" x14ac:dyDescent="0.2">
      <c r="A13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","#",3))+1,1)&amp;"-"&amp;LEFT(Educator!B141, 3)&amp;"-"&amp;LEFT(Educator!A141, 3)&amp;"-"&amp;"2027"</f>
        <v>UID-FLH---2027</v>
      </c>
      <c r="C136" s="49">
        <f>Educator!C141</f>
        <v>0</v>
      </c>
      <c r="D136" s="49" t="b">
        <f t="shared" si="6"/>
        <v>0</v>
      </c>
      <c r="E136" s="49">
        <f>Educator!A141</f>
        <v>0</v>
      </c>
      <c r="F136" s="49">
        <f>Educator!B141</f>
        <v>0</v>
      </c>
      <c r="G136" s="49" t="str">
        <f>Educator!A141 &amp;" " &amp;Educator!B141</f>
        <v xml:space="preserve"> </v>
      </c>
      <c r="J136" s="49">
        <f>Educator!C141</f>
        <v>0</v>
      </c>
      <c r="K136" s="49" t="b">
        <f t="shared" si="7"/>
        <v>0</v>
      </c>
    </row>
    <row r="137" spans="1:11" x14ac:dyDescent="0.2">
      <c r="A13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","#",3))+1,1)&amp;"-"&amp;LEFT(Educator!B142, 3)&amp;"-"&amp;LEFT(Educator!A142, 3)&amp;"-"&amp;"2027"</f>
        <v>UID-FLH---2027</v>
      </c>
      <c r="C137" s="49">
        <f>Educator!C142</f>
        <v>0</v>
      </c>
      <c r="D137" s="49" t="b">
        <f t="shared" si="6"/>
        <v>0</v>
      </c>
      <c r="E137" s="49">
        <f>Educator!A142</f>
        <v>0</v>
      </c>
      <c r="F137" s="49">
        <f>Educator!B142</f>
        <v>0</v>
      </c>
      <c r="G137" s="49" t="str">
        <f>Educator!A142 &amp;" " &amp;Educator!B142</f>
        <v xml:space="preserve"> </v>
      </c>
      <c r="J137" s="49">
        <f>Educator!C142</f>
        <v>0</v>
      </c>
      <c r="K137" s="49" t="b">
        <f t="shared" si="7"/>
        <v>0</v>
      </c>
    </row>
    <row r="138" spans="1:11" x14ac:dyDescent="0.2">
      <c r="A13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","#",3))+1,1)&amp;"-"&amp;LEFT(Educator!B143, 3)&amp;"-"&amp;LEFT(Educator!A143, 3)&amp;"-"&amp;"2027"</f>
        <v>UID-FLH---2027</v>
      </c>
      <c r="C138" s="49">
        <f>Educator!C143</f>
        <v>0</v>
      </c>
      <c r="D138" s="49" t="b">
        <f t="shared" si="6"/>
        <v>0</v>
      </c>
      <c r="E138" s="49">
        <f>Educator!A143</f>
        <v>0</v>
      </c>
      <c r="F138" s="49">
        <f>Educator!B143</f>
        <v>0</v>
      </c>
      <c r="G138" s="49" t="str">
        <f>Educator!A143 &amp;" " &amp;Educator!B143</f>
        <v xml:space="preserve"> </v>
      </c>
      <c r="J138" s="49">
        <f>Educator!C143</f>
        <v>0</v>
      </c>
      <c r="K138" s="49" t="b">
        <f t="shared" si="7"/>
        <v>0</v>
      </c>
    </row>
    <row r="139" spans="1:11" x14ac:dyDescent="0.2">
      <c r="A13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","#",3))+1,1)&amp;"-"&amp;LEFT(Educator!B144, 3)&amp;"-"&amp;LEFT(Educator!A144, 3)&amp;"-"&amp;"2027"</f>
        <v>UID-FLH---2027</v>
      </c>
      <c r="C139" s="49">
        <f>Educator!C144</f>
        <v>0</v>
      </c>
      <c r="D139" s="49" t="b">
        <f t="shared" si="6"/>
        <v>0</v>
      </c>
      <c r="E139" s="49">
        <f>Educator!A144</f>
        <v>0</v>
      </c>
      <c r="F139" s="49">
        <f>Educator!B144</f>
        <v>0</v>
      </c>
      <c r="G139" s="49" t="str">
        <f>Educator!A144 &amp;" " &amp;Educator!B144</f>
        <v xml:space="preserve"> </v>
      </c>
      <c r="J139" s="49">
        <f>Educator!C144</f>
        <v>0</v>
      </c>
      <c r="K139" s="49" t="b">
        <f t="shared" si="7"/>
        <v>0</v>
      </c>
    </row>
    <row r="140" spans="1:11" x14ac:dyDescent="0.2">
      <c r="A14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","#",3))+1,1)&amp;"-"&amp;LEFT(Educator!B145, 3)&amp;"-"&amp;LEFT(Educator!A145, 3)&amp;"-"&amp;"2027"</f>
        <v>UID-FLH---2027</v>
      </c>
      <c r="C140" s="49">
        <f>Educator!C145</f>
        <v>0</v>
      </c>
      <c r="D140" s="49" t="b">
        <f t="shared" si="6"/>
        <v>0</v>
      </c>
      <c r="E140" s="49">
        <f>Educator!A145</f>
        <v>0</v>
      </c>
      <c r="F140" s="49">
        <f>Educator!B145</f>
        <v>0</v>
      </c>
      <c r="G140" s="49" t="str">
        <f>Educator!A145 &amp;" " &amp;Educator!B145</f>
        <v xml:space="preserve"> </v>
      </c>
      <c r="J140" s="49">
        <f>Educator!C145</f>
        <v>0</v>
      </c>
      <c r="K140" s="49" t="b">
        <f t="shared" si="7"/>
        <v>0</v>
      </c>
    </row>
    <row r="141" spans="1:11" x14ac:dyDescent="0.2">
      <c r="A14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","#",3))+1,1)&amp;"-"&amp;LEFT(Educator!B146, 3)&amp;"-"&amp;LEFT(Educator!A146, 3)&amp;"-"&amp;"2027"</f>
        <v>UID-FLH---2027</v>
      </c>
      <c r="C141" s="49">
        <f>Educator!C146</f>
        <v>0</v>
      </c>
      <c r="D141" s="49" t="b">
        <f t="shared" si="6"/>
        <v>0</v>
      </c>
      <c r="E141" s="49">
        <f>Educator!A146</f>
        <v>0</v>
      </c>
      <c r="F141" s="49">
        <f>Educator!B146</f>
        <v>0</v>
      </c>
      <c r="G141" s="49" t="str">
        <f>Educator!A146 &amp;" " &amp;Educator!B146</f>
        <v xml:space="preserve"> </v>
      </c>
      <c r="J141" s="49">
        <f>Educator!C146</f>
        <v>0</v>
      </c>
      <c r="K141" s="49" t="b">
        <f t="shared" si="7"/>
        <v>0</v>
      </c>
    </row>
    <row r="142" spans="1:11" x14ac:dyDescent="0.2">
      <c r="A14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","#",3))+1,1)&amp;"-"&amp;LEFT(Educator!B147, 3)&amp;"-"&amp;LEFT(Educator!A147, 3)&amp;"-"&amp;"2027"</f>
        <v>UID-FLH---2027</v>
      </c>
      <c r="C142" s="49">
        <f>Educator!C147</f>
        <v>0</v>
      </c>
      <c r="D142" s="49" t="b">
        <f t="shared" si="6"/>
        <v>0</v>
      </c>
      <c r="E142" s="49">
        <f>Educator!A147</f>
        <v>0</v>
      </c>
      <c r="F142" s="49">
        <f>Educator!B147</f>
        <v>0</v>
      </c>
      <c r="G142" s="49" t="str">
        <f>Educator!A147 &amp;" " &amp;Educator!B147</f>
        <v xml:space="preserve"> </v>
      </c>
      <c r="J142" s="49">
        <f>Educator!C147</f>
        <v>0</v>
      </c>
      <c r="K142" s="49" t="b">
        <f t="shared" si="7"/>
        <v>0</v>
      </c>
    </row>
    <row r="143" spans="1:11" x14ac:dyDescent="0.2">
      <c r="A14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","#",3))+1,1)&amp;"-"&amp;LEFT(Educator!B148, 3)&amp;"-"&amp;LEFT(Educator!A148, 3)&amp;"-"&amp;"2027"</f>
        <v>UID-FLH---2027</v>
      </c>
      <c r="C143" s="49">
        <f>Educator!C148</f>
        <v>0</v>
      </c>
      <c r="D143" s="49" t="b">
        <f t="shared" si="6"/>
        <v>0</v>
      </c>
      <c r="E143" s="49">
        <f>Educator!A148</f>
        <v>0</v>
      </c>
      <c r="F143" s="49">
        <f>Educator!B148</f>
        <v>0</v>
      </c>
      <c r="G143" s="49" t="str">
        <f>Educator!A148 &amp;" " &amp;Educator!B148</f>
        <v xml:space="preserve"> </v>
      </c>
      <c r="J143" s="49">
        <f>Educator!C148</f>
        <v>0</v>
      </c>
      <c r="K143" s="49" t="b">
        <f t="shared" si="7"/>
        <v>0</v>
      </c>
    </row>
    <row r="144" spans="1:11" x14ac:dyDescent="0.2">
      <c r="A14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","#",3))+1,1)&amp;"-"&amp;LEFT(Educator!B149, 3)&amp;"-"&amp;LEFT(Educator!A149, 3)&amp;"-"&amp;"2027"</f>
        <v>UID-FLH---2027</v>
      </c>
      <c r="C144" s="49">
        <f>Educator!C149</f>
        <v>0</v>
      </c>
      <c r="D144" s="49" t="b">
        <f t="shared" si="6"/>
        <v>0</v>
      </c>
      <c r="E144" s="49">
        <f>Educator!A149</f>
        <v>0</v>
      </c>
      <c r="F144" s="49">
        <f>Educator!B149</f>
        <v>0</v>
      </c>
      <c r="G144" s="49" t="str">
        <f>Educator!A149 &amp;" " &amp;Educator!B149</f>
        <v xml:space="preserve"> </v>
      </c>
      <c r="J144" s="49">
        <f>Educator!C149</f>
        <v>0</v>
      </c>
      <c r="K144" s="49" t="b">
        <f t="shared" si="7"/>
        <v>0</v>
      </c>
    </row>
    <row r="145" spans="1:11" x14ac:dyDescent="0.2">
      <c r="A14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","#",3))+1,1)&amp;"-"&amp;LEFT(Educator!B150, 3)&amp;"-"&amp;LEFT(Educator!A150, 3)&amp;"-"&amp;"2027"</f>
        <v>UID-FLH---2027</v>
      </c>
      <c r="C145" s="49">
        <f>Educator!C150</f>
        <v>0</v>
      </c>
      <c r="D145" s="49" t="b">
        <f t="shared" si="6"/>
        <v>0</v>
      </c>
      <c r="E145" s="49">
        <f>Educator!A150</f>
        <v>0</v>
      </c>
      <c r="F145" s="49">
        <f>Educator!B150</f>
        <v>0</v>
      </c>
      <c r="G145" s="49" t="str">
        <f>Educator!A150 &amp;" " &amp;Educator!B150</f>
        <v xml:space="preserve"> </v>
      </c>
      <c r="J145" s="49">
        <f>Educator!C150</f>
        <v>0</v>
      </c>
      <c r="K145" s="49" t="b">
        <f t="shared" si="7"/>
        <v>0</v>
      </c>
    </row>
    <row r="146" spans="1:11" x14ac:dyDescent="0.2">
      <c r="A14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","#",3))+1,1)&amp;"-"&amp;LEFT(Educator!B151, 3)&amp;"-"&amp;LEFT(Educator!A151, 3)&amp;"-"&amp;"2027"</f>
        <v>UID-FLH---2027</v>
      </c>
      <c r="C146" s="49">
        <f>Educator!C151</f>
        <v>0</v>
      </c>
      <c r="D146" s="49" t="b">
        <f t="shared" ref="D146:D209" si="8">IF(C146&gt;0,"topscore123")</f>
        <v>0</v>
      </c>
      <c r="E146" s="49">
        <f>Educator!A151</f>
        <v>0</v>
      </c>
      <c r="F146" s="49">
        <f>Educator!B151</f>
        <v>0</v>
      </c>
      <c r="G146" s="49" t="str">
        <f>Educator!A151 &amp;" " &amp;Educator!B151</f>
        <v xml:space="preserve"> </v>
      </c>
      <c r="J146" s="49">
        <f>Educator!C151</f>
        <v>0</v>
      </c>
      <c r="K146" s="49" t="b">
        <f t="shared" ref="K146:K209" si="9">IF(C146&gt;0,"active")</f>
        <v>0</v>
      </c>
    </row>
    <row r="147" spans="1:11" x14ac:dyDescent="0.2">
      <c r="A14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","#",3))+1,1)&amp;"-"&amp;LEFT(Educator!B152, 3)&amp;"-"&amp;LEFT(Educator!A152, 3)&amp;"-"&amp;"2027"</f>
        <v>UID-FLH---2027</v>
      </c>
      <c r="C147" s="49">
        <f>Educator!C152</f>
        <v>0</v>
      </c>
      <c r="D147" s="49" t="b">
        <f t="shared" si="8"/>
        <v>0</v>
      </c>
      <c r="E147" s="49">
        <f>Educator!A152</f>
        <v>0</v>
      </c>
      <c r="F147" s="49">
        <f>Educator!B152</f>
        <v>0</v>
      </c>
      <c r="G147" s="49" t="str">
        <f>Educator!A152 &amp;" " &amp;Educator!B152</f>
        <v xml:space="preserve"> </v>
      </c>
      <c r="J147" s="49">
        <f>Educator!C152</f>
        <v>0</v>
      </c>
      <c r="K147" s="49" t="b">
        <f t="shared" si="9"/>
        <v>0</v>
      </c>
    </row>
    <row r="148" spans="1:11" x14ac:dyDescent="0.2">
      <c r="A14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","#",3))+1,1)&amp;"-"&amp;LEFT(Educator!B153, 3)&amp;"-"&amp;LEFT(Educator!A153, 3)&amp;"-"&amp;"2027"</f>
        <v>UID-FLH---2027</v>
      </c>
      <c r="C148" s="49">
        <f>Educator!C153</f>
        <v>0</v>
      </c>
      <c r="D148" s="49" t="b">
        <f t="shared" si="8"/>
        <v>0</v>
      </c>
      <c r="E148" s="49">
        <f>Educator!A153</f>
        <v>0</v>
      </c>
      <c r="F148" s="49">
        <f>Educator!B153</f>
        <v>0</v>
      </c>
      <c r="G148" s="49" t="str">
        <f>Educator!A153 &amp;" " &amp;Educator!B153</f>
        <v xml:space="preserve"> </v>
      </c>
      <c r="J148" s="49">
        <f>Educator!C153</f>
        <v>0</v>
      </c>
      <c r="K148" s="49" t="b">
        <f t="shared" si="9"/>
        <v>0</v>
      </c>
    </row>
    <row r="149" spans="1:11" x14ac:dyDescent="0.2">
      <c r="A14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","#",3))+1,1)&amp;"-"&amp;LEFT(Educator!B154, 3)&amp;"-"&amp;LEFT(Educator!A154, 3)&amp;"-"&amp;"2027"</f>
        <v>UID-FLH---2027</v>
      </c>
      <c r="C149" s="49">
        <f>Educator!C154</f>
        <v>0</v>
      </c>
      <c r="D149" s="49" t="b">
        <f t="shared" si="8"/>
        <v>0</v>
      </c>
      <c r="E149" s="49">
        <f>Educator!A154</f>
        <v>0</v>
      </c>
      <c r="F149" s="49">
        <f>Educator!B154</f>
        <v>0</v>
      </c>
      <c r="G149" s="49" t="str">
        <f>Educator!A154 &amp;" " &amp;Educator!B154</f>
        <v xml:space="preserve"> </v>
      </c>
      <c r="J149" s="49">
        <f>Educator!C154</f>
        <v>0</v>
      </c>
      <c r="K149" s="49" t="b">
        <f t="shared" si="9"/>
        <v>0</v>
      </c>
    </row>
    <row r="150" spans="1:11" x14ac:dyDescent="0.2">
      <c r="A15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","#",3))+1,1)&amp;"-"&amp;LEFT(Educator!B155, 3)&amp;"-"&amp;LEFT(Educator!A155, 3)&amp;"-"&amp;"2027"</f>
        <v>UID-FLH---2027</v>
      </c>
      <c r="C150" s="49">
        <f>Educator!C155</f>
        <v>0</v>
      </c>
      <c r="D150" s="49" t="b">
        <f t="shared" si="8"/>
        <v>0</v>
      </c>
      <c r="E150" s="49">
        <f>Educator!A155</f>
        <v>0</v>
      </c>
      <c r="F150" s="49">
        <f>Educator!B155</f>
        <v>0</v>
      </c>
      <c r="G150" s="49" t="str">
        <f>Educator!A155 &amp;" " &amp;Educator!B155</f>
        <v xml:space="preserve"> </v>
      </c>
      <c r="J150" s="49">
        <f>Educator!C155</f>
        <v>0</v>
      </c>
      <c r="K150" s="49" t="b">
        <f t="shared" si="9"/>
        <v>0</v>
      </c>
    </row>
    <row r="151" spans="1:11" x14ac:dyDescent="0.2">
      <c r="A15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","#",3))+1,1)&amp;"-"&amp;LEFT(Educator!B156, 3)&amp;"-"&amp;LEFT(Educator!A156, 3)&amp;"-"&amp;"2027"</f>
        <v>UID-FLH---2027</v>
      </c>
      <c r="C151" s="49">
        <f>Educator!C156</f>
        <v>0</v>
      </c>
      <c r="D151" s="49" t="b">
        <f t="shared" si="8"/>
        <v>0</v>
      </c>
      <c r="E151" s="49">
        <f>Educator!A156</f>
        <v>0</v>
      </c>
      <c r="F151" s="49">
        <f>Educator!B156</f>
        <v>0</v>
      </c>
      <c r="G151" s="49" t="str">
        <f>Educator!A156 &amp;" " &amp;Educator!B156</f>
        <v xml:space="preserve"> </v>
      </c>
      <c r="J151" s="49">
        <f>Educator!C156</f>
        <v>0</v>
      </c>
      <c r="K151" s="49" t="b">
        <f t="shared" si="9"/>
        <v>0</v>
      </c>
    </row>
    <row r="152" spans="1:11" x14ac:dyDescent="0.2">
      <c r="A15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","#",3))+1,1)&amp;"-"&amp;LEFT(Educator!B157, 3)&amp;"-"&amp;LEFT(Educator!A157, 3)&amp;"-"&amp;"2027"</f>
        <v>UID-FLH---2027</v>
      </c>
      <c r="C152" s="49">
        <f>Educator!C157</f>
        <v>0</v>
      </c>
      <c r="D152" s="49" t="b">
        <f t="shared" si="8"/>
        <v>0</v>
      </c>
      <c r="E152" s="49">
        <f>Educator!A157</f>
        <v>0</v>
      </c>
      <c r="F152" s="49">
        <f>Educator!B157</f>
        <v>0</v>
      </c>
      <c r="G152" s="49" t="str">
        <f>Educator!A157 &amp;" " &amp;Educator!B157</f>
        <v xml:space="preserve"> </v>
      </c>
      <c r="J152" s="49">
        <f>Educator!C157</f>
        <v>0</v>
      </c>
      <c r="K152" s="49" t="b">
        <f t="shared" si="9"/>
        <v>0</v>
      </c>
    </row>
    <row r="153" spans="1:11" x14ac:dyDescent="0.2">
      <c r="A15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","#",3))+1,1)&amp;"-"&amp;LEFT(Educator!B158, 3)&amp;"-"&amp;LEFT(Educator!A158, 3)&amp;"-"&amp;"2027"</f>
        <v>UID-FLH---2027</v>
      </c>
      <c r="C153" s="49">
        <f>Educator!C158</f>
        <v>0</v>
      </c>
      <c r="D153" s="49" t="b">
        <f t="shared" si="8"/>
        <v>0</v>
      </c>
      <c r="E153" s="49">
        <f>Educator!A158</f>
        <v>0</v>
      </c>
      <c r="F153" s="49">
        <f>Educator!B158</f>
        <v>0</v>
      </c>
      <c r="G153" s="49" t="str">
        <f>Educator!A158 &amp;" " &amp;Educator!B158</f>
        <v xml:space="preserve"> </v>
      </c>
      <c r="J153" s="49">
        <f>Educator!C158</f>
        <v>0</v>
      </c>
      <c r="K153" s="49" t="b">
        <f t="shared" si="9"/>
        <v>0</v>
      </c>
    </row>
    <row r="154" spans="1:11" x14ac:dyDescent="0.2">
      <c r="A15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","#",3))+1,1)&amp;"-"&amp;LEFT(Educator!B159, 3)&amp;"-"&amp;LEFT(Educator!A159, 3)&amp;"-"&amp;"2027"</f>
        <v>UID-FLH---2027</v>
      </c>
      <c r="C154" s="49">
        <f>Educator!C159</f>
        <v>0</v>
      </c>
      <c r="D154" s="49" t="b">
        <f t="shared" si="8"/>
        <v>0</v>
      </c>
      <c r="E154" s="49">
        <f>Educator!A159</f>
        <v>0</v>
      </c>
      <c r="F154" s="49">
        <f>Educator!B159</f>
        <v>0</v>
      </c>
      <c r="G154" s="49" t="str">
        <f>Educator!A159 &amp;" " &amp;Educator!B159</f>
        <v xml:space="preserve"> </v>
      </c>
      <c r="J154" s="49">
        <f>Educator!C159</f>
        <v>0</v>
      </c>
      <c r="K154" s="49" t="b">
        <f t="shared" si="9"/>
        <v>0</v>
      </c>
    </row>
    <row r="155" spans="1:11" x14ac:dyDescent="0.2">
      <c r="A15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","#",3))+1,1)&amp;"-"&amp;LEFT(Educator!B160, 3)&amp;"-"&amp;LEFT(Educator!A160, 3)&amp;"-"&amp;"2027"</f>
        <v>UID-FLH---2027</v>
      </c>
      <c r="C155" s="49">
        <f>Educator!C160</f>
        <v>0</v>
      </c>
      <c r="D155" s="49" t="b">
        <f t="shared" si="8"/>
        <v>0</v>
      </c>
      <c r="E155" s="49">
        <f>Educator!A160</f>
        <v>0</v>
      </c>
      <c r="F155" s="49">
        <f>Educator!B160</f>
        <v>0</v>
      </c>
      <c r="G155" s="49" t="str">
        <f>Educator!A160 &amp;" " &amp;Educator!B160</f>
        <v xml:space="preserve"> </v>
      </c>
      <c r="J155" s="49">
        <f>Educator!C160</f>
        <v>0</v>
      </c>
      <c r="K155" s="49" t="b">
        <f t="shared" si="9"/>
        <v>0</v>
      </c>
    </row>
    <row r="156" spans="1:11" x14ac:dyDescent="0.2">
      <c r="A15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","#",3))+1,1)&amp;"-"&amp;LEFT(Educator!B161, 3)&amp;"-"&amp;LEFT(Educator!A161, 3)&amp;"-"&amp;"2027"</f>
        <v>UID-FLH---2027</v>
      </c>
      <c r="C156" s="49">
        <f>Educator!C161</f>
        <v>0</v>
      </c>
      <c r="D156" s="49" t="b">
        <f t="shared" si="8"/>
        <v>0</v>
      </c>
      <c r="E156" s="49">
        <f>Educator!A161</f>
        <v>0</v>
      </c>
      <c r="F156" s="49">
        <f>Educator!B161</f>
        <v>0</v>
      </c>
      <c r="G156" s="49" t="str">
        <f>Educator!A161 &amp;" " &amp;Educator!B161</f>
        <v xml:space="preserve"> </v>
      </c>
      <c r="J156" s="49">
        <f>Educator!C161</f>
        <v>0</v>
      </c>
      <c r="K156" s="49" t="b">
        <f t="shared" si="9"/>
        <v>0</v>
      </c>
    </row>
    <row r="157" spans="1:11" x14ac:dyDescent="0.2">
      <c r="A15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","#",3))+1,1)&amp;"-"&amp;LEFT(Educator!B162, 3)&amp;"-"&amp;LEFT(Educator!A162, 3)&amp;"-"&amp;"2027"</f>
        <v>UID-FLH---2027</v>
      </c>
      <c r="C157" s="49">
        <f>Educator!C162</f>
        <v>0</v>
      </c>
      <c r="D157" s="49" t="b">
        <f t="shared" si="8"/>
        <v>0</v>
      </c>
      <c r="E157" s="49">
        <f>Educator!A162</f>
        <v>0</v>
      </c>
      <c r="F157" s="49">
        <f>Educator!B162</f>
        <v>0</v>
      </c>
      <c r="G157" s="49" t="str">
        <f>Educator!A162 &amp;" " &amp;Educator!B162</f>
        <v xml:space="preserve"> </v>
      </c>
      <c r="J157" s="49">
        <f>Educator!C162</f>
        <v>0</v>
      </c>
      <c r="K157" s="49" t="b">
        <f t="shared" si="9"/>
        <v>0</v>
      </c>
    </row>
    <row r="158" spans="1:11" x14ac:dyDescent="0.2">
      <c r="A15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","#",3))+1,1)&amp;"-"&amp;LEFT(Educator!B163, 3)&amp;"-"&amp;LEFT(Educator!A163, 3)&amp;"-"&amp;"2027"</f>
        <v>UID-FLH---2027</v>
      </c>
      <c r="C158" s="49">
        <f>Educator!C163</f>
        <v>0</v>
      </c>
      <c r="D158" s="49" t="b">
        <f t="shared" si="8"/>
        <v>0</v>
      </c>
      <c r="E158" s="49">
        <f>Educator!A163</f>
        <v>0</v>
      </c>
      <c r="F158" s="49">
        <f>Educator!B163</f>
        <v>0</v>
      </c>
      <c r="G158" s="49" t="str">
        <f>Educator!A163 &amp;" " &amp;Educator!B163</f>
        <v xml:space="preserve"> </v>
      </c>
      <c r="J158" s="49">
        <f>Educator!C163</f>
        <v>0</v>
      </c>
      <c r="K158" s="49" t="b">
        <f t="shared" si="9"/>
        <v>0</v>
      </c>
    </row>
    <row r="159" spans="1:11" x14ac:dyDescent="0.2">
      <c r="A15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","#",3))+1,1)&amp;"-"&amp;LEFT(Educator!B164, 3)&amp;"-"&amp;LEFT(Educator!A164, 3)&amp;"-"&amp;"2027"</f>
        <v>UID-FLH---2027</v>
      </c>
      <c r="C159" s="49">
        <f>Educator!C164</f>
        <v>0</v>
      </c>
      <c r="D159" s="49" t="b">
        <f t="shared" si="8"/>
        <v>0</v>
      </c>
      <c r="E159" s="49">
        <f>Educator!A164</f>
        <v>0</v>
      </c>
      <c r="F159" s="49">
        <f>Educator!B164</f>
        <v>0</v>
      </c>
      <c r="G159" s="49" t="str">
        <f>Educator!A164 &amp;" " &amp;Educator!B164</f>
        <v xml:space="preserve"> </v>
      </c>
      <c r="J159" s="49">
        <f>Educator!C164</f>
        <v>0</v>
      </c>
      <c r="K159" s="49" t="b">
        <f t="shared" si="9"/>
        <v>0</v>
      </c>
    </row>
    <row r="160" spans="1:11" x14ac:dyDescent="0.2">
      <c r="A16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","#",3))+1,1)&amp;"-"&amp;LEFT(Educator!B165, 3)&amp;"-"&amp;LEFT(Educator!A165, 3)&amp;"-"&amp;"2027"</f>
        <v>UID-FLH---2027</v>
      </c>
      <c r="C160" s="49">
        <f>Educator!C165</f>
        <v>0</v>
      </c>
      <c r="D160" s="49" t="b">
        <f t="shared" si="8"/>
        <v>0</v>
      </c>
      <c r="E160" s="49">
        <f>Educator!A165</f>
        <v>0</v>
      </c>
      <c r="F160" s="49">
        <f>Educator!B165</f>
        <v>0</v>
      </c>
      <c r="G160" s="49" t="str">
        <f>Educator!A165 &amp;" " &amp;Educator!B165</f>
        <v xml:space="preserve"> </v>
      </c>
      <c r="J160" s="49">
        <f>Educator!C165</f>
        <v>0</v>
      </c>
      <c r="K160" s="49" t="b">
        <f t="shared" si="9"/>
        <v>0</v>
      </c>
    </row>
    <row r="161" spans="1:11" x14ac:dyDescent="0.2">
      <c r="A16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","#",3))+1,1)&amp;"-"&amp;LEFT(Educator!B166, 3)&amp;"-"&amp;LEFT(Educator!A166, 3)&amp;"-"&amp;"2027"</f>
        <v>UID-FLH---2027</v>
      </c>
      <c r="C161" s="49">
        <f>Educator!C166</f>
        <v>0</v>
      </c>
      <c r="D161" s="49" t="b">
        <f t="shared" si="8"/>
        <v>0</v>
      </c>
      <c r="E161" s="49">
        <f>Educator!A166</f>
        <v>0</v>
      </c>
      <c r="F161" s="49">
        <f>Educator!B166</f>
        <v>0</v>
      </c>
      <c r="G161" s="49" t="str">
        <f>Educator!A166 &amp;" " &amp;Educator!B166</f>
        <v xml:space="preserve"> </v>
      </c>
      <c r="J161" s="49">
        <f>Educator!C166</f>
        <v>0</v>
      </c>
      <c r="K161" s="49" t="b">
        <f t="shared" si="9"/>
        <v>0</v>
      </c>
    </row>
    <row r="162" spans="1:11" x14ac:dyDescent="0.2">
      <c r="A16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","#",3))+1,1)&amp;"-"&amp;LEFT(Educator!B167, 3)&amp;"-"&amp;LEFT(Educator!A167, 3)&amp;"-"&amp;"2027"</f>
        <v>UID-FLH---2027</v>
      </c>
      <c r="C162" s="49">
        <f>Educator!C167</f>
        <v>0</v>
      </c>
      <c r="D162" s="49" t="b">
        <f t="shared" si="8"/>
        <v>0</v>
      </c>
      <c r="E162" s="49">
        <f>Educator!A167</f>
        <v>0</v>
      </c>
      <c r="F162" s="49">
        <f>Educator!B167</f>
        <v>0</v>
      </c>
      <c r="G162" s="49" t="str">
        <f>Educator!A167 &amp;" " &amp;Educator!B167</f>
        <v xml:space="preserve"> </v>
      </c>
      <c r="J162" s="49">
        <f>Educator!C167</f>
        <v>0</v>
      </c>
      <c r="K162" s="49" t="b">
        <f t="shared" si="9"/>
        <v>0</v>
      </c>
    </row>
    <row r="163" spans="1:11" x14ac:dyDescent="0.2">
      <c r="A16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","#",3))+1,1)&amp;"-"&amp;LEFT(Educator!B168, 3)&amp;"-"&amp;LEFT(Educator!A168, 3)&amp;"-"&amp;"2027"</f>
        <v>UID-FLH---2027</v>
      </c>
      <c r="C163" s="49">
        <f>Educator!C168</f>
        <v>0</v>
      </c>
      <c r="D163" s="49" t="b">
        <f t="shared" si="8"/>
        <v>0</v>
      </c>
      <c r="E163" s="49">
        <f>Educator!A168</f>
        <v>0</v>
      </c>
      <c r="F163" s="49">
        <f>Educator!B168</f>
        <v>0</v>
      </c>
      <c r="G163" s="49" t="str">
        <f>Educator!A168 &amp;" " &amp;Educator!B168</f>
        <v xml:space="preserve"> </v>
      </c>
      <c r="J163" s="49">
        <f>Educator!C168</f>
        <v>0</v>
      </c>
      <c r="K163" s="49" t="b">
        <f t="shared" si="9"/>
        <v>0</v>
      </c>
    </row>
    <row r="164" spans="1:11" x14ac:dyDescent="0.2">
      <c r="A16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","#",3))+1,1)&amp;"-"&amp;LEFT(Educator!B169, 3)&amp;"-"&amp;LEFT(Educator!A169, 3)&amp;"-"&amp;"2027"</f>
        <v>UID-FLH---2027</v>
      </c>
      <c r="C164" s="49">
        <f>Educator!C169</f>
        <v>0</v>
      </c>
      <c r="D164" s="49" t="b">
        <f t="shared" si="8"/>
        <v>0</v>
      </c>
      <c r="E164" s="49">
        <f>Educator!A169</f>
        <v>0</v>
      </c>
      <c r="F164" s="49">
        <f>Educator!B169</f>
        <v>0</v>
      </c>
      <c r="G164" s="49" t="str">
        <f>Educator!A169 &amp;" " &amp;Educator!B169</f>
        <v xml:space="preserve"> </v>
      </c>
      <c r="J164" s="49">
        <f>Educator!C169</f>
        <v>0</v>
      </c>
      <c r="K164" s="49" t="b">
        <f t="shared" si="9"/>
        <v>0</v>
      </c>
    </row>
    <row r="165" spans="1:11" x14ac:dyDescent="0.2">
      <c r="A16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","#",3))+1,1)&amp;"-"&amp;LEFT(Educator!B170, 3)&amp;"-"&amp;LEFT(Educator!A170, 3)&amp;"-"&amp;"2027"</f>
        <v>UID-FLH---2027</v>
      </c>
      <c r="C165" s="49">
        <f>Educator!C170</f>
        <v>0</v>
      </c>
      <c r="D165" s="49" t="b">
        <f t="shared" si="8"/>
        <v>0</v>
      </c>
      <c r="E165" s="49">
        <f>Educator!A170</f>
        <v>0</v>
      </c>
      <c r="F165" s="49">
        <f>Educator!B170</f>
        <v>0</v>
      </c>
      <c r="G165" s="49" t="str">
        <f>Educator!A170 &amp;" " &amp;Educator!B170</f>
        <v xml:space="preserve"> </v>
      </c>
      <c r="J165" s="49">
        <f>Educator!C170</f>
        <v>0</v>
      </c>
      <c r="K165" s="49" t="b">
        <f t="shared" si="9"/>
        <v>0</v>
      </c>
    </row>
    <row r="166" spans="1:11" x14ac:dyDescent="0.2">
      <c r="A16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","#",3))+1,1)&amp;"-"&amp;LEFT(Educator!B171, 3)&amp;"-"&amp;LEFT(Educator!A171, 3)&amp;"-"&amp;"2027"</f>
        <v>UID-FLH---2027</v>
      </c>
      <c r="C166" s="49">
        <f>Educator!C171</f>
        <v>0</v>
      </c>
      <c r="D166" s="49" t="b">
        <f t="shared" si="8"/>
        <v>0</v>
      </c>
      <c r="E166" s="49">
        <f>Educator!A171</f>
        <v>0</v>
      </c>
      <c r="F166" s="49">
        <f>Educator!B171</f>
        <v>0</v>
      </c>
      <c r="G166" s="49" t="str">
        <f>Educator!A171 &amp;" " &amp;Educator!B171</f>
        <v xml:space="preserve"> </v>
      </c>
      <c r="J166" s="49">
        <f>Educator!C171</f>
        <v>0</v>
      </c>
      <c r="K166" s="49" t="b">
        <f t="shared" si="9"/>
        <v>0</v>
      </c>
    </row>
    <row r="167" spans="1:11" x14ac:dyDescent="0.2">
      <c r="A16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","#",3))+1,1)&amp;"-"&amp;LEFT(Educator!B172, 3)&amp;"-"&amp;LEFT(Educator!A172, 3)&amp;"-"&amp;"2027"</f>
        <v>UID-FLH---2027</v>
      </c>
      <c r="C167" s="49">
        <f>Educator!C172</f>
        <v>0</v>
      </c>
      <c r="D167" s="49" t="b">
        <f t="shared" si="8"/>
        <v>0</v>
      </c>
      <c r="E167" s="49">
        <f>Educator!A172</f>
        <v>0</v>
      </c>
      <c r="F167" s="49">
        <f>Educator!B172</f>
        <v>0</v>
      </c>
      <c r="G167" s="49" t="str">
        <f>Educator!A172 &amp;" " &amp;Educator!B172</f>
        <v xml:space="preserve"> </v>
      </c>
      <c r="J167" s="49">
        <f>Educator!C172</f>
        <v>0</v>
      </c>
      <c r="K167" s="49" t="b">
        <f t="shared" si="9"/>
        <v>0</v>
      </c>
    </row>
    <row r="168" spans="1:11" x14ac:dyDescent="0.2">
      <c r="A16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","#",3))+1,1)&amp;"-"&amp;LEFT(Educator!B173, 3)&amp;"-"&amp;LEFT(Educator!A173, 3)&amp;"-"&amp;"2027"</f>
        <v>UID-FLH---2027</v>
      </c>
      <c r="C168" s="49">
        <f>Educator!C173</f>
        <v>0</v>
      </c>
      <c r="D168" s="49" t="b">
        <f t="shared" si="8"/>
        <v>0</v>
      </c>
      <c r="E168" s="49">
        <f>Educator!A173</f>
        <v>0</v>
      </c>
      <c r="F168" s="49">
        <f>Educator!B173</f>
        <v>0</v>
      </c>
      <c r="G168" s="49" t="str">
        <f>Educator!A173 &amp;" " &amp;Educator!B173</f>
        <v xml:space="preserve"> </v>
      </c>
      <c r="J168" s="49">
        <f>Educator!C173</f>
        <v>0</v>
      </c>
      <c r="K168" s="49" t="b">
        <f t="shared" si="9"/>
        <v>0</v>
      </c>
    </row>
    <row r="169" spans="1:11" x14ac:dyDescent="0.2">
      <c r="A16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","#",3))+1,1)&amp;"-"&amp;LEFT(Educator!B174, 3)&amp;"-"&amp;LEFT(Educator!A174, 3)&amp;"-"&amp;"2027"</f>
        <v>UID-FLH---2027</v>
      </c>
      <c r="C169" s="49">
        <f>Educator!C174</f>
        <v>0</v>
      </c>
      <c r="D169" s="49" t="b">
        <f t="shared" si="8"/>
        <v>0</v>
      </c>
      <c r="E169" s="49">
        <f>Educator!A174</f>
        <v>0</v>
      </c>
      <c r="F169" s="49">
        <f>Educator!B174</f>
        <v>0</v>
      </c>
      <c r="G169" s="49" t="str">
        <f>Educator!A174 &amp;" " &amp;Educator!B174</f>
        <v xml:space="preserve"> </v>
      </c>
      <c r="J169" s="49">
        <f>Educator!C174</f>
        <v>0</v>
      </c>
      <c r="K169" s="49" t="b">
        <f t="shared" si="9"/>
        <v>0</v>
      </c>
    </row>
    <row r="170" spans="1:11" x14ac:dyDescent="0.2">
      <c r="A17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","#",3))+1,1)&amp;"-"&amp;LEFT(Educator!B175, 3)&amp;"-"&amp;LEFT(Educator!A175, 3)&amp;"-"&amp;"2027"</f>
        <v>UID-FLH---2027</v>
      </c>
      <c r="C170" s="49">
        <f>Educator!C175</f>
        <v>0</v>
      </c>
      <c r="D170" s="49" t="b">
        <f t="shared" si="8"/>
        <v>0</v>
      </c>
      <c r="E170" s="49">
        <f>Educator!A175</f>
        <v>0</v>
      </c>
      <c r="F170" s="49">
        <f>Educator!B175</f>
        <v>0</v>
      </c>
      <c r="G170" s="49" t="str">
        <f>Educator!A175 &amp;" " &amp;Educator!B175</f>
        <v xml:space="preserve"> </v>
      </c>
      <c r="J170" s="49">
        <f>Educator!C175</f>
        <v>0</v>
      </c>
      <c r="K170" s="49" t="b">
        <f t="shared" si="9"/>
        <v>0</v>
      </c>
    </row>
    <row r="171" spans="1:11" x14ac:dyDescent="0.2">
      <c r="A17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","#",3))+1,1)&amp;"-"&amp;LEFT(Educator!B176, 3)&amp;"-"&amp;LEFT(Educator!A176, 3)&amp;"-"&amp;"2027"</f>
        <v>UID-FLH---2027</v>
      </c>
      <c r="C171" s="49">
        <f>Educator!C176</f>
        <v>0</v>
      </c>
      <c r="D171" s="49" t="b">
        <f t="shared" si="8"/>
        <v>0</v>
      </c>
      <c r="E171" s="49">
        <f>Educator!A176</f>
        <v>0</v>
      </c>
      <c r="F171" s="49">
        <f>Educator!B176</f>
        <v>0</v>
      </c>
      <c r="G171" s="49" t="str">
        <f>Educator!A176 &amp;" " &amp;Educator!B176</f>
        <v xml:space="preserve"> </v>
      </c>
      <c r="J171" s="49">
        <f>Educator!C176</f>
        <v>0</v>
      </c>
      <c r="K171" s="49" t="b">
        <f t="shared" si="9"/>
        <v>0</v>
      </c>
    </row>
    <row r="172" spans="1:11" x14ac:dyDescent="0.2">
      <c r="A17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","#",3))+1,1)&amp;"-"&amp;LEFT(Educator!B177, 3)&amp;"-"&amp;LEFT(Educator!A177, 3)&amp;"-"&amp;"2027"</f>
        <v>UID-FLH---2027</v>
      </c>
      <c r="C172" s="49">
        <f>Educator!C177</f>
        <v>0</v>
      </c>
      <c r="D172" s="49" t="b">
        <f t="shared" si="8"/>
        <v>0</v>
      </c>
      <c r="E172" s="49">
        <f>Educator!A177</f>
        <v>0</v>
      </c>
      <c r="F172" s="49">
        <f>Educator!B177</f>
        <v>0</v>
      </c>
      <c r="G172" s="49" t="str">
        <f>Educator!A177 &amp;" " &amp;Educator!B177</f>
        <v xml:space="preserve"> </v>
      </c>
      <c r="J172" s="49">
        <f>Educator!C177</f>
        <v>0</v>
      </c>
      <c r="K172" s="49" t="b">
        <f t="shared" si="9"/>
        <v>0</v>
      </c>
    </row>
    <row r="173" spans="1:11" x14ac:dyDescent="0.2">
      <c r="A17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","#",3))+1,1)&amp;"-"&amp;LEFT(Educator!B178, 3)&amp;"-"&amp;LEFT(Educator!A178, 3)&amp;"-"&amp;"2027"</f>
        <v>UID-FLH---2027</v>
      </c>
      <c r="C173" s="49">
        <f>Educator!C178</f>
        <v>0</v>
      </c>
      <c r="D173" s="49" t="b">
        <f t="shared" si="8"/>
        <v>0</v>
      </c>
      <c r="E173" s="49">
        <f>Educator!A178</f>
        <v>0</v>
      </c>
      <c r="F173" s="49">
        <f>Educator!B178</f>
        <v>0</v>
      </c>
      <c r="G173" s="49" t="str">
        <f>Educator!A178 &amp;" " &amp;Educator!B178</f>
        <v xml:space="preserve"> </v>
      </c>
      <c r="J173" s="49">
        <f>Educator!C178</f>
        <v>0</v>
      </c>
      <c r="K173" s="49" t="b">
        <f t="shared" si="9"/>
        <v>0</v>
      </c>
    </row>
    <row r="174" spans="1:11" x14ac:dyDescent="0.2">
      <c r="A17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","#",3))+1,1)&amp;"-"&amp;LEFT(Educator!B179, 3)&amp;"-"&amp;LEFT(Educator!A179, 3)&amp;"-"&amp;"2027"</f>
        <v>UID-FLH---2027</v>
      </c>
      <c r="C174" s="49">
        <f>Educator!C179</f>
        <v>0</v>
      </c>
      <c r="D174" s="49" t="b">
        <f t="shared" si="8"/>
        <v>0</v>
      </c>
      <c r="E174" s="49">
        <f>Educator!A179</f>
        <v>0</v>
      </c>
      <c r="F174" s="49">
        <f>Educator!B179</f>
        <v>0</v>
      </c>
      <c r="G174" s="49" t="str">
        <f>Educator!A179 &amp;" " &amp;Educator!B179</f>
        <v xml:space="preserve"> </v>
      </c>
      <c r="J174" s="49">
        <f>Educator!C179</f>
        <v>0</v>
      </c>
      <c r="K174" s="49" t="b">
        <f t="shared" si="9"/>
        <v>0</v>
      </c>
    </row>
    <row r="175" spans="1:11" x14ac:dyDescent="0.2">
      <c r="A17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","#",3))+1,1)&amp;"-"&amp;LEFT(Educator!B180, 3)&amp;"-"&amp;LEFT(Educator!A180, 3)&amp;"-"&amp;"2027"</f>
        <v>UID-FLH---2027</v>
      </c>
      <c r="C175" s="49">
        <f>Educator!C180</f>
        <v>0</v>
      </c>
      <c r="D175" s="49" t="b">
        <f t="shared" si="8"/>
        <v>0</v>
      </c>
      <c r="E175" s="49">
        <f>Educator!A180</f>
        <v>0</v>
      </c>
      <c r="F175" s="49">
        <f>Educator!B180</f>
        <v>0</v>
      </c>
      <c r="G175" s="49" t="str">
        <f>Educator!A180 &amp;" " &amp;Educator!B180</f>
        <v xml:space="preserve"> </v>
      </c>
      <c r="J175" s="49">
        <f>Educator!C180</f>
        <v>0</v>
      </c>
      <c r="K175" s="49" t="b">
        <f t="shared" si="9"/>
        <v>0</v>
      </c>
    </row>
    <row r="176" spans="1:11" x14ac:dyDescent="0.2">
      <c r="A17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","#",3))+1,1)&amp;"-"&amp;LEFT(Educator!B181, 3)&amp;"-"&amp;LEFT(Educator!A181, 3)&amp;"-"&amp;"2027"</f>
        <v>UID-FLH---2027</v>
      </c>
      <c r="C176" s="49">
        <f>Educator!C181</f>
        <v>0</v>
      </c>
      <c r="D176" s="49" t="b">
        <f t="shared" si="8"/>
        <v>0</v>
      </c>
      <c r="E176" s="49">
        <f>Educator!A181</f>
        <v>0</v>
      </c>
      <c r="F176" s="49">
        <f>Educator!B181</f>
        <v>0</v>
      </c>
      <c r="G176" s="49" t="str">
        <f>Educator!A181 &amp;" " &amp;Educator!B181</f>
        <v xml:space="preserve"> </v>
      </c>
      <c r="J176" s="49">
        <f>Educator!C181</f>
        <v>0</v>
      </c>
      <c r="K176" s="49" t="b">
        <f t="shared" si="9"/>
        <v>0</v>
      </c>
    </row>
    <row r="177" spans="1:11" x14ac:dyDescent="0.2">
      <c r="A17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","#",3))+1,1)&amp;"-"&amp;LEFT(Educator!B182, 3)&amp;"-"&amp;LEFT(Educator!A182, 3)&amp;"-"&amp;"2027"</f>
        <v>UID-FLH---2027</v>
      </c>
      <c r="C177" s="49">
        <f>Educator!C182</f>
        <v>0</v>
      </c>
      <c r="D177" s="49" t="b">
        <f t="shared" si="8"/>
        <v>0</v>
      </c>
      <c r="E177" s="49">
        <f>Educator!A182</f>
        <v>0</v>
      </c>
      <c r="F177" s="49">
        <f>Educator!B182</f>
        <v>0</v>
      </c>
      <c r="G177" s="49" t="str">
        <f>Educator!A182 &amp;" " &amp;Educator!B182</f>
        <v xml:space="preserve"> </v>
      </c>
      <c r="J177" s="49">
        <f>Educator!C182</f>
        <v>0</v>
      </c>
      <c r="K177" s="49" t="b">
        <f t="shared" si="9"/>
        <v>0</v>
      </c>
    </row>
    <row r="178" spans="1:11" x14ac:dyDescent="0.2">
      <c r="A17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","#",3))+1,1)&amp;"-"&amp;LEFT(Educator!B183, 3)&amp;"-"&amp;LEFT(Educator!A183, 3)&amp;"-"&amp;"2027"</f>
        <v>UID-FLH---2027</v>
      </c>
      <c r="C178" s="49">
        <f>Educator!C183</f>
        <v>0</v>
      </c>
      <c r="D178" s="49" t="b">
        <f t="shared" si="8"/>
        <v>0</v>
      </c>
      <c r="E178" s="49">
        <f>Educator!A183</f>
        <v>0</v>
      </c>
      <c r="F178" s="49">
        <f>Educator!B183</f>
        <v>0</v>
      </c>
      <c r="G178" s="49" t="str">
        <f>Educator!A183 &amp;" " &amp;Educator!B183</f>
        <v xml:space="preserve"> </v>
      </c>
      <c r="J178" s="49">
        <f>Educator!C183</f>
        <v>0</v>
      </c>
      <c r="K178" s="49" t="b">
        <f t="shared" si="9"/>
        <v>0</v>
      </c>
    </row>
    <row r="179" spans="1:11" x14ac:dyDescent="0.2">
      <c r="A17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","#",3))+1,1)&amp;"-"&amp;LEFT(Educator!B184, 3)&amp;"-"&amp;LEFT(Educator!A184, 3)&amp;"-"&amp;"2027"</f>
        <v>UID-FLH---2027</v>
      </c>
      <c r="C179" s="49">
        <f>Educator!C184</f>
        <v>0</v>
      </c>
      <c r="D179" s="49" t="b">
        <f t="shared" si="8"/>
        <v>0</v>
      </c>
      <c r="E179" s="49">
        <f>Educator!A184</f>
        <v>0</v>
      </c>
      <c r="F179" s="49">
        <f>Educator!B184</f>
        <v>0</v>
      </c>
      <c r="G179" s="49" t="str">
        <f>Educator!A184 &amp;" " &amp;Educator!B184</f>
        <v xml:space="preserve"> </v>
      </c>
      <c r="J179" s="49">
        <f>Educator!C184</f>
        <v>0</v>
      </c>
      <c r="K179" s="49" t="b">
        <f t="shared" si="9"/>
        <v>0</v>
      </c>
    </row>
    <row r="180" spans="1:11" x14ac:dyDescent="0.2">
      <c r="A18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","#",3))+1,1)&amp;"-"&amp;LEFT(Educator!B185, 3)&amp;"-"&amp;LEFT(Educator!A185, 3)&amp;"-"&amp;"2027"</f>
        <v>UID-FLH---2027</v>
      </c>
      <c r="C180" s="49">
        <f>Educator!C185</f>
        <v>0</v>
      </c>
      <c r="D180" s="49" t="b">
        <f t="shared" si="8"/>
        <v>0</v>
      </c>
      <c r="E180" s="49">
        <f>Educator!A185</f>
        <v>0</v>
      </c>
      <c r="F180" s="49">
        <f>Educator!B185</f>
        <v>0</v>
      </c>
      <c r="G180" s="49" t="str">
        <f>Educator!A185 &amp;" " &amp;Educator!B185</f>
        <v xml:space="preserve"> </v>
      </c>
      <c r="J180" s="49">
        <f>Educator!C185</f>
        <v>0</v>
      </c>
      <c r="K180" s="49" t="b">
        <f t="shared" si="9"/>
        <v>0</v>
      </c>
    </row>
    <row r="181" spans="1:11" x14ac:dyDescent="0.2">
      <c r="A18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","#",3))+1,1)&amp;"-"&amp;LEFT(Educator!B186, 3)&amp;"-"&amp;LEFT(Educator!A186, 3)&amp;"-"&amp;"2027"</f>
        <v>UID-FLH---2027</v>
      </c>
      <c r="C181" s="49">
        <f>Educator!C186</f>
        <v>0</v>
      </c>
      <c r="D181" s="49" t="b">
        <f t="shared" si="8"/>
        <v>0</v>
      </c>
      <c r="E181" s="49">
        <f>Educator!A186</f>
        <v>0</v>
      </c>
      <c r="F181" s="49">
        <f>Educator!B186</f>
        <v>0</v>
      </c>
      <c r="G181" s="49" t="str">
        <f>Educator!A186 &amp;" " &amp;Educator!B186</f>
        <v xml:space="preserve"> </v>
      </c>
      <c r="J181" s="49">
        <f>Educator!C186</f>
        <v>0</v>
      </c>
      <c r="K181" s="49" t="b">
        <f t="shared" si="9"/>
        <v>0</v>
      </c>
    </row>
    <row r="182" spans="1:11" x14ac:dyDescent="0.2">
      <c r="A18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","#",3))+1,1)&amp;"-"&amp;LEFT(Educator!B187, 3)&amp;"-"&amp;LEFT(Educator!A187, 3)&amp;"-"&amp;"2027"</f>
        <v>UID-FLH---2027</v>
      </c>
      <c r="C182" s="49">
        <f>Educator!C187</f>
        <v>0</v>
      </c>
      <c r="D182" s="49" t="b">
        <f t="shared" si="8"/>
        <v>0</v>
      </c>
      <c r="E182" s="49">
        <f>Educator!A187</f>
        <v>0</v>
      </c>
      <c r="F182" s="49">
        <f>Educator!B187</f>
        <v>0</v>
      </c>
      <c r="G182" s="49" t="str">
        <f>Educator!A187 &amp;" " &amp;Educator!B187</f>
        <v xml:space="preserve"> </v>
      </c>
      <c r="J182" s="49">
        <f>Educator!C187</f>
        <v>0</v>
      </c>
      <c r="K182" s="49" t="b">
        <f t="shared" si="9"/>
        <v>0</v>
      </c>
    </row>
    <row r="183" spans="1:11" x14ac:dyDescent="0.2">
      <c r="A18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","#",3))+1,1)&amp;"-"&amp;LEFT(Educator!B188, 3)&amp;"-"&amp;LEFT(Educator!A188, 3)&amp;"-"&amp;"2027"</f>
        <v>UID-FLH---2027</v>
      </c>
      <c r="C183" s="49">
        <f>Educator!C188</f>
        <v>0</v>
      </c>
      <c r="D183" s="49" t="b">
        <f t="shared" si="8"/>
        <v>0</v>
      </c>
      <c r="E183" s="49">
        <f>Educator!A188</f>
        <v>0</v>
      </c>
      <c r="F183" s="49">
        <f>Educator!B188</f>
        <v>0</v>
      </c>
      <c r="G183" s="49" t="str">
        <f>Educator!A188 &amp;" " &amp;Educator!B188</f>
        <v xml:space="preserve"> </v>
      </c>
      <c r="J183" s="49">
        <f>Educator!C188</f>
        <v>0</v>
      </c>
      <c r="K183" s="49" t="b">
        <f t="shared" si="9"/>
        <v>0</v>
      </c>
    </row>
    <row r="184" spans="1:11" x14ac:dyDescent="0.2">
      <c r="A18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","#",3))+1,1)&amp;"-"&amp;LEFT(Educator!B189, 3)&amp;"-"&amp;LEFT(Educator!A189, 3)&amp;"-"&amp;"2027"</f>
        <v>UID-FLH---2027</v>
      </c>
      <c r="C184" s="49">
        <f>Educator!C189</f>
        <v>0</v>
      </c>
      <c r="D184" s="49" t="b">
        <f t="shared" si="8"/>
        <v>0</v>
      </c>
      <c r="E184" s="49">
        <f>Educator!A189</f>
        <v>0</v>
      </c>
      <c r="F184" s="49">
        <f>Educator!B189</f>
        <v>0</v>
      </c>
      <c r="G184" s="49" t="str">
        <f>Educator!A189 &amp;" " &amp;Educator!B189</f>
        <v xml:space="preserve"> </v>
      </c>
      <c r="J184" s="49">
        <f>Educator!C189</f>
        <v>0</v>
      </c>
      <c r="K184" s="49" t="b">
        <f t="shared" si="9"/>
        <v>0</v>
      </c>
    </row>
    <row r="185" spans="1:11" x14ac:dyDescent="0.2">
      <c r="A18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","#",3))+1,1)&amp;"-"&amp;LEFT(Educator!B190, 3)&amp;"-"&amp;LEFT(Educator!A190, 3)&amp;"-"&amp;"2027"</f>
        <v>UID-FLH---2027</v>
      </c>
      <c r="C185" s="49">
        <f>Educator!C190</f>
        <v>0</v>
      </c>
      <c r="D185" s="49" t="b">
        <f t="shared" si="8"/>
        <v>0</v>
      </c>
      <c r="E185" s="49">
        <f>Educator!A190</f>
        <v>0</v>
      </c>
      <c r="F185" s="49">
        <f>Educator!B190</f>
        <v>0</v>
      </c>
      <c r="G185" s="49" t="str">
        <f>Educator!A190 &amp;" " &amp;Educator!B190</f>
        <v xml:space="preserve"> </v>
      </c>
      <c r="J185" s="49">
        <f>Educator!C190</f>
        <v>0</v>
      </c>
      <c r="K185" s="49" t="b">
        <f t="shared" si="9"/>
        <v>0</v>
      </c>
    </row>
    <row r="186" spans="1:11" x14ac:dyDescent="0.2">
      <c r="A18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","#",3))+1,1)&amp;"-"&amp;LEFT(Educator!B191, 3)&amp;"-"&amp;LEFT(Educator!A191, 3)&amp;"-"&amp;"2027"</f>
        <v>UID-FLH---2027</v>
      </c>
      <c r="C186" s="49">
        <f>Educator!C191</f>
        <v>0</v>
      </c>
      <c r="D186" s="49" t="b">
        <f t="shared" si="8"/>
        <v>0</v>
      </c>
      <c r="E186" s="49">
        <f>Educator!A191</f>
        <v>0</v>
      </c>
      <c r="F186" s="49">
        <f>Educator!B191</f>
        <v>0</v>
      </c>
      <c r="G186" s="49" t="str">
        <f>Educator!A191 &amp;" " &amp;Educator!B191</f>
        <v xml:space="preserve"> </v>
      </c>
      <c r="J186" s="49">
        <f>Educator!C191</f>
        <v>0</v>
      </c>
      <c r="K186" s="49" t="b">
        <f t="shared" si="9"/>
        <v>0</v>
      </c>
    </row>
    <row r="187" spans="1:11" x14ac:dyDescent="0.2">
      <c r="A18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","#",3))+1,1)&amp;"-"&amp;LEFT(Educator!B192, 3)&amp;"-"&amp;LEFT(Educator!A192, 3)&amp;"-"&amp;"2027"</f>
        <v>UID-FLH---2027</v>
      </c>
      <c r="C187" s="49">
        <f>Educator!C192</f>
        <v>0</v>
      </c>
      <c r="D187" s="49" t="b">
        <f t="shared" si="8"/>
        <v>0</v>
      </c>
      <c r="E187" s="49">
        <f>Educator!A192</f>
        <v>0</v>
      </c>
      <c r="F187" s="49">
        <f>Educator!B192</f>
        <v>0</v>
      </c>
      <c r="G187" s="49" t="str">
        <f>Educator!A192 &amp;" " &amp;Educator!B192</f>
        <v xml:space="preserve"> </v>
      </c>
      <c r="J187" s="49">
        <f>Educator!C192</f>
        <v>0</v>
      </c>
      <c r="K187" s="49" t="b">
        <f t="shared" si="9"/>
        <v>0</v>
      </c>
    </row>
    <row r="188" spans="1:11" x14ac:dyDescent="0.2">
      <c r="A18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","#",3))+1,1)&amp;"-"&amp;LEFT(Educator!B193, 3)&amp;"-"&amp;LEFT(Educator!A193, 3)&amp;"-"&amp;"2027"</f>
        <v>UID-FLH---2027</v>
      </c>
      <c r="C188" s="49">
        <f>Educator!C193</f>
        <v>0</v>
      </c>
      <c r="D188" s="49" t="b">
        <f t="shared" si="8"/>
        <v>0</v>
      </c>
      <c r="E188" s="49">
        <f>Educator!A193</f>
        <v>0</v>
      </c>
      <c r="F188" s="49">
        <f>Educator!B193</f>
        <v>0</v>
      </c>
      <c r="G188" s="49" t="str">
        <f>Educator!A193 &amp;" " &amp;Educator!B193</f>
        <v xml:space="preserve"> </v>
      </c>
      <c r="J188" s="49">
        <f>Educator!C193</f>
        <v>0</v>
      </c>
      <c r="K188" s="49" t="b">
        <f t="shared" si="9"/>
        <v>0</v>
      </c>
    </row>
    <row r="189" spans="1:11" x14ac:dyDescent="0.2">
      <c r="A18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","#",3))+1,1)&amp;"-"&amp;LEFT(Educator!B194, 3)&amp;"-"&amp;LEFT(Educator!A194, 3)&amp;"-"&amp;"2027"</f>
        <v>UID-FLH---2027</v>
      </c>
      <c r="C189" s="49">
        <f>Educator!C194</f>
        <v>0</v>
      </c>
      <c r="D189" s="49" t="b">
        <f t="shared" si="8"/>
        <v>0</v>
      </c>
      <c r="E189" s="49">
        <f>Educator!A194</f>
        <v>0</v>
      </c>
      <c r="F189" s="49">
        <f>Educator!B194</f>
        <v>0</v>
      </c>
      <c r="G189" s="49" t="str">
        <f>Educator!A194 &amp;" " &amp;Educator!B194</f>
        <v xml:space="preserve"> </v>
      </c>
      <c r="J189" s="49">
        <f>Educator!C194</f>
        <v>0</v>
      </c>
      <c r="K189" s="49" t="b">
        <f t="shared" si="9"/>
        <v>0</v>
      </c>
    </row>
    <row r="190" spans="1:11" x14ac:dyDescent="0.2">
      <c r="A19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","#",3))+1,1)&amp;"-"&amp;LEFT(Educator!B195, 3)&amp;"-"&amp;LEFT(Educator!A195, 3)&amp;"-"&amp;"2027"</f>
        <v>UID-FLH---2027</v>
      </c>
      <c r="C190" s="49">
        <f>Educator!C195</f>
        <v>0</v>
      </c>
      <c r="D190" s="49" t="b">
        <f t="shared" si="8"/>
        <v>0</v>
      </c>
      <c r="E190" s="49">
        <f>Educator!A195</f>
        <v>0</v>
      </c>
      <c r="F190" s="49">
        <f>Educator!B195</f>
        <v>0</v>
      </c>
      <c r="G190" s="49" t="str">
        <f>Educator!A195 &amp;" " &amp;Educator!B195</f>
        <v xml:space="preserve"> </v>
      </c>
      <c r="J190" s="49">
        <f>Educator!C195</f>
        <v>0</v>
      </c>
      <c r="K190" s="49" t="b">
        <f t="shared" si="9"/>
        <v>0</v>
      </c>
    </row>
    <row r="191" spans="1:11" x14ac:dyDescent="0.2">
      <c r="A19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","#",3))+1,1)&amp;"-"&amp;LEFT(Educator!B196, 3)&amp;"-"&amp;LEFT(Educator!A196, 3)&amp;"-"&amp;"2027"</f>
        <v>UID-FLH---2027</v>
      </c>
      <c r="C191" s="49">
        <f>Educator!C196</f>
        <v>0</v>
      </c>
      <c r="D191" s="49" t="b">
        <f t="shared" si="8"/>
        <v>0</v>
      </c>
      <c r="E191" s="49">
        <f>Educator!A196</f>
        <v>0</v>
      </c>
      <c r="F191" s="49">
        <f>Educator!B196</f>
        <v>0</v>
      </c>
      <c r="G191" s="49" t="str">
        <f>Educator!A196 &amp;" " &amp;Educator!B196</f>
        <v xml:space="preserve"> </v>
      </c>
      <c r="J191" s="49">
        <f>Educator!C196</f>
        <v>0</v>
      </c>
      <c r="K191" s="49" t="b">
        <f t="shared" si="9"/>
        <v>0</v>
      </c>
    </row>
    <row r="192" spans="1:11" x14ac:dyDescent="0.2">
      <c r="A19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","#",3))+1,1)&amp;"-"&amp;LEFT(Educator!B197, 3)&amp;"-"&amp;LEFT(Educator!A197, 3)&amp;"-"&amp;"2027"</f>
        <v>UID-FLH---2027</v>
      </c>
      <c r="C192" s="49">
        <f>Educator!C197</f>
        <v>0</v>
      </c>
      <c r="D192" s="49" t="b">
        <f t="shared" si="8"/>
        <v>0</v>
      </c>
      <c r="E192" s="49">
        <f>Educator!A197</f>
        <v>0</v>
      </c>
      <c r="F192" s="49">
        <f>Educator!B197</f>
        <v>0</v>
      </c>
      <c r="G192" s="49" t="str">
        <f>Educator!A197 &amp;" " &amp;Educator!B197</f>
        <v xml:space="preserve"> </v>
      </c>
      <c r="J192" s="49">
        <f>Educator!C197</f>
        <v>0</v>
      </c>
      <c r="K192" s="49" t="b">
        <f t="shared" si="9"/>
        <v>0</v>
      </c>
    </row>
    <row r="193" spans="1:11" x14ac:dyDescent="0.2">
      <c r="A19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","#",3))+1,1)&amp;"-"&amp;LEFT(Educator!B198, 3)&amp;"-"&amp;LEFT(Educator!A198, 3)&amp;"-"&amp;"2027"</f>
        <v>UID-FLH---2027</v>
      </c>
      <c r="C193" s="49">
        <f>Educator!C198</f>
        <v>0</v>
      </c>
      <c r="D193" s="49" t="b">
        <f t="shared" si="8"/>
        <v>0</v>
      </c>
      <c r="E193" s="49">
        <f>Educator!A198</f>
        <v>0</v>
      </c>
      <c r="F193" s="49">
        <f>Educator!B198</f>
        <v>0</v>
      </c>
      <c r="G193" s="49" t="str">
        <f>Educator!A198 &amp;" " &amp;Educator!B198</f>
        <v xml:space="preserve"> </v>
      </c>
      <c r="J193" s="49">
        <f>Educator!C198</f>
        <v>0</v>
      </c>
      <c r="K193" s="49" t="b">
        <f t="shared" si="9"/>
        <v>0</v>
      </c>
    </row>
    <row r="194" spans="1:11" x14ac:dyDescent="0.2">
      <c r="A19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","#",3))+1,1)&amp;"-"&amp;LEFT(Educator!B199, 3)&amp;"-"&amp;LEFT(Educator!A199, 3)&amp;"-"&amp;"2027"</f>
        <v>UID-FLH---2027</v>
      </c>
      <c r="C194" s="49">
        <f>Educator!C199</f>
        <v>0</v>
      </c>
      <c r="D194" s="49" t="b">
        <f t="shared" si="8"/>
        <v>0</v>
      </c>
      <c r="E194" s="49">
        <f>Educator!A199</f>
        <v>0</v>
      </c>
      <c r="F194" s="49">
        <f>Educator!B199</f>
        <v>0</v>
      </c>
      <c r="G194" s="49" t="str">
        <f>Educator!A199 &amp;" " &amp;Educator!B199</f>
        <v xml:space="preserve"> </v>
      </c>
      <c r="J194" s="49">
        <f>Educator!C199</f>
        <v>0</v>
      </c>
      <c r="K194" s="49" t="b">
        <f t="shared" si="9"/>
        <v>0</v>
      </c>
    </row>
    <row r="195" spans="1:11" x14ac:dyDescent="0.2">
      <c r="A19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","#",3))+1,1)&amp;"-"&amp;LEFT(Educator!B200, 3)&amp;"-"&amp;LEFT(Educator!A200, 3)&amp;"-"&amp;"2027"</f>
        <v>UID-FLH---2027</v>
      </c>
      <c r="C195" s="49">
        <f>Educator!C200</f>
        <v>0</v>
      </c>
      <c r="D195" s="49" t="b">
        <f t="shared" si="8"/>
        <v>0</v>
      </c>
      <c r="E195" s="49">
        <f>Educator!A200</f>
        <v>0</v>
      </c>
      <c r="F195" s="49">
        <f>Educator!B200</f>
        <v>0</v>
      </c>
      <c r="G195" s="49" t="str">
        <f>Educator!A200 &amp;" " &amp;Educator!B200</f>
        <v xml:space="preserve"> </v>
      </c>
      <c r="J195" s="49">
        <f>Educator!C200</f>
        <v>0</v>
      </c>
      <c r="K195" s="49" t="b">
        <f t="shared" si="9"/>
        <v>0</v>
      </c>
    </row>
    <row r="196" spans="1:11" x14ac:dyDescent="0.2">
      <c r="A19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","#",3))+1,1)&amp;"-"&amp;LEFT(Educator!B201, 3)&amp;"-"&amp;LEFT(Educator!A201, 3)&amp;"-"&amp;"2027"</f>
        <v>UID-FLH---2027</v>
      </c>
      <c r="C196" s="49">
        <f>Educator!C201</f>
        <v>0</v>
      </c>
      <c r="D196" s="49" t="b">
        <f t="shared" si="8"/>
        <v>0</v>
      </c>
      <c r="E196" s="49">
        <f>Educator!A201</f>
        <v>0</v>
      </c>
      <c r="F196" s="49">
        <f>Educator!B201</f>
        <v>0</v>
      </c>
      <c r="G196" s="49" t="str">
        <f>Educator!A201 &amp;" " &amp;Educator!B201</f>
        <v xml:space="preserve"> </v>
      </c>
      <c r="J196" s="49">
        <f>Educator!C201</f>
        <v>0</v>
      </c>
      <c r="K196" s="49" t="b">
        <f t="shared" si="9"/>
        <v>0</v>
      </c>
    </row>
    <row r="197" spans="1:11" x14ac:dyDescent="0.2">
      <c r="A19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","#",3))+1,1)&amp;"-"&amp;LEFT(Educator!B202, 3)&amp;"-"&amp;LEFT(Educator!A202, 3)&amp;"-"&amp;"2027"</f>
        <v>UID-FLH---2027</v>
      </c>
      <c r="C197" s="49">
        <f>Educator!C202</f>
        <v>0</v>
      </c>
      <c r="D197" s="49" t="b">
        <f t="shared" si="8"/>
        <v>0</v>
      </c>
      <c r="E197" s="49">
        <f>Educator!A202</f>
        <v>0</v>
      </c>
      <c r="F197" s="49">
        <f>Educator!B202</f>
        <v>0</v>
      </c>
      <c r="G197" s="49" t="str">
        <f>Educator!A202 &amp;" " &amp;Educator!B202</f>
        <v xml:space="preserve"> </v>
      </c>
      <c r="J197" s="49">
        <f>Educator!C202</f>
        <v>0</v>
      </c>
      <c r="K197" s="49" t="b">
        <f t="shared" si="9"/>
        <v>0</v>
      </c>
    </row>
    <row r="198" spans="1:11" x14ac:dyDescent="0.2">
      <c r="A19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","#",3))+1,1)&amp;"-"&amp;LEFT(Educator!B203, 3)&amp;"-"&amp;LEFT(Educator!A203, 3)&amp;"-"&amp;"2027"</f>
        <v>UID-FLH---2027</v>
      </c>
      <c r="C198" s="49">
        <f>Educator!C203</f>
        <v>0</v>
      </c>
      <c r="D198" s="49" t="b">
        <f t="shared" si="8"/>
        <v>0</v>
      </c>
      <c r="E198" s="49">
        <f>Educator!A203</f>
        <v>0</v>
      </c>
      <c r="F198" s="49">
        <f>Educator!B203</f>
        <v>0</v>
      </c>
      <c r="G198" s="49" t="str">
        <f>Educator!A203 &amp;" " &amp;Educator!B203</f>
        <v xml:space="preserve"> </v>
      </c>
      <c r="J198" s="49">
        <f>Educator!C203</f>
        <v>0</v>
      </c>
      <c r="K198" s="49" t="b">
        <f t="shared" si="9"/>
        <v>0</v>
      </c>
    </row>
    <row r="199" spans="1:11" x14ac:dyDescent="0.2">
      <c r="A19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","#",3))+1,1)&amp;"-"&amp;LEFT(Educator!B204, 3)&amp;"-"&amp;LEFT(Educator!A204, 3)&amp;"-"&amp;"2027"</f>
        <v>UID-FLH---2027</v>
      </c>
      <c r="C199" s="49">
        <f>Educator!C204</f>
        <v>0</v>
      </c>
      <c r="D199" s="49" t="b">
        <f t="shared" si="8"/>
        <v>0</v>
      </c>
      <c r="E199" s="49">
        <f>Educator!A204</f>
        <v>0</v>
      </c>
      <c r="F199" s="49">
        <f>Educator!B204</f>
        <v>0</v>
      </c>
      <c r="G199" s="49" t="str">
        <f>Educator!A204 &amp;" " &amp;Educator!B204</f>
        <v xml:space="preserve"> </v>
      </c>
      <c r="J199" s="49">
        <f>Educator!C204</f>
        <v>0</v>
      </c>
      <c r="K199" s="49" t="b">
        <f t="shared" si="9"/>
        <v>0</v>
      </c>
    </row>
    <row r="200" spans="1:11" x14ac:dyDescent="0.2">
      <c r="A20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","#",3))+1,1)&amp;"-"&amp;LEFT(Educator!B205, 3)&amp;"-"&amp;LEFT(Educator!A205, 3)&amp;"-"&amp;"2027"</f>
        <v>UID-FLH---2027</v>
      </c>
      <c r="C200" s="49">
        <f>Educator!C205</f>
        <v>0</v>
      </c>
      <c r="D200" s="49" t="b">
        <f t="shared" si="8"/>
        <v>0</v>
      </c>
      <c r="E200" s="49">
        <f>Educator!A205</f>
        <v>0</v>
      </c>
      <c r="F200" s="49">
        <f>Educator!B205</f>
        <v>0</v>
      </c>
      <c r="G200" s="49" t="str">
        <f>Educator!A205 &amp;" " &amp;Educator!B205</f>
        <v xml:space="preserve"> </v>
      </c>
      <c r="J200" s="49">
        <f>Educator!C205</f>
        <v>0</v>
      </c>
      <c r="K200" s="49" t="b">
        <f t="shared" si="9"/>
        <v>0</v>
      </c>
    </row>
    <row r="201" spans="1:11" x14ac:dyDescent="0.2">
      <c r="A20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","#",3))+1,1)&amp;"-"&amp;LEFT(Educator!B206, 3)&amp;"-"&amp;LEFT(Educator!A206, 3)&amp;"-"&amp;"2027"</f>
        <v>UID-FLH---2027</v>
      </c>
      <c r="C201" s="49">
        <f>Educator!C206</f>
        <v>0</v>
      </c>
      <c r="D201" s="49" t="b">
        <f t="shared" si="8"/>
        <v>0</v>
      </c>
      <c r="E201" s="49">
        <f>Educator!A206</f>
        <v>0</v>
      </c>
      <c r="F201" s="49">
        <f>Educator!B206</f>
        <v>0</v>
      </c>
      <c r="G201" s="49" t="str">
        <f>Educator!A206 &amp;" " &amp;Educator!B206</f>
        <v xml:space="preserve"> </v>
      </c>
      <c r="J201" s="49">
        <f>Educator!C206</f>
        <v>0</v>
      </c>
      <c r="K201" s="49" t="b">
        <f t="shared" si="9"/>
        <v>0</v>
      </c>
    </row>
    <row r="202" spans="1:11" x14ac:dyDescent="0.2">
      <c r="A20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","#",3))+1,1)&amp;"-"&amp;LEFT(Educator!B207, 3)&amp;"-"&amp;LEFT(Educator!A207, 3)&amp;"-"&amp;"2027"</f>
        <v>UID-FLH---2027</v>
      </c>
      <c r="C202" s="49">
        <f>Educator!C207</f>
        <v>0</v>
      </c>
      <c r="D202" s="49" t="b">
        <f t="shared" si="8"/>
        <v>0</v>
      </c>
      <c r="E202" s="49">
        <f>Educator!A207</f>
        <v>0</v>
      </c>
      <c r="F202" s="49">
        <f>Educator!B207</f>
        <v>0</v>
      </c>
      <c r="G202" s="49" t="str">
        <f>Educator!A207 &amp;" " &amp;Educator!B207</f>
        <v xml:space="preserve"> </v>
      </c>
      <c r="J202" s="49">
        <f>Educator!C207</f>
        <v>0</v>
      </c>
      <c r="K202" s="49" t="b">
        <f t="shared" si="9"/>
        <v>0</v>
      </c>
    </row>
    <row r="203" spans="1:11" x14ac:dyDescent="0.2">
      <c r="A20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","#",3))+1,1)&amp;"-"&amp;LEFT(Educator!B208, 3)&amp;"-"&amp;LEFT(Educator!A208, 3)&amp;"-"&amp;"2027"</f>
        <v>UID-FLH---2027</v>
      </c>
      <c r="C203" s="49">
        <f>Educator!C208</f>
        <v>0</v>
      </c>
      <c r="D203" s="49" t="b">
        <f t="shared" si="8"/>
        <v>0</v>
      </c>
      <c r="E203" s="49">
        <f>Educator!A208</f>
        <v>0</v>
      </c>
      <c r="F203" s="49">
        <f>Educator!B208</f>
        <v>0</v>
      </c>
      <c r="G203" s="49" t="str">
        <f>Educator!A208 &amp;" " &amp;Educator!B208</f>
        <v xml:space="preserve"> </v>
      </c>
      <c r="J203" s="49">
        <f>Educator!C208</f>
        <v>0</v>
      </c>
      <c r="K203" s="49" t="b">
        <f t="shared" si="9"/>
        <v>0</v>
      </c>
    </row>
    <row r="204" spans="1:11" x14ac:dyDescent="0.2">
      <c r="A20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","#",3))+1,1)&amp;"-"&amp;LEFT(Educator!B209, 3)&amp;"-"&amp;LEFT(Educator!A209, 3)&amp;"-"&amp;"2027"</f>
        <v>UID-FLH---2027</v>
      </c>
      <c r="C204" s="49">
        <f>Educator!C209</f>
        <v>0</v>
      </c>
      <c r="D204" s="49" t="b">
        <f t="shared" si="8"/>
        <v>0</v>
      </c>
      <c r="E204" s="49">
        <f>Educator!A209</f>
        <v>0</v>
      </c>
      <c r="F204" s="49">
        <f>Educator!B209</f>
        <v>0</v>
      </c>
      <c r="G204" s="49" t="str">
        <f>Educator!A209 &amp;" " &amp;Educator!B209</f>
        <v xml:space="preserve"> </v>
      </c>
      <c r="J204" s="49">
        <f>Educator!C209</f>
        <v>0</v>
      </c>
      <c r="K204" s="49" t="b">
        <f t="shared" si="9"/>
        <v>0</v>
      </c>
    </row>
    <row r="205" spans="1:11" x14ac:dyDescent="0.2">
      <c r="A20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","#",3))+1,1)&amp;"-"&amp;LEFT(Educator!B210, 3)&amp;"-"&amp;LEFT(Educator!A210, 3)&amp;"-"&amp;"2027"</f>
        <v>UID-FLH---2027</v>
      </c>
      <c r="C205" s="49">
        <f>Educator!C210</f>
        <v>0</v>
      </c>
      <c r="D205" s="49" t="b">
        <f t="shared" si="8"/>
        <v>0</v>
      </c>
      <c r="E205" s="49">
        <f>Educator!A210</f>
        <v>0</v>
      </c>
      <c r="F205" s="49">
        <f>Educator!B210</f>
        <v>0</v>
      </c>
      <c r="G205" s="49" t="str">
        <f>Educator!A210 &amp;" " &amp;Educator!B210</f>
        <v xml:space="preserve"> </v>
      </c>
      <c r="J205" s="49">
        <f>Educator!C210</f>
        <v>0</v>
      </c>
      <c r="K205" s="49" t="b">
        <f t="shared" si="9"/>
        <v>0</v>
      </c>
    </row>
    <row r="206" spans="1:11" x14ac:dyDescent="0.2">
      <c r="A20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","#",3))+1,1)&amp;"-"&amp;LEFT(Educator!B211, 3)&amp;"-"&amp;LEFT(Educator!A211, 3)&amp;"-"&amp;"2027"</f>
        <v>UID-FLH---2027</v>
      </c>
      <c r="C206" s="49">
        <f>Educator!C211</f>
        <v>0</v>
      </c>
      <c r="D206" s="49" t="b">
        <f t="shared" si="8"/>
        <v>0</v>
      </c>
      <c r="E206" s="49">
        <f>Educator!A211</f>
        <v>0</v>
      </c>
      <c r="F206" s="49">
        <f>Educator!B211</f>
        <v>0</v>
      </c>
      <c r="G206" s="49" t="str">
        <f>Educator!A211 &amp;" " &amp;Educator!B211</f>
        <v xml:space="preserve"> </v>
      </c>
      <c r="J206" s="49">
        <f>Educator!C211</f>
        <v>0</v>
      </c>
      <c r="K206" s="49" t="b">
        <f t="shared" si="9"/>
        <v>0</v>
      </c>
    </row>
    <row r="207" spans="1:11" x14ac:dyDescent="0.2">
      <c r="A20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","#",3))+1,1)&amp;"-"&amp;LEFT(Educator!B212, 3)&amp;"-"&amp;LEFT(Educator!A212, 3)&amp;"-"&amp;"2027"</f>
        <v>UID-FLH---2027</v>
      </c>
      <c r="C207" s="49">
        <f>Educator!C212</f>
        <v>0</v>
      </c>
      <c r="D207" s="49" t="b">
        <f t="shared" si="8"/>
        <v>0</v>
      </c>
      <c r="E207" s="49">
        <f>Educator!A212</f>
        <v>0</v>
      </c>
      <c r="F207" s="49">
        <f>Educator!B212</f>
        <v>0</v>
      </c>
      <c r="G207" s="49" t="str">
        <f>Educator!A212 &amp;" " &amp;Educator!B212</f>
        <v xml:space="preserve"> </v>
      </c>
      <c r="J207" s="49">
        <f>Educator!C212</f>
        <v>0</v>
      </c>
      <c r="K207" s="49" t="b">
        <f t="shared" si="9"/>
        <v>0</v>
      </c>
    </row>
    <row r="208" spans="1:11" x14ac:dyDescent="0.2">
      <c r="A20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","#",3))+1,1)&amp;"-"&amp;LEFT(Educator!B213, 3)&amp;"-"&amp;LEFT(Educator!A213, 3)&amp;"-"&amp;"2027"</f>
        <v>UID-FLH---2027</v>
      </c>
      <c r="C208" s="49">
        <f>Educator!C213</f>
        <v>0</v>
      </c>
      <c r="D208" s="49" t="b">
        <f t="shared" si="8"/>
        <v>0</v>
      </c>
      <c r="E208" s="49">
        <f>Educator!A213</f>
        <v>0</v>
      </c>
      <c r="F208" s="49">
        <f>Educator!B213</f>
        <v>0</v>
      </c>
      <c r="G208" s="49" t="str">
        <f>Educator!A213 &amp;" " &amp;Educator!B213</f>
        <v xml:space="preserve"> </v>
      </c>
      <c r="J208" s="49">
        <f>Educator!C213</f>
        <v>0</v>
      </c>
      <c r="K208" s="49" t="b">
        <f t="shared" si="9"/>
        <v>0</v>
      </c>
    </row>
    <row r="209" spans="1:11" x14ac:dyDescent="0.2">
      <c r="A20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","#",3))+1,1)&amp;"-"&amp;LEFT(Educator!B214, 3)&amp;"-"&amp;LEFT(Educator!A214, 3)&amp;"-"&amp;"2027"</f>
        <v>UID-FLH---2027</v>
      </c>
      <c r="C209" s="49">
        <f>Educator!C214</f>
        <v>0</v>
      </c>
      <c r="D209" s="49" t="b">
        <f t="shared" si="8"/>
        <v>0</v>
      </c>
      <c r="E209" s="49">
        <f>Educator!A214</f>
        <v>0</v>
      </c>
      <c r="F209" s="49">
        <f>Educator!B214</f>
        <v>0</v>
      </c>
      <c r="G209" s="49" t="str">
        <f>Educator!A214 &amp;" " &amp;Educator!B214</f>
        <v xml:space="preserve"> </v>
      </c>
      <c r="J209" s="49">
        <f>Educator!C214</f>
        <v>0</v>
      </c>
      <c r="K209" s="49" t="b">
        <f t="shared" si="9"/>
        <v>0</v>
      </c>
    </row>
    <row r="210" spans="1:11" x14ac:dyDescent="0.2">
      <c r="A21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","#",3))+1,1)&amp;"-"&amp;LEFT(Educator!B215, 3)&amp;"-"&amp;LEFT(Educator!A215, 3)&amp;"-"&amp;"2027"</f>
        <v>UID-FLH---2027</v>
      </c>
      <c r="C210" s="49">
        <f>Educator!C215</f>
        <v>0</v>
      </c>
      <c r="D210" s="49" t="b">
        <f t="shared" ref="D210:D273" si="10">IF(C210&gt;0,"topscore123")</f>
        <v>0</v>
      </c>
      <c r="E210" s="49">
        <f>Educator!A215</f>
        <v>0</v>
      </c>
      <c r="F210" s="49">
        <f>Educator!B215</f>
        <v>0</v>
      </c>
      <c r="G210" s="49" t="str">
        <f>Educator!A215 &amp;" " &amp;Educator!B215</f>
        <v xml:space="preserve"> </v>
      </c>
      <c r="J210" s="49">
        <f>Educator!C215</f>
        <v>0</v>
      </c>
      <c r="K210" s="49" t="b">
        <f t="shared" ref="K210:K273" si="11">IF(C210&gt;0,"active")</f>
        <v>0</v>
      </c>
    </row>
    <row r="211" spans="1:11" x14ac:dyDescent="0.2">
      <c r="A21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","#",3))+1,1)&amp;"-"&amp;LEFT(Educator!B216, 3)&amp;"-"&amp;LEFT(Educator!A216, 3)&amp;"-"&amp;"2027"</f>
        <v>UID-FLH---2027</v>
      </c>
      <c r="C211" s="49">
        <f>Educator!C216</f>
        <v>0</v>
      </c>
      <c r="D211" s="49" t="b">
        <f t="shared" si="10"/>
        <v>0</v>
      </c>
      <c r="E211" s="49">
        <f>Educator!A216</f>
        <v>0</v>
      </c>
      <c r="F211" s="49">
        <f>Educator!B216</f>
        <v>0</v>
      </c>
      <c r="G211" s="49" t="str">
        <f>Educator!A216 &amp;" " &amp;Educator!B216</f>
        <v xml:space="preserve"> </v>
      </c>
      <c r="J211" s="49">
        <f>Educator!C216</f>
        <v>0</v>
      </c>
      <c r="K211" s="49" t="b">
        <f t="shared" si="11"/>
        <v>0</v>
      </c>
    </row>
    <row r="212" spans="1:11" x14ac:dyDescent="0.2">
      <c r="A21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","#",3))+1,1)&amp;"-"&amp;LEFT(Educator!B217, 3)&amp;"-"&amp;LEFT(Educator!A217, 3)&amp;"-"&amp;"2027"</f>
        <v>UID-FLH---2027</v>
      </c>
      <c r="C212" s="49">
        <f>Educator!C217</f>
        <v>0</v>
      </c>
      <c r="D212" s="49" t="b">
        <f t="shared" si="10"/>
        <v>0</v>
      </c>
      <c r="E212" s="49">
        <f>Educator!A217</f>
        <v>0</v>
      </c>
      <c r="F212" s="49">
        <f>Educator!B217</f>
        <v>0</v>
      </c>
      <c r="G212" s="49" t="str">
        <f>Educator!A217 &amp;" " &amp;Educator!B217</f>
        <v xml:space="preserve"> </v>
      </c>
      <c r="J212" s="49">
        <f>Educator!C217</f>
        <v>0</v>
      </c>
      <c r="K212" s="49" t="b">
        <f t="shared" si="11"/>
        <v>0</v>
      </c>
    </row>
    <row r="213" spans="1:11" x14ac:dyDescent="0.2">
      <c r="A21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","#",3))+1,1)&amp;"-"&amp;LEFT(Educator!B218, 3)&amp;"-"&amp;LEFT(Educator!A218, 3)&amp;"-"&amp;"2027"</f>
        <v>UID-FLH---2027</v>
      </c>
      <c r="C213" s="49">
        <f>Educator!C218</f>
        <v>0</v>
      </c>
      <c r="D213" s="49" t="b">
        <f t="shared" si="10"/>
        <v>0</v>
      </c>
      <c r="E213" s="49">
        <f>Educator!A218</f>
        <v>0</v>
      </c>
      <c r="F213" s="49">
        <f>Educator!B218</f>
        <v>0</v>
      </c>
      <c r="G213" s="49" t="str">
        <f>Educator!A218 &amp;" " &amp;Educator!B218</f>
        <v xml:space="preserve"> </v>
      </c>
      <c r="J213" s="49">
        <f>Educator!C218</f>
        <v>0</v>
      </c>
      <c r="K213" s="49" t="b">
        <f t="shared" si="11"/>
        <v>0</v>
      </c>
    </row>
    <row r="214" spans="1:11" x14ac:dyDescent="0.2">
      <c r="A21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","#",3))+1,1)&amp;"-"&amp;LEFT(Educator!B219, 3)&amp;"-"&amp;LEFT(Educator!A219, 3)&amp;"-"&amp;"2027"</f>
        <v>UID-FLH---2027</v>
      </c>
      <c r="C214" s="49">
        <f>Educator!C219</f>
        <v>0</v>
      </c>
      <c r="D214" s="49" t="b">
        <f t="shared" si="10"/>
        <v>0</v>
      </c>
      <c r="E214" s="49">
        <f>Educator!A219</f>
        <v>0</v>
      </c>
      <c r="F214" s="49">
        <f>Educator!B219</f>
        <v>0</v>
      </c>
      <c r="G214" s="49" t="str">
        <f>Educator!A219 &amp;" " &amp;Educator!B219</f>
        <v xml:space="preserve"> </v>
      </c>
      <c r="J214" s="49">
        <f>Educator!C219</f>
        <v>0</v>
      </c>
      <c r="K214" s="49" t="b">
        <f t="shared" si="11"/>
        <v>0</v>
      </c>
    </row>
    <row r="215" spans="1:11" x14ac:dyDescent="0.2">
      <c r="A21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","#",3))+1,1)&amp;"-"&amp;LEFT(Educator!B220, 3)&amp;"-"&amp;LEFT(Educator!A220, 3)&amp;"-"&amp;"2027"</f>
        <v>UID-FLH---2027</v>
      </c>
      <c r="C215" s="49">
        <f>Educator!C220</f>
        <v>0</v>
      </c>
      <c r="D215" s="49" t="b">
        <f t="shared" si="10"/>
        <v>0</v>
      </c>
      <c r="E215" s="49">
        <f>Educator!A220</f>
        <v>0</v>
      </c>
      <c r="F215" s="49">
        <f>Educator!B220</f>
        <v>0</v>
      </c>
      <c r="G215" s="49" t="str">
        <f>Educator!A220 &amp;" " &amp;Educator!B220</f>
        <v xml:space="preserve"> </v>
      </c>
      <c r="J215" s="49">
        <f>Educator!C220</f>
        <v>0</v>
      </c>
      <c r="K215" s="49" t="b">
        <f t="shared" si="11"/>
        <v>0</v>
      </c>
    </row>
    <row r="216" spans="1:11" x14ac:dyDescent="0.2">
      <c r="A21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","#",3))+1,1)&amp;"-"&amp;LEFT(Educator!B221, 3)&amp;"-"&amp;LEFT(Educator!A221, 3)&amp;"-"&amp;"2027"</f>
        <v>UID-FLH---2027</v>
      </c>
      <c r="C216" s="49">
        <f>Educator!C221</f>
        <v>0</v>
      </c>
      <c r="D216" s="49" t="b">
        <f t="shared" si="10"/>
        <v>0</v>
      </c>
      <c r="E216" s="49">
        <f>Educator!A221</f>
        <v>0</v>
      </c>
      <c r="F216" s="49">
        <f>Educator!B221</f>
        <v>0</v>
      </c>
      <c r="G216" s="49" t="str">
        <f>Educator!A221 &amp;" " &amp;Educator!B221</f>
        <v xml:space="preserve"> </v>
      </c>
      <c r="J216" s="49">
        <f>Educator!C221</f>
        <v>0</v>
      </c>
      <c r="K216" s="49" t="b">
        <f t="shared" si="11"/>
        <v>0</v>
      </c>
    </row>
    <row r="217" spans="1:11" x14ac:dyDescent="0.2">
      <c r="A21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","#",3))+1,1)&amp;"-"&amp;LEFT(Educator!B222, 3)&amp;"-"&amp;LEFT(Educator!A222, 3)&amp;"-"&amp;"2027"</f>
        <v>UID-FLH---2027</v>
      </c>
      <c r="C217" s="49">
        <f>Educator!C222</f>
        <v>0</v>
      </c>
      <c r="D217" s="49" t="b">
        <f t="shared" si="10"/>
        <v>0</v>
      </c>
      <c r="E217" s="49">
        <f>Educator!A222</f>
        <v>0</v>
      </c>
      <c r="F217" s="49">
        <f>Educator!B222</f>
        <v>0</v>
      </c>
      <c r="G217" s="49" t="str">
        <f>Educator!A222 &amp;" " &amp;Educator!B222</f>
        <v xml:space="preserve"> </v>
      </c>
      <c r="J217" s="49">
        <f>Educator!C222</f>
        <v>0</v>
      </c>
      <c r="K217" s="49" t="b">
        <f t="shared" si="11"/>
        <v>0</v>
      </c>
    </row>
    <row r="218" spans="1:11" x14ac:dyDescent="0.2">
      <c r="A21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","#",3))+1,1)&amp;"-"&amp;LEFT(Educator!B223, 3)&amp;"-"&amp;LEFT(Educator!A223, 3)&amp;"-"&amp;"2027"</f>
        <v>UID-FLH---2027</v>
      </c>
      <c r="C218" s="49">
        <f>Educator!C223</f>
        <v>0</v>
      </c>
      <c r="D218" s="49" t="b">
        <f t="shared" si="10"/>
        <v>0</v>
      </c>
      <c r="E218" s="49">
        <f>Educator!A223</f>
        <v>0</v>
      </c>
      <c r="F218" s="49">
        <f>Educator!B223</f>
        <v>0</v>
      </c>
      <c r="G218" s="49" t="str">
        <f>Educator!A223 &amp;" " &amp;Educator!B223</f>
        <v xml:space="preserve"> </v>
      </c>
      <c r="J218" s="49">
        <f>Educator!C223</f>
        <v>0</v>
      </c>
      <c r="K218" s="49" t="b">
        <f t="shared" si="11"/>
        <v>0</v>
      </c>
    </row>
    <row r="219" spans="1:11" x14ac:dyDescent="0.2">
      <c r="A21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","#",3))+1,1)&amp;"-"&amp;LEFT(Educator!B224, 3)&amp;"-"&amp;LEFT(Educator!A224, 3)&amp;"-"&amp;"2027"</f>
        <v>UID-FLH---2027</v>
      </c>
      <c r="C219" s="49">
        <f>Educator!C224</f>
        <v>0</v>
      </c>
      <c r="D219" s="49" t="b">
        <f t="shared" si="10"/>
        <v>0</v>
      </c>
      <c r="E219" s="49">
        <f>Educator!A224</f>
        <v>0</v>
      </c>
      <c r="F219" s="49">
        <f>Educator!B224</f>
        <v>0</v>
      </c>
      <c r="G219" s="49" t="str">
        <f>Educator!A224 &amp;" " &amp;Educator!B224</f>
        <v xml:space="preserve"> </v>
      </c>
      <c r="J219" s="49">
        <f>Educator!C224</f>
        <v>0</v>
      </c>
      <c r="K219" s="49" t="b">
        <f t="shared" si="11"/>
        <v>0</v>
      </c>
    </row>
    <row r="220" spans="1:11" x14ac:dyDescent="0.2">
      <c r="A22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","#",3))+1,1)&amp;"-"&amp;LEFT(Educator!B225, 3)&amp;"-"&amp;LEFT(Educator!A225, 3)&amp;"-"&amp;"2027"</f>
        <v>UID-FLH---2027</v>
      </c>
      <c r="C220" s="49">
        <f>Educator!C225</f>
        <v>0</v>
      </c>
      <c r="D220" s="49" t="b">
        <f t="shared" si="10"/>
        <v>0</v>
      </c>
      <c r="E220" s="49">
        <f>Educator!A225</f>
        <v>0</v>
      </c>
      <c r="F220" s="49">
        <f>Educator!B225</f>
        <v>0</v>
      </c>
      <c r="G220" s="49" t="str">
        <f>Educator!A225 &amp;" " &amp;Educator!B225</f>
        <v xml:space="preserve"> </v>
      </c>
      <c r="J220" s="49">
        <f>Educator!C225</f>
        <v>0</v>
      </c>
      <c r="K220" s="49" t="b">
        <f t="shared" si="11"/>
        <v>0</v>
      </c>
    </row>
    <row r="221" spans="1:11" x14ac:dyDescent="0.2">
      <c r="A22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","#",3))+1,1)&amp;"-"&amp;LEFT(Educator!B226, 3)&amp;"-"&amp;LEFT(Educator!A226, 3)&amp;"-"&amp;"2027"</f>
        <v>UID-FLH---2027</v>
      </c>
      <c r="C221" s="49">
        <f>Educator!C226</f>
        <v>0</v>
      </c>
      <c r="D221" s="49" t="b">
        <f t="shared" si="10"/>
        <v>0</v>
      </c>
      <c r="E221" s="49">
        <f>Educator!A226</f>
        <v>0</v>
      </c>
      <c r="F221" s="49">
        <f>Educator!B226</f>
        <v>0</v>
      </c>
      <c r="G221" s="49" t="str">
        <f>Educator!A226 &amp;" " &amp;Educator!B226</f>
        <v xml:space="preserve"> </v>
      </c>
      <c r="J221" s="49">
        <f>Educator!C226</f>
        <v>0</v>
      </c>
      <c r="K221" s="49" t="b">
        <f t="shared" si="11"/>
        <v>0</v>
      </c>
    </row>
    <row r="222" spans="1:11" x14ac:dyDescent="0.2">
      <c r="A22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","#",3))+1,1)&amp;"-"&amp;LEFT(Educator!B227, 3)&amp;"-"&amp;LEFT(Educator!A227, 3)&amp;"-"&amp;"2027"</f>
        <v>UID-FLH---2027</v>
      </c>
      <c r="C222" s="49">
        <f>Educator!C227</f>
        <v>0</v>
      </c>
      <c r="D222" s="49" t="b">
        <f t="shared" si="10"/>
        <v>0</v>
      </c>
      <c r="E222" s="49">
        <f>Educator!A227</f>
        <v>0</v>
      </c>
      <c r="F222" s="49">
        <f>Educator!B227</f>
        <v>0</v>
      </c>
      <c r="G222" s="49" t="str">
        <f>Educator!A227 &amp;" " &amp;Educator!B227</f>
        <v xml:space="preserve"> </v>
      </c>
      <c r="J222" s="49">
        <f>Educator!C227</f>
        <v>0</v>
      </c>
      <c r="K222" s="49" t="b">
        <f t="shared" si="11"/>
        <v>0</v>
      </c>
    </row>
    <row r="223" spans="1:11" x14ac:dyDescent="0.2">
      <c r="A22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","#",3))+1,1)&amp;"-"&amp;LEFT(Educator!B228, 3)&amp;"-"&amp;LEFT(Educator!A228, 3)&amp;"-"&amp;"2027"</f>
        <v>UID-FLH---2027</v>
      </c>
      <c r="C223" s="49">
        <f>Educator!C228</f>
        <v>0</v>
      </c>
      <c r="D223" s="49" t="b">
        <f t="shared" si="10"/>
        <v>0</v>
      </c>
      <c r="E223" s="49">
        <f>Educator!A228</f>
        <v>0</v>
      </c>
      <c r="F223" s="49">
        <f>Educator!B228</f>
        <v>0</v>
      </c>
      <c r="G223" s="49" t="str">
        <f>Educator!A228 &amp;" " &amp;Educator!B228</f>
        <v xml:space="preserve"> </v>
      </c>
      <c r="J223" s="49">
        <f>Educator!C228</f>
        <v>0</v>
      </c>
      <c r="K223" s="49" t="b">
        <f t="shared" si="11"/>
        <v>0</v>
      </c>
    </row>
    <row r="224" spans="1:11" x14ac:dyDescent="0.2">
      <c r="A22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","#",3))+1,1)&amp;"-"&amp;LEFT(Educator!B229, 3)&amp;"-"&amp;LEFT(Educator!A229, 3)&amp;"-"&amp;"2027"</f>
        <v>UID-FLH---2027</v>
      </c>
      <c r="C224" s="49">
        <f>Educator!C229</f>
        <v>0</v>
      </c>
      <c r="D224" s="49" t="b">
        <f t="shared" si="10"/>
        <v>0</v>
      </c>
      <c r="E224" s="49">
        <f>Educator!A229</f>
        <v>0</v>
      </c>
      <c r="F224" s="49">
        <f>Educator!B229</f>
        <v>0</v>
      </c>
      <c r="G224" s="49" t="str">
        <f>Educator!A229 &amp;" " &amp;Educator!B229</f>
        <v xml:space="preserve"> </v>
      </c>
      <c r="J224" s="49">
        <f>Educator!C229</f>
        <v>0</v>
      </c>
      <c r="K224" s="49" t="b">
        <f t="shared" si="11"/>
        <v>0</v>
      </c>
    </row>
    <row r="225" spans="1:11" x14ac:dyDescent="0.2">
      <c r="A22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","#",3))+1,1)&amp;"-"&amp;LEFT(Educator!B230, 3)&amp;"-"&amp;LEFT(Educator!A230, 3)&amp;"-"&amp;"2027"</f>
        <v>UID-FLH---2027</v>
      </c>
      <c r="C225" s="49">
        <f>Educator!C230</f>
        <v>0</v>
      </c>
      <c r="D225" s="49" t="b">
        <f t="shared" si="10"/>
        <v>0</v>
      </c>
      <c r="E225" s="49">
        <f>Educator!A230</f>
        <v>0</v>
      </c>
      <c r="F225" s="49">
        <f>Educator!B230</f>
        <v>0</v>
      </c>
      <c r="G225" s="49" t="str">
        <f>Educator!A230 &amp;" " &amp;Educator!B230</f>
        <v xml:space="preserve"> </v>
      </c>
      <c r="J225" s="49">
        <f>Educator!C230</f>
        <v>0</v>
      </c>
      <c r="K225" s="49" t="b">
        <f t="shared" si="11"/>
        <v>0</v>
      </c>
    </row>
    <row r="226" spans="1:11" x14ac:dyDescent="0.2">
      <c r="A22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","#",3))+1,1)&amp;"-"&amp;LEFT(Educator!B231, 3)&amp;"-"&amp;LEFT(Educator!A231, 3)&amp;"-"&amp;"2027"</f>
        <v>UID-FLH---2027</v>
      </c>
      <c r="C226" s="49">
        <f>Educator!C231</f>
        <v>0</v>
      </c>
      <c r="D226" s="49" t="b">
        <f t="shared" si="10"/>
        <v>0</v>
      </c>
      <c r="E226" s="49">
        <f>Educator!A231</f>
        <v>0</v>
      </c>
      <c r="F226" s="49">
        <f>Educator!B231</f>
        <v>0</v>
      </c>
      <c r="G226" s="49" t="str">
        <f>Educator!A231 &amp;" " &amp;Educator!B231</f>
        <v xml:space="preserve"> </v>
      </c>
      <c r="J226" s="49">
        <f>Educator!C231</f>
        <v>0</v>
      </c>
      <c r="K226" s="49" t="b">
        <f t="shared" si="11"/>
        <v>0</v>
      </c>
    </row>
    <row r="227" spans="1:11" x14ac:dyDescent="0.2">
      <c r="A22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","#",3))+1,1)&amp;"-"&amp;LEFT(Educator!B232, 3)&amp;"-"&amp;LEFT(Educator!A232, 3)&amp;"-"&amp;"2027"</f>
        <v>UID-FLH---2027</v>
      </c>
      <c r="C227" s="49">
        <f>Educator!C232</f>
        <v>0</v>
      </c>
      <c r="D227" s="49" t="b">
        <f t="shared" si="10"/>
        <v>0</v>
      </c>
      <c r="E227" s="49">
        <f>Educator!A232</f>
        <v>0</v>
      </c>
      <c r="F227" s="49">
        <f>Educator!B232</f>
        <v>0</v>
      </c>
      <c r="G227" s="49" t="str">
        <f>Educator!A232 &amp;" " &amp;Educator!B232</f>
        <v xml:space="preserve"> </v>
      </c>
      <c r="J227" s="49">
        <f>Educator!C232</f>
        <v>0</v>
      </c>
      <c r="K227" s="49" t="b">
        <f t="shared" si="11"/>
        <v>0</v>
      </c>
    </row>
    <row r="228" spans="1:11" x14ac:dyDescent="0.2">
      <c r="A22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","#",3))+1,1)&amp;"-"&amp;LEFT(Educator!B233, 3)&amp;"-"&amp;LEFT(Educator!A233, 3)&amp;"-"&amp;"2027"</f>
        <v>UID-FLH---2027</v>
      </c>
      <c r="C228" s="49">
        <f>Educator!C233</f>
        <v>0</v>
      </c>
      <c r="D228" s="49" t="b">
        <f t="shared" si="10"/>
        <v>0</v>
      </c>
      <c r="E228" s="49">
        <f>Educator!A233</f>
        <v>0</v>
      </c>
      <c r="F228" s="49">
        <f>Educator!B233</f>
        <v>0</v>
      </c>
      <c r="G228" s="49" t="str">
        <f>Educator!A233 &amp;" " &amp;Educator!B233</f>
        <v xml:space="preserve"> </v>
      </c>
      <c r="J228" s="49">
        <f>Educator!C233</f>
        <v>0</v>
      </c>
      <c r="K228" s="49" t="b">
        <f t="shared" si="11"/>
        <v>0</v>
      </c>
    </row>
    <row r="229" spans="1:11" x14ac:dyDescent="0.2">
      <c r="A22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","#",3))+1,1)&amp;"-"&amp;LEFT(Educator!B234, 3)&amp;"-"&amp;LEFT(Educator!A234, 3)&amp;"-"&amp;"2027"</f>
        <v>UID-FLH---2027</v>
      </c>
      <c r="C229" s="49">
        <f>Educator!C234</f>
        <v>0</v>
      </c>
      <c r="D229" s="49" t="b">
        <f t="shared" si="10"/>
        <v>0</v>
      </c>
      <c r="E229" s="49">
        <f>Educator!A234</f>
        <v>0</v>
      </c>
      <c r="F229" s="49">
        <f>Educator!B234</f>
        <v>0</v>
      </c>
      <c r="G229" s="49" t="str">
        <f>Educator!A234 &amp;" " &amp;Educator!B234</f>
        <v xml:space="preserve"> </v>
      </c>
      <c r="J229" s="49">
        <f>Educator!C234</f>
        <v>0</v>
      </c>
      <c r="K229" s="49" t="b">
        <f t="shared" si="11"/>
        <v>0</v>
      </c>
    </row>
    <row r="230" spans="1:11" x14ac:dyDescent="0.2">
      <c r="A23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","#",3))+1,1)&amp;"-"&amp;LEFT(Educator!B235, 3)&amp;"-"&amp;LEFT(Educator!A235, 3)&amp;"-"&amp;"2027"</f>
        <v>UID-FLH---2027</v>
      </c>
      <c r="C230" s="49">
        <f>Educator!C235</f>
        <v>0</v>
      </c>
      <c r="D230" s="49" t="b">
        <f t="shared" si="10"/>
        <v>0</v>
      </c>
      <c r="E230" s="49">
        <f>Educator!A235</f>
        <v>0</v>
      </c>
      <c r="F230" s="49">
        <f>Educator!B235</f>
        <v>0</v>
      </c>
      <c r="G230" s="49" t="str">
        <f>Educator!A235 &amp;" " &amp;Educator!B235</f>
        <v xml:space="preserve"> </v>
      </c>
      <c r="J230" s="49">
        <f>Educator!C235</f>
        <v>0</v>
      </c>
      <c r="K230" s="49" t="b">
        <f t="shared" si="11"/>
        <v>0</v>
      </c>
    </row>
    <row r="231" spans="1:11" x14ac:dyDescent="0.2">
      <c r="A23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","#",3))+1,1)&amp;"-"&amp;LEFT(Educator!B236, 3)&amp;"-"&amp;LEFT(Educator!A236, 3)&amp;"-"&amp;"2027"</f>
        <v>UID-FLH---2027</v>
      </c>
      <c r="C231" s="49">
        <f>Educator!C236</f>
        <v>0</v>
      </c>
      <c r="D231" s="49" t="b">
        <f t="shared" si="10"/>
        <v>0</v>
      </c>
      <c r="E231" s="49">
        <f>Educator!A236</f>
        <v>0</v>
      </c>
      <c r="F231" s="49">
        <f>Educator!B236</f>
        <v>0</v>
      </c>
      <c r="G231" s="49" t="str">
        <f>Educator!A236 &amp;" " &amp;Educator!B236</f>
        <v xml:space="preserve"> </v>
      </c>
      <c r="J231" s="49">
        <f>Educator!C236</f>
        <v>0</v>
      </c>
      <c r="K231" s="49" t="b">
        <f t="shared" si="11"/>
        <v>0</v>
      </c>
    </row>
    <row r="232" spans="1:11" x14ac:dyDescent="0.2">
      <c r="A23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","#",3))+1,1)&amp;"-"&amp;LEFT(Educator!B237, 3)&amp;"-"&amp;LEFT(Educator!A237, 3)&amp;"-"&amp;"2027"</f>
        <v>UID-FLH---2027</v>
      </c>
      <c r="C232" s="49">
        <f>Educator!C237</f>
        <v>0</v>
      </c>
      <c r="D232" s="49" t="b">
        <f t="shared" si="10"/>
        <v>0</v>
      </c>
      <c r="E232" s="49">
        <f>Educator!A237</f>
        <v>0</v>
      </c>
      <c r="F232" s="49">
        <f>Educator!B237</f>
        <v>0</v>
      </c>
      <c r="G232" s="49" t="str">
        <f>Educator!A237 &amp;" " &amp;Educator!B237</f>
        <v xml:space="preserve"> </v>
      </c>
      <c r="J232" s="49">
        <f>Educator!C237</f>
        <v>0</v>
      </c>
      <c r="K232" s="49" t="b">
        <f t="shared" si="11"/>
        <v>0</v>
      </c>
    </row>
    <row r="233" spans="1:11" x14ac:dyDescent="0.2">
      <c r="A23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","#",3))+1,1)&amp;"-"&amp;LEFT(Educator!B238, 3)&amp;"-"&amp;LEFT(Educator!A238, 3)&amp;"-"&amp;"2027"</f>
        <v>UID-FLH---2027</v>
      </c>
      <c r="C233" s="49">
        <f>Educator!C238</f>
        <v>0</v>
      </c>
      <c r="D233" s="49" t="b">
        <f t="shared" si="10"/>
        <v>0</v>
      </c>
      <c r="E233" s="49">
        <f>Educator!A238</f>
        <v>0</v>
      </c>
      <c r="F233" s="49">
        <f>Educator!B238</f>
        <v>0</v>
      </c>
      <c r="G233" s="49" t="str">
        <f>Educator!A238 &amp;" " &amp;Educator!B238</f>
        <v xml:space="preserve"> </v>
      </c>
      <c r="J233" s="49">
        <f>Educator!C238</f>
        <v>0</v>
      </c>
      <c r="K233" s="49" t="b">
        <f t="shared" si="11"/>
        <v>0</v>
      </c>
    </row>
    <row r="234" spans="1:11" x14ac:dyDescent="0.2">
      <c r="A23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","#",3))+1,1)&amp;"-"&amp;LEFT(Educator!B239, 3)&amp;"-"&amp;LEFT(Educator!A239, 3)&amp;"-"&amp;"2027"</f>
        <v>UID-FLH---2027</v>
      </c>
      <c r="C234" s="49">
        <f>Educator!C239</f>
        <v>0</v>
      </c>
      <c r="D234" s="49" t="b">
        <f t="shared" si="10"/>
        <v>0</v>
      </c>
      <c r="E234" s="49">
        <f>Educator!A239</f>
        <v>0</v>
      </c>
      <c r="F234" s="49">
        <f>Educator!B239</f>
        <v>0</v>
      </c>
      <c r="G234" s="49" t="str">
        <f>Educator!A239 &amp;" " &amp;Educator!B239</f>
        <v xml:space="preserve"> </v>
      </c>
      <c r="J234" s="49">
        <f>Educator!C239</f>
        <v>0</v>
      </c>
      <c r="K234" s="49" t="b">
        <f t="shared" si="11"/>
        <v>0</v>
      </c>
    </row>
    <row r="235" spans="1:11" x14ac:dyDescent="0.2">
      <c r="A23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","#",3))+1,1)&amp;"-"&amp;LEFT(Educator!B240, 3)&amp;"-"&amp;LEFT(Educator!A240, 3)&amp;"-"&amp;"2027"</f>
        <v>UID-FLH---2027</v>
      </c>
      <c r="C235" s="49">
        <f>Educator!C240</f>
        <v>0</v>
      </c>
      <c r="D235" s="49" t="b">
        <f t="shared" si="10"/>
        <v>0</v>
      </c>
      <c r="E235" s="49">
        <f>Educator!A240</f>
        <v>0</v>
      </c>
      <c r="F235" s="49">
        <f>Educator!B240</f>
        <v>0</v>
      </c>
      <c r="G235" s="49" t="str">
        <f>Educator!A240 &amp;" " &amp;Educator!B240</f>
        <v xml:space="preserve"> </v>
      </c>
      <c r="J235" s="49">
        <f>Educator!C240</f>
        <v>0</v>
      </c>
      <c r="K235" s="49" t="b">
        <f t="shared" si="11"/>
        <v>0</v>
      </c>
    </row>
    <row r="236" spans="1:11" x14ac:dyDescent="0.2">
      <c r="A23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","#",3))+1,1)&amp;"-"&amp;LEFT(Educator!B241, 3)&amp;"-"&amp;LEFT(Educator!A241, 3)&amp;"-"&amp;"2027"</f>
        <v>UID-FLH---2027</v>
      </c>
      <c r="C236" s="49">
        <f>Educator!C241</f>
        <v>0</v>
      </c>
      <c r="D236" s="49" t="b">
        <f t="shared" si="10"/>
        <v>0</v>
      </c>
      <c r="E236" s="49">
        <f>Educator!A241</f>
        <v>0</v>
      </c>
      <c r="F236" s="49">
        <f>Educator!B241</f>
        <v>0</v>
      </c>
      <c r="G236" s="49" t="str">
        <f>Educator!A241 &amp;" " &amp;Educator!B241</f>
        <v xml:space="preserve"> </v>
      </c>
      <c r="J236" s="49">
        <f>Educator!C241</f>
        <v>0</v>
      </c>
      <c r="K236" s="49" t="b">
        <f t="shared" si="11"/>
        <v>0</v>
      </c>
    </row>
    <row r="237" spans="1:11" x14ac:dyDescent="0.2">
      <c r="A23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","#",3))+1,1)&amp;"-"&amp;LEFT(Educator!B242, 3)&amp;"-"&amp;LEFT(Educator!A242, 3)&amp;"-"&amp;"2027"</f>
        <v>UID-FLH---2027</v>
      </c>
      <c r="C237" s="49">
        <f>Educator!C242</f>
        <v>0</v>
      </c>
      <c r="D237" s="49" t="b">
        <f t="shared" si="10"/>
        <v>0</v>
      </c>
      <c r="E237" s="49">
        <f>Educator!A242</f>
        <v>0</v>
      </c>
      <c r="F237" s="49">
        <f>Educator!B242</f>
        <v>0</v>
      </c>
      <c r="G237" s="49" t="str">
        <f>Educator!A242 &amp;" " &amp;Educator!B242</f>
        <v xml:space="preserve"> </v>
      </c>
      <c r="J237" s="49">
        <f>Educator!C242</f>
        <v>0</v>
      </c>
      <c r="K237" s="49" t="b">
        <f t="shared" si="11"/>
        <v>0</v>
      </c>
    </row>
    <row r="238" spans="1:11" x14ac:dyDescent="0.2">
      <c r="A23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","#",3))+1,1)&amp;"-"&amp;LEFT(Educator!B243, 3)&amp;"-"&amp;LEFT(Educator!A243, 3)&amp;"-"&amp;"2027"</f>
        <v>UID-FLH---2027</v>
      </c>
      <c r="C238" s="49">
        <f>Educator!C243</f>
        <v>0</v>
      </c>
      <c r="D238" s="49" t="b">
        <f t="shared" si="10"/>
        <v>0</v>
      </c>
      <c r="E238" s="49">
        <f>Educator!A243</f>
        <v>0</v>
      </c>
      <c r="F238" s="49">
        <f>Educator!B243</f>
        <v>0</v>
      </c>
      <c r="G238" s="49" t="str">
        <f>Educator!A243 &amp;" " &amp;Educator!B243</f>
        <v xml:space="preserve"> </v>
      </c>
      <c r="J238" s="49">
        <f>Educator!C243</f>
        <v>0</v>
      </c>
      <c r="K238" s="49" t="b">
        <f t="shared" si="11"/>
        <v>0</v>
      </c>
    </row>
    <row r="239" spans="1:11" x14ac:dyDescent="0.2">
      <c r="A23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","#",3))+1,1)&amp;"-"&amp;LEFT(Educator!B244, 3)&amp;"-"&amp;LEFT(Educator!A244, 3)&amp;"-"&amp;"2027"</f>
        <v>UID-FLH---2027</v>
      </c>
      <c r="C239" s="49">
        <f>Educator!C244</f>
        <v>0</v>
      </c>
      <c r="D239" s="49" t="b">
        <f t="shared" si="10"/>
        <v>0</v>
      </c>
      <c r="E239" s="49">
        <f>Educator!A244</f>
        <v>0</v>
      </c>
      <c r="F239" s="49">
        <f>Educator!B244</f>
        <v>0</v>
      </c>
      <c r="G239" s="49" t="str">
        <f>Educator!A244 &amp;" " &amp;Educator!B244</f>
        <v xml:space="preserve"> </v>
      </c>
      <c r="J239" s="49">
        <f>Educator!C244</f>
        <v>0</v>
      </c>
      <c r="K239" s="49" t="b">
        <f t="shared" si="11"/>
        <v>0</v>
      </c>
    </row>
    <row r="240" spans="1:11" x14ac:dyDescent="0.2">
      <c r="A24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","#",3))+1,1)&amp;"-"&amp;LEFT(Educator!B245, 3)&amp;"-"&amp;LEFT(Educator!A245, 3)&amp;"-"&amp;"2027"</f>
        <v>UID-FLH---2027</v>
      </c>
      <c r="C240" s="49">
        <f>Educator!C245</f>
        <v>0</v>
      </c>
      <c r="D240" s="49" t="b">
        <f t="shared" si="10"/>
        <v>0</v>
      </c>
      <c r="E240" s="49">
        <f>Educator!A245</f>
        <v>0</v>
      </c>
      <c r="F240" s="49">
        <f>Educator!B245</f>
        <v>0</v>
      </c>
      <c r="G240" s="49" t="str">
        <f>Educator!A245 &amp;" " &amp;Educator!B245</f>
        <v xml:space="preserve"> </v>
      </c>
      <c r="J240" s="49">
        <f>Educator!C245</f>
        <v>0</v>
      </c>
      <c r="K240" s="49" t="b">
        <f t="shared" si="11"/>
        <v>0</v>
      </c>
    </row>
    <row r="241" spans="1:11" x14ac:dyDescent="0.2">
      <c r="A24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","#",3))+1,1)&amp;"-"&amp;LEFT(Educator!B246, 3)&amp;"-"&amp;LEFT(Educator!A246, 3)&amp;"-"&amp;"2027"</f>
        <v>UID-FLH---2027</v>
      </c>
      <c r="C241" s="49">
        <f>Educator!C246</f>
        <v>0</v>
      </c>
      <c r="D241" s="49" t="b">
        <f t="shared" si="10"/>
        <v>0</v>
      </c>
      <c r="E241" s="49">
        <f>Educator!A246</f>
        <v>0</v>
      </c>
      <c r="F241" s="49">
        <f>Educator!B246</f>
        <v>0</v>
      </c>
      <c r="G241" s="49" t="str">
        <f>Educator!A246 &amp;" " &amp;Educator!B246</f>
        <v xml:space="preserve"> </v>
      </c>
      <c r="J241" s="49">
        <f>Educator!C246</f>
        <v>0</v>
      </c>
      <c r="K241" s="49" t="b">
        <f t="shared" si="11"/>
        <v>0</v>
      </c>
    </row>
    <row r="242" spans="1:11" x14ac:dyDescent="0.2">
      <c r="A24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","#",3))+1,1)&amp;"-"&amp;LEFT(Educator!B247, 3)&amp;"-"&amp;LEFT(Educator!A247, 3)&amp;"-"&amp;"2027"</f>
        <v>UID-FLH---2027</v>
      </c>
      <c r="C242" s="49">
        <f>Educator!C247</f>
        <v>0</v>
      </c>
      <c r="D242" s="49" t="b">
        <f t="shared" si="10"/>
        <v>0</v>
      </c>
      <c r="E242" s="49">
        <f>Educator!A247</f>
        <v>0</v>
      </c>
      <c r="F242" s="49">
        <f>Educator!B247</f>
        <v>0</v>
      </c>
      <c r="G242" s="49" t="str">
        <f>Educator!A247 &amp;" " &amp;Educator!B247</f>
        <v xml:space="preserve"> </v>
      </c>
      <c r="J242" s="49">
        <f>Educator!C247</f>
        <v>0</v>
      </c>
      <c r="K242" s="49" t="b">
        <f t="shared" si="11"/>
        <v>0</v>
      </c>
    </row>
    <row r="243" spans="1:11" x14ac:dyDescent="0.2">
      <c r="A24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","#",3))+1,1)&amp;"-"&amp;LEFT(Educator!B248, 3)&amp;"-"&amp;LEFT(Educator!A248, 3)&amp;"-"&amp;"2027"</f>
        <v>UID-FLH---2027</v>
      </c>
      <c r="C243" s="49">
        <f>Educator!C248</f>
        <v>0</v>
      </c>
      <c r="D243" s="49" t="b">
        <f t="shared" si="10"/>
        <v>0</v>
      </c>
      <c r="E243" s="49">
        <f>Educator!A248</f>
        <v>0</v>
      </c>
      <c r="F243" s="49">
        <f>Educator!B248</f>
        <v>0</v>
      </c>
      <c r="G243" s="49" t="str">
        <f>Educator!A248 &amp;" " &amp;Educator!B248</f>
        <v xml:space="preserve"> </v>
      </c>
      <c r="J243" s="49">
        <f>Educator!C248</f>
        <v>0</v>
      </c>
      <c r="K243" s="49" t="b">
        <f t="shared" si="11"/>
        <v>0</v>
      </c>
    </row>
    <row r="244" spans="1:11" x14ac:dyDescent="0.2">
      <c r="A24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","#",3))+1,1)&amp;"-"&amp;LEFT(Educator!B249, 3)&amp;"-"&amp;LEFT(Educator!A249, 3)&amp;"-"&amp;"2027"</f>
        <v>UID-FLH---2027</v>
      </c>
      <c r="C244" s="49">
        <f>Educator!C249</f>
        <v>0</v>
      </c>
      <c r="D244" s="49" t="b">
        <f t="shared" si="10"/>
        <v>0</v>
      </c>
      <c r="E244" s="49">
        <f>Educator!A249</f>
        <v>0</v>
      </c>
      <c r="F244" s="49">
        <f>Educator!B249</f>
        <v>0</v>
      </c>
      <c r="G244" s="49" t="str">
        <f>Educator!A249 &amp;" " &amp;Educator!B249</f>
        <v xml:space="preserve"> </v>
      </c>
      <c r="J244" s="49">
        <f>Educator!C249</f>
        <v>0</v>
      </c>
      <c r="K244" s="49" t="b">
        <f t="shared" si="11"/>
        <v>0</v>
      </c>
    </row>
    <row r="245" spans="1:11" x14ac:dyDescent="0.2">
      <c r="A24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","#",3))+1,1)&amp;"-"&amp;LEFT(Educator!B250, 3)&amp;"-"&amp;LEFT(Educator!A250, 3)&amp;"-"&amp;"2027"</f>
        <v>UID-FLH---2027</v>
      </c>
      <c r="C245" s="49">
        <f>Educator!C250</f>
        <v>0</v>
      </c>
      <c r="D245" s="49" t="b">
        <f t="shared" si="10"/>
        <v>0</v>
      </c>
      <c r="E245" s="49">
        <f>Educator!A250</f>
        <v>0</v>
      </c>
      <c r="F245" s="49">
        <f>Educator!B250</f>
        <v>0</v>
      </c>
      <c r="G245" s="49" t="str">
        <f>Educator!A250 &amp;" " &amp;Educator!B250</f>
        <v xml:space="preserve"> </v>
      </c>
      <c r="J245" s="49">
        <f>Educator!C250</f>
        <v>0</v>
      </c>
      <c r="K245" s="49" t="b">
        <f t="shared" si="11"/>
        <v>0</v>
      </c>
    </row>
    <row r="246" spans="1:11" x14ac:dyDescent="0.2">
      <c r="A24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","#",3))+1,1)&amp;"-"&amp;LEFT(Educator!B251, 3)&amp;"-"&amp;LEFT(Educator!A251, 3)&amp;"-"&amp;"2027"</f>
        <v>UID-FLH---2027</v>
      </c>
      <c r="C246" s="49">
        <f>Educator!C251</f>
        <v>0</v>
      </c>
      <c r="D246" s="49" t="b">
        <f t="shared" si="10"/>
        <v>0</v>
      </c>
      <c r="E246" s="49">
        <f>Educator!A251</f>
        <v>0</v>
      </c>
      <c r="F246" s="49">
        <f>Educator!B251</f>
        <v>0</v>
      </c>
      <c r="G246" s="49" t="str">
        <f>Educator!A251 &amp;" " &amp;Educator!B251</f>
        <v xml:space="preserve"> </v>
      </c>
      <c r="J246" s="49">
        <f>Educator!C251</f>
        <v>0</v>
      </c>
      <c r="K246" s="49" t="b">
        <f t="shared" si="11"/>
        <v>0</v>
      </c>
    </row>
    <row r="247" spans="1:11" x14ac:dyDescent="0.2">
      <c r="A24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","#",3))+1,1)&amp;"-"&amp;LEFT(Educator!B252, 3)&amp;"-"&amp;LEFT(Educator!A252, 3)&amp;"-"&amp;"2027"</f>
        <v>UID-FLH---2027</v>
      </c>
      <c r="C247" s="49">
        <f>Educator!C252</f>
        <v>0</v>
      </c>
      <c r="D247" s="49" t="b">
        <f t="shared" si="10"/>
        <v>0</v>
      </c>
      <c r="E247" s="49">
        <f>Educator!A252</f>
        <v>0</v>
      </c>
      <c r="F247" s="49">
        <f>Educator!B252</f>
        <v>0</v>
      </c>
      <c r="G247" s="49" t="str">
        <f>Educator!A252 &amp;" " &amp;Educator!B252</f>
        <v xml:space="preserve"> </v>
      </c>
      <c r="J247" s="49">
        <f>Educator!C252</f>
        <v>0</v>
      </c>
      <c r="K247" s="49" t="b">
        <f t="shared" si="11"/>
        <v>0</v>
      </c>
    </row>
    <row r="248" spans="1:11" x14ac:dyDescent="0.2">
      <c r="A24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","#",3))+1,1)&amp;"-"&amp;LEFT(Educator!B253, 3)&amp;"-"&amp;LEFT(Educator!A253, 3)&amp;"-"&amp;"2027"</f>
        <v>UID-FLH---2027</v>
      </c>
      <c r="C248" s="49">
        <f>Educator!C253</f>
        <v>0</v>
      </c>
      <c r="D248" s="49" t="b">
        <f t="shared" si="10"/>
        <v>0</v>
      </c>
      <c r="E248" s="49">
        <f>Educator!A253</f>
        <v>0</v>
      </c>
      <c r="F248" s="49">
        <f>Educator!B253</f>
        <v>0</v>
      </c>
      <c r="G248" s="49" t="str">
        <f>Educator!A253 &amp;" " &amp;Educator!B253</f>
        <v xml:space="preserve"> </v>
      </c>
      <c r="J248" s="49">
        <f>Educator!C253</f>
        <v>0</v>
      </c>
      <c r="K248" s="49" t="b">
        <f t="shared" si="11"/>
        <v>0</v>
      </c>
    </row>
    <row r="249" spans="1:11" x14ac:dyDescent="0.2">
      <c r="A24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","#",3))+1,1)&amp;"-"&amp;LEFT(Educator!B254, 3)&amp;"-"&amp;LEFT(Educator!A254, 3)&amp;"-"&amp;"2027"</f>
        <v>UID-FLH---2027</v>
      </c>
      <c r="C249" s="49">
        <f>Educator!C254</f>
        <v>0</v>
      </c>
      <c r="D249" s="49" t="b">
        <f t="shared" si="10"/>
        <v>0</v>
      </c>
      <c r="E249" s="49">
        <f>Educator!A254</f>
        <v>0</v>
      </c>
      <c r="F249" s="49">
        <f>Educator!B254</f>
        <v>0</v>
      </c>
      <c r="G249" s="49" t="str">
        <f>Educator!A254 &amp;" " &amp;Educator!B254</f>
        <v xml:space="preserve"> </v>
      </c>
      <c r="J249" s="49">
        <f>Educator!C254</f>
        <v>0</v>
      </c>
      <c r="K249" s="49" t="b">
        <f t="shared" si="11"/>
        <v>0</v>
      </c>
    </row>
    <row r="250" spans="1:11" x14ac:dyDescent="0.2">
      <c r="A25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","#",3))+1,1)&amp;"-"&amp;LEFT(Educator!B255, 3)&amp;"-"&amp;LEFT(Educator!A255, 3)&amp;"-"&amp;"2027"</f>
        <v>UID-FLH---2027</v>
      </c>
      <c r="C250" s="49">
        <f>Educator!C255</f>
        <v>0</v>
      </c>
      <c r="D250" s="49" t="b">
        <f t="shared" si="10"/>
        <v>0</v>
      </c>
      <c r="E250" s="49">
        <f>Educator!A255</f>
        <v>0</v>
      </c>
      <c r="F250" s="49">
        <f>Educator!B255</f>
        <v>0</v>
      </c>
      <c r="G250" s="49" t="str">
        <f>Educator!A255 &amp;" " &amp;Educator!B255</f>
        <v xml:space="preserve"> </v>
      </c>
      <c r="J250" s="49">
        <f>Educator!C255</f>
        <v>0</v>
      </c>
      <c r="K250" s="49" t="b">
        <f t="shared" si="11"/>
        <v>0</v>
      </c>
    </row>
    <row r="251" spans="1:11" x14ac:dyDescent="0.2">
      <c r="A25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","#",3))+1,1)&amp;"-"&amp;LEFT(Educator!B256, 3)&amp;"-"&amp;LEFT(Educator!A256, 3)&amp;"-"&amp;"2027"</f>
        <v>UID-FLH---2027</v>
      </c>
      <c r="C251" s="49">
        <f>Educator!C256</f>
        <v>0</v>
      </c>
      <c r="D251" s="49" t="b">
        <f t="shared" si="10"/>
        <v>0</v>
      </c>
      <c r="E251" s="49">
        <f>Educator!A256</f>
        <v>0</v>
      </c>
      <c r="F251" s="49">
        <f>Educator!B256</f>
        <v>0</v>
      </c>
      <c r="G251" s="49" t="str">
        <f>Educator!A256 &amp;" " &amp;Educator!B256</f>
        <v xml:space="preserve"> </v>
      </c>
      <c r="J251" s="49">
        <f>Educator!C256</f>
        <v>0</v>
      </c>
      <c r="K251" s="49" t="b">
        <f t="shared" si="11"/>
        <v>0</v>
      </c>
    </row>
    <row r="252" spans="1:11" x14ac:dyDescent="0.2">
      <c r="A25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","#",3))+1,1)&amp;"-"&amp;LEFT(Educator!B257, 3)&amp;"-"&amp;LEFT(Educator!A257, 3)&amp;"-"&amp;"2027"</f>
        <v>UID-FLH---2027</v>
      </c>
      <c r="C252" s="49">
        <f>Educator!C257</f>
        <v>0</v>
      </c>
      <c r="D252" s="49" t="b">
        <f t="shared" si="10"/>
        <v>0</v>
      </c>
      <c r="E252" s="49">
        <f>Educator!A257</f>
        <v>0</v>
      </c>
      <c r="F252" s="49">
        <f>Educator!B257</f>
        <v>0</v>
      </c>
      <c r="G252" s="49" t="str">
        <f>Educator!A257 &amp;" " &amp;Educator!B257</f>
        <v xml:space="preserve"> </v>
      </c>
      <c r="J252" s="49">
        <f>Educator!C257</f>
        <v>0</v>
      </c>
      <c r="K252" s="49" t="b">
        <f t="shared" si="11"/>
        <v>0</v>
      </c>
    </row>
    <row r="253" spans="1:11" x14ac:dyDescent="0.2">
      <c r="A25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","#",3))+1,1)&amp;"-"&amp;LEFT(Educator!B258, 3)&amp;"-"&amp;LEFT(Educator!A258, 3)&amp;"-"&amp;"2027"</f>
        <v>UID-FLH---2027</v>
      </c>
      <c r="C253" s="49">
        <f>Educator!C258</f>
        <v>0</v>
      </c>
      <c r="D253" s="49" t="b">
        <f t="shared" si="10"/>
        <v>0</v>
      </c>
      <c r="E253" s="49">
        <f>Educator!A258</f>
        <v>0</v>
      </c>
      <c r="F253" s="49">
        <f>Educator!B258</f>
        <v>0</v>
      </c>
      <c r="G253" s="49" t="str">
        <f>Educator!A258 &amp;" " &amp;Educator!B258</f>
        <v xml:space="preserve"> </v>
      </c>
      <c r="J253" s="49">
        <f>Educator!C258</f>
        <v>0</v>
      </c>
      <c r="K253" s="49" t="b">
        <f t="shared" si="11"/>
        <v>0</v>
      </c>
    </row>
    <row r="254" spans="1:11" x14ac:dyDescent="0.2">
      <c r="A25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","#",3))+1,1)&amp;"-"&amp;LEFT(Educator!B259, 3)&amp;"-"&amp;LEFT(Educator!A259, 3)&amp;"-"&amp;"2027"</f>
        <v>UID-FLH---2027</v>
      </c>
      <c r="C254" s="49">
        <f>Educator!C259</f>
        <v>0</v>
      </c>
      <c r="D254" s="49" t="b">
        <f t="shared" si="10"/>
        <v>0</v>
      </c>
      <c r="E254" s="49">
        <f>Educator!A259</f>
        <v>0</v>
      </c>
      <c r="F254" s="49">
        <f>Educator!B259</f>
        <v>0</v>
      </c>
      <c r="G254" s="49" t="str">
        <f>Educator!A259 &amp;" " &amp;Educator!B259</f>
        <v xml:space="preserve"> </v>
      </c>
      <c r="J254" s="49">
        <f>Educator!C259</f>
        <v>0</v>
      </c>
      <c r="K254" s="49" t="b">
        <f t="shared" si="11"/>
        <v>0</v>
      </c>
    </row>
    <row r="255" spans="1:11" x14ac:dyDescent="0.2">
      <c r="A25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","#",3))+1,1)&amp;"-"&amp;LEFT(Educator!B260, 3)&amp;"-"&amp;LEFT(Educator!A260, 3)&amp;"-"&amp;"2027"</f>
        <v>UID-FLH---2027</v>
      </c>
      <c r="C255" s="49">
        <f>Educator!C260</f>
        <v>0</v>
      </c>
      <c r="D255" s="49" t="b">
        <f t="shared" si="10"/>
        <v>0</v>
      </c>
      <c r="E255" s="49">
        <f>Educator!A260</f>
        <v>0</v>
      </c>
      <c r="F255" s="49">
        <f>Educator!B260</f>
        <v>0</v>
      </c>
      <c r="G255" s="49" t="str">
        <f>Educator!A260 &amp;" " &amp;Educator!B260</f>
        <v xml:space="preserve"> </v>
      </c>
      <c r="J255" s="49">
        <f>Educator!C260</f>
        <v>0</v>
      </c>
      <c r="K255" s="49" t="b">
        <f t="shared" si="11"/>
        <v>0</v>
      </c>
    </row>
    <row r="256" spans="1:11" x14ac:dyDescent="0.2">
      <c r="A25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","#",3))+1,1)&amp;"-"&amp;LEFT(Educator!B261, 3)&amp;"-"&amp;LEFT(Educator!A261, 3)&amp;"-"&amp;"2027"</f>
        <v>UID-FLH---2027</v>
      </c>
      <c r="C256" s="49">
        <f>Educator!C261</f>
        <v>0</v>
      </c>
      <c r="D256" s="49" t="b">
        <f t="shared" si="10"/>
        <v>0</v>
      </c>
      <c r="E256" s="49">
        <f>Educator!A261</f>
        <v>0</v>
      </c>
      <c r="F256" s="49">
        <f>Educator!B261</f>
        <v>0</v>
      </c>
      <c r="G256" s="49" t="str">
        <f>Educator!A261 &amp;" " &amp;Educator!B261</f>
        <v xml:space="preserve"> </v>
      </c>
      <c r="J256" s="49">
        <f>Educator!C261</f>
        <v>0</v>
      </c>
      <c r="K256" s="49" t="b">
        <f t="shared" si="11"/>
        <v>0</v>
      </c>
    </row>
    <row r="257" spans="1:11" x14ac:dyDescent="0.2">
      <c r="A25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","#",3))+1,1)&amp;"-"&amp;LEFT(Educator!B262, 3)&amp;"-"&amp;LEFT(Educator!A262, 3)&amp;"-"&amp;"2027"</f>
        <v>UID-FLH---2027</v>
      </c>
      <c r="C257" s="49">
        <f>Educator!C262</f>
        <v>0</v>
      </c>
      <c r="D257" s="49" t="b">
        <f t="shared" si="10"/>
        <v>0</v>
      </c>
      <c r="E257" s="49">
        <f>Educator!A262</f>
        <v>0</v>
      </c>
      <c r="F257" s="49">
        <f>Educator!B262</f>
        <v>0</v>
      </c>
      <c r="G257" s="49" t="str">
        <f>Educator!A262 &amp;" " &amp;Educator!B262</f>
        <v xml:space="preserve"> </v>
      </c>
      <c r="J257" s="49">
        <f>Educator!C262</f>
        <v>0</v>
      </c>
      <c r="K257" s="49" t="b">
        <f t="shared" si="11"/>
        <v>0</v>
      </c>
    </row>
    <row r="258" spans="1:11" x14ac:dyDescent="0.2">
      <c r="A25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","#",3))+1,1)&amp;"-"&amp;LEFT(Educator!B263, 3)&amp;"-"&amp;LEFT(Educator!A263, 3)&amp;"-"&amp;"2027"</f>
        <v>UID-FLH---2027</v>
      </c>
      <c r="C258" s="49">
        <f>Educator!C263</f>
        <v>0</v>
      </c>
      <c r="D258" s="49" t="b">
        <f t="shared" si="10"/>
        <v>0</v>
      </c>
      <c r="E258" s="49">
        <f>Educator!A263</f>
        <v>0</v>
      </c>
      <c r="F258" s="49">
        <f>Educator!B263</f>
        <v>0</v>
      </c>
      <c r="G258" s="49" t="str">
        <f>Educator!A263 &amp;" " &amp;Educator!B263</f>
        <v xml:space="preserve"> </v>
      </c>
      <c r="J258" s="49">
        <f>Educator!C263</f>
        <v>0</v>
      </c>
      <c r="K258" s="49" t="b">
        <f t="shared" si="11"/>
        <v>0</v>
      </c>
    </row>
    <row r="259" spans="1:11" x14ac:dyDescent="0.2">
      <c r="A25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","#",3))+1,1)&amp;"-"&amp;LEFT(Educator!B264, 3)&amp;"-"&amp;LEFT(Educator!A264, 3)&amp;"-"&amp;"2027"</f>
        <v>UID-FLH---2027</v>
      </c>
      <c r="C259" s="49">
        <f>Educator!C264</f>
        <v>0</v>
      </c>
      <c r="D259" s="49" t="b">
        <f t="shared" si="10"/>
        <v>0</v>
      </c>
      <c r="E259" s="49">
        <f>Educator!A264</f>
        <v>0</v>
      </c>
      <c r="F259" s="49">
        <f>Educator!B264</f>
        <v>0</v>
      </c>
      <c r="G259" s="49" t="str">
        <f>Educator!A264 &amp;" " &amp;Educator!B264</f>
        <v xml:space="preserve"> </v>
      </c>
      <c r="J259" s="49">
        <f>Educator!C264</f>
        <v>0</v>
      </c>
      <c r="K259" s="49" t="b">
        <f t="shared" si="11"/>
        <v>0</v>
      </c>
    </row>
    <row r="260" spans="1:11" x14ac:dyDescent="0.2">
      <c r="A26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","#",3))+1,1)&amp;"-"&amp;LEFT(Educator!B265, 3)&amp;"-"&amp;LEFT(Educator!A265, 3)&amp;"-"&amp;"2027"</f>
        <v>UID-FLH---2027</v>
      </c>
      <c r="C260" s="49">
        <f>Educator!C265</f>
        <v>0</v>
      </c>
      <c r="D260" s="49" t="b">
        <f t="shared" si="10"/>
        <v>0</v>
      </c>
      <c r="E260" s="49">
        <f>Educator!A265</f>
        <v>0</v>
      </c>
      <c r="F260" s="49">
        <f>Educator!B265</f>
        <v>0</v>
      </c>
      <c r="G260" s="49" t="str">
        <f>Educator!A265 &amp;" " &amp;Educator!B265</f>
        <v xml:space="preserve"> </v>
      </c>
      <c r="J260" s="49">
        <f>Educator!C265</f>
        <v>0</v>
      </c>
      <c r="K260" s="49" t="b">
        <f t="shared" si="11"/>
        <v>0</v>
      </c>
    </row>
    <row r="261" spans="1:11" x14ac:dyDescent="0.2">
      <c r="A26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","#",3))+1,1)&amp;"-"&amp;LEFT(Educator!B266, 3)&amp;"-"&amp;LEFT(Educator!A266, 3)&amp;"-"&amp;"2027"</f>
        <v>UID-FLH---2027</v>
      </c>
      <c r="C261" s="49">
        <f>Educator!C266</f>
        <v>0</v>
      </c>
      <c r="D261" s="49" t="b">
        <f t="shared" si="10"/>
        <v>0</v>
      </c>
      <c r="E261" s="49">
        <f>Educator!A266</f>
        <v>0</v>
      </c>
      <c r="F261" s="49">
        <f>Educator!B266</f>
        <v>0</v>
      </c>
      <c r="G261" s="49" t="str">
        <f>Educator!A266 &amp;" " &amp;Educator!B266</f>
        <v xml:space="preserve"> </v>
      </c>
      <c r="J261" s="49">
        <f>Educator!C266</f>
        <v>0</v>
      </c>
      <c r="K261" s="49" t="b">
        <f t="shared" si="11"/>
        <v>0</v>
      </c>
    </row>
    <row r="262" spans="1:11" x14ac:dyDescent="0.2">
      <c r="A26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","#",3))+1,1)&amp;"-"&amp;LEFT(Educator!B267, 3)&amp;"-"&amp;LEFT(Educator!A267, 3)&amp;"-"&amp;"2027"</f>
        <v>UID-FLH---2027</v>
      </c>
      <c r="C262" s="49">
        <f>Educator!C267</f>
        <v>0</v>
      </c>
      <c r="D262" s="49" t="b">
        <f t="shared" si="10"/>
        <v>0</v>
      </c>
      <c r="E262" s="49">
        <f>Educator!A267</f>
        <v>0</v>
      </c>
      <c r="F262" s="49">
        <f>Educator!B267</f>
        <v>0</v>
      </c>
      <c r="G262" s="49" t="str">
        <f>Educator!A267 &amp;" " &amp;Educator!B267</f>
        <v xml:space="preserve"> </v>
      </c>
      <c r="J262" s="49">
        <f>Educator!C267</f>
        <v>0</v>
      </c>
      <c r="K262" s="49" t="b">
        <f t="shared" si="11"/>
        <v>0</v>
      </c>
    </row>
    <row r="263" spans="1:11" x14ac:dyDescent="0.2">
      <c r="A26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","#",3))+1,1)&amp;"-"&amp;LEFT(Educator!B268, 3)&amp;"-"&amp;LEFT(Educator!A268, 3)&amp;"-"&amp;"2027"</f>
        <v>UID-FLH---2027</v>
      </c>
      <c r="C263" s="49">
        <f>Educator!C268</f>
        <v>0</v>
      </c>
      <c r="D263" s="49" t="b">
        <f t="shared" si="10"/>
        <v>0</v>
      </c>
      <c r="E263" s="49">
        <f>Educator!A268</f>
        <v>0</v>
      </c>
      <c r="F263" s="49">
        <f>Educator!B268</f>
        <v>0</v>
      </c>
      <c r="G263" s="49" t="str">
        <f>Educator!A268 &amp;" " &amp;Educator!B268</f>
        <v xml:space="preserve"> </v>
      </c>
      <c r="J263" s="49">
        <f>Educator!C268</f>
        <v>0</v>
      </c>
      <c r="K263" s="49" t="b">
        <f t="shared" si="11"/>
        <v>0</v>
      </c>
    </row>
    <row r="264" spans="1:11" x14ac:dyDescent="0.2">
      <c r="A26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","#",3))+1,1)&amp;"-"&amp;LEFT(Educator!B269, 3)&amp;"-"&amp;LEFT(Educator!A269, 3)&amp;"-"&amp;"2027"</f>
        <v>UID-FLH---2027</v>
      </c>
      <c r="C264" s="49">
        <f>Educator!C269</f>
        <v>0</v>
      </c>
      <c r="D264" s="49" t="b">
        <f t="shared" si="10"/>
        <v>0</v>
      </c>
      <c r="E264" s="49">
        <f>Educator!A269</f>
        <v>0</v>
      </c>
      <c r="F264" s="49">
        <f>Educator!B269</f>
        <v>0</v>
      </c>
      <c r="G264" s="49" t="str">
        <f>Educator!A269 &amp;" " &amp;Educator!B269</f>
        <v xml:space="preserve"> </v>
      </c>
      <c r="J264" s="49">
        <f>Educator!C269</f>
        <v>0</v>
      </c>
      <c r="K264" s="49" t="b">
        <f t="shared" si="11"/>
        <v>0</v>
      </c>
    </row>
    <row r="265" spans="1:11" x14ac:dyDescent="0.2">
      <c r="A26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","#",3))+1,1)&amp;"-"&amp;LEFT(Educator!B270, 3)&amp;"-"&amp;LEFT(Educator!A270, 3)&amp;"-"&amp;"2027"</f>
        <v>UID-FLH---2027</v>
      </c>
      <c r="C265" s="49">
        <f>Educator!C270</f>
        <v>0</v>
      </c>
      <c r="D265" s="49" t="b">
        <f t="shared" si="10"/>
        <v>0</v>
      </c>
      <c r="E265" s="49">
        <f>Educator!A270</f>
        <v>0</v>
      </c>
      <c r="F265" s="49">
        <f>Educator!B270</f>
        <v>0</v>
      </c>
      <c r="G265" s="49" t="str">
        <f>Educator!A270 &amp;" " &amp;Educator!B270</f>
        <v xml:space="preserve"> </v>
      </c>
      <c r="J265" s="49">
        <f>Educator!C270</f>
        <v>0</v>
      </c>
      <c r="K265" s="49" t="b">
        <f t="shared" si="11"/>
        <v>0</v>
      </c>
    </row>
    <row r="266" spans="1:11" x14ac:dyDescent="0.2">
      <c r="A26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","#",3))+1,1)&amp;"-"&amp;LEFT(Educator!B271, 3)&amp;"-"&amp;LEFT(Educator!A271, 3)&amp;"-"&amp;"2027"</f>
        <v>UID-FLH---2027</v>
      </c>
      <c r="C266" s="49">
        <f>Educator!C271</f>
        <v>0</v>
      </c>
      <c r="D266" s="49" t="b">
        <f t="shared" si="10"/>
        <v>0</v>
      </c>
      <c r="E266" s="49">
        <f>Educator!A271</f>
        <v>0</v>
      </c>
      <c r="F266" s="49">
        <f>Educator!B271</f>
        <v>0</v>
      </c>
      <c r="G266" s="49" t="str">
        <f>Educator!A271 &amp;" " &amp;Educator!B271</f>
        <v xml:space="preserve"> </v>
      </c>
      <c r="J266" s="49">
        <f>Educator!C271</f>
        <v>0</v>
      </c>
      <c r="K266" s="49" t="b">
        <f t="shared" si="11"/>
        <v>0</v>
      </c>
    </row>
    <row r="267" spans="1:11" x14ac:dyDescent="0.2">
      <c r="A26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","#",3))+1,1)&amp;"-"&amp;LEFT(Educator!B272, 3)&amp;"-"&amp;LEFT(Educator!A272, 3)&amp;"-"&amp;"2027"</f>
        <v>UID-FLH---2027</v>
      </c>
      <c r="C267" s="49">
        <f>Educator!C272</f>
        <v>0</v>
      </c>
      <c r="D267" s="49" t="b">
        <f t="shared" si="10"/>
        <v>0</v>
      </c>
      <c r="E267" s="49">
        <f>Educator!A272</f>
        <v>0</v>
      </c>
      <c r="F267" s="49">
        <f>Educator!B272</f>
        <v>0</v>
      </c>
      <c r="G267" s="49" t="str">
        <f>Educator!A272 &amp;" " &amp;Educator!B272</f>
        <v xml:space="preserve"> </v>
      </c>
      <c r="J267" s="49">
        <f>Educator!C272</f>
        <v>0</v>
      </c>
      <c r="K267" s="49" t="b">
        <f t="shared" si="11"/>
        <v>0</v>
      </c>
    </row>
    <row r="268" spans="1:11" x14ac:dyDescent="0.2">
      <c r="A26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","#",3))+1,1)&amp;"-"&amp;LEFT(Educator!B273, 3)&amp;"-"&amp;LEFT(Educator!A273, 3)&amp;"-"&amp;"2027"</f>
        <v>UID-FLH---2027</v>
      </c>
      <c r="C268" s="49">
        <f>Educator!C273</f>
        <v>0</v>
      </c>
      <c r="D268" s="49" t="b">
        <f t="shared" si="10"/>
        <v>0</v>
      </c>
      <c r="E268" s="49">
        <f>Educator!A273</f>
        <v>0</v>
      </c>
      <c r="F268" s="49">
        <f>Educator!B273</f>
        <v>0</v>
      </c>
      <c r="G268" s="49" t="str">
        <f>Educator!A273 &amp;" " &amp;Educator!B273</f>
        <v xml:space="preserve"> </v>
      </c>
      <c r="J268" s="49">
        <f>Educator!C273</f>
        <v>0</v>
      </c>
      <c r="K268" s="49" t="b">
        <f t="shared" si="11"/>
        <v>0</v>
      </c>
    </row>
    <row r="269" spans="1:11" x14ac:dyDescent="0.2">
      <c r="A26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","#",3))+1,1)&amp;"-"&amp;LEFT(Educator!B274, 3)&amp;"-"&amp;LEFT(Educator!A274, 3)&amp;"-"&amp;"2027"</f>
        <v>UID-FLH---2027</v>
      </c>
      <c r="C269" s="49">
        <f>Educator!C274</f>
        <v>0</v>
      </c>
      <c r="D269" s="49" t="b">
        <f t="shared" si="10"/>
        <v>0</v>
      </c>
      <c r="E269" s="49">
        <f>Educator!A274</f>
        <v>0</v>
      </c>
      <c r="F269" s="49">
        <f>Educator!B274</f>
        <v>0</v>
      </c>
      <c r="G269" s="49" t="str">
        <f>Educator!A274 &amp;" " &amp;Educator!B274</f>
        <v xml:space="preserve"> </v>
      </c>
      <c r="J269" s="49">
        <f>Educator!C274</f>
        <v>0</v>
      </c>
      <c r="K269" s="49" t="b">
        <f t="shared" si="11"/>
        <v>0</v>
      </c>
    </row>
    <row r="270" spans="1:11" x14ac:dyDescent="0.2">
      <c r="A27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","#",3))+1,1)&amp;"-"&amp;LEFT(Educator!B275, 3)&amp;"-"&amp;LEFT(Educator!A275, 3)&amp;"-"&amp;"2027"</f>
        <v>UID-FLH---2027</v>
      </c>
      <c r="C270" s="49">
        <f>Educator!C275</f>
        <v>0</v>
      </c>
      <c r="D270" s="49" t="b">
        <f t="shared" si="10"/>
        <v>0</v>
      </c>
      <c r="E270" s="49">
        <f>Educator!A275</f>
        <v>0</v>
      </c>
      <c r="F270" s="49">
        <f>Educator!B275</f>
        <v>0</v>
      </c>
      <c r="G270" s="49" t="str">
        <f>Educator!A275 &amp;" " &amp;Educator!B275</f>
        <v xml:space="preserve"> </v>
      </c>
      <c r="J270" s="49">
        <f>Educator!C275</f>
        <v>0</v>
      </c>
      <c r="K270" s="49" t="b">
        <f t="shared" si="11"/>
        <v>0</v>
      </c>
    </row>
    <row r="271" spans="1:11" x14ac:dyDescent="0.2">
      <c r="A27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","#",3))+1,1)&amp;"-"&amp;LEFT(Educator!B276, 3)&amp;"-"&amp;LEFT(Educator!A276, 3)&amp;"-"&amp;"2027"</f>
        <v>UID-FLH---2027</v>
      </c>
      <c r="C271" s="49">
        <f>Educator!C276</f>
        <v>0</v>
      </c>
      <c r="D271" s="49" t="b">
        <f t="shared" si="10"/>
        <v>0</v>
      </c>
      <c r="E271" s="49">
        <f>Educator!A276</f>
        <v>0</v>
      </c>
      <c r="F271" s="49">
        <f>Educator!B276</f>
        <v>0</v>
      </c>
      <c r="G271" s="49" t="str">
        <f>Educator!A276 &amp;" " &amp;Educator!B276</f>
        <v xml:space="preserve"> </v>
      </c>
      <c r="J271" s="49">
        <f>Educator!C276</f>
        <v>0</v>
      </c>
      <c r="K271" s="49" t="b">
        <f t="shared" si="11"/>
        <v>0</v>
      </c>
    </row>
    <row r="272" spans="1:11" x14ac:dyDescent="0.2">
      <c r="A27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","#",3))+1,1)&amp;"-"&amp;LEFT(Educator!B277, 3)&amp;"-"&amp;LEFT(Educator!A277, 3)&amp;"-"&amp;"2027"</f>
        <v>UID-FLH---2027</v>
      </c>
      <c r="C272" s="49">
        <f>Educator!C277</f>
        <v>0</v>
      </c>
      <c r="D272" s="49" t="b">
        <f t="shared" si="10"/>
        <v>0</v>
      </c>
      <c r="E272" s="49">
        <f>Educator!A277</f>
        <v>0</v>
      </c>
      <c r="F272" s="49">
        <f>Educator!B277</f>
        <v>0</v>
      </c>
      <c r="G272" s="49" t="str">
        <f>Educator!A277 &amp;" " &amp;Educator!B277</f>
        <v xml:space="preserve"> </v>
      </c>
      <c r="J272" s="49">
        <f>Educator!C277</f>
        <v>0</v>
      </c>
      <c r="K272" s="49" t="b">
        <f t="shared" si="11"/>
        <v>0</v>
      </c>
    </row>
    <row r="273" spans="1:11" x14ac:dyDescent="0.2">
      <c r="A27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","#",3))+1,1)&amp;"-"&amp;LEFT(Educator!B278, 3)&amp;"-"&amp;LEFT(Educator!A278, 3)&amp;"-"&amp;"2027"</f>
        <v>UID-FLH---2027</v>
      </c>
      <c r="C273" s="49">
        <f>Educator!C278</f>
        <v>0</v>
      </c>
      <c r="D273" s="49" t="b">
        <f t="shared" si="10"/>
        <v>0</v>
      </c>
      <c r="E273" s="49">
        <f>Educator!A278</f>
        <v>0</v>
      </c>
      <c r="F273" s="49">
        <f>Educator!B278</f>
        <v>0</v>
      </c>
      <c r="G273" s="49" t="str">
        <f>Educator!A278 &amp;" " &amp;Educator!B278</f>
        <v xml:space="preserve"> </v>
      </c>
      <c r="J273" s="49">
        <f>Educator!C278</f>
        <v>0</v>
      </c>
      <c r="K273" s="49" t="b">
        <f t="shared" si="11"/>
        <v>0</v>
      </c>
    </row>
    <row r="274" spans="1:11" x14ac:dyDescent="0.2">
      <c r="A27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","#",3))+1,1)&amp;"-"&amp;LEFT(Educator!B279, 3)&amp;"-"&amp;LEFT(Educator!A279, 3)&amp;"-"&amp;"2027"</f>
        <v>UID-FLH---2027</v>
      </c>
      <c r="C274" s="49">
        <f>Educator!C279</f>
        <v>0</v>
      </c>
      <c r="D274" s="49" t="b">
        <f t="shared" ref="D274:D337" si="12">IF(C274&gt;0,"topscore123")</f>
        <v>0</v>
      </c>
      <c r="E274" s="49">
        <f>Educator!A279</f>
        <v>0</v>
      </c>
      <c r="F274" s="49">
        <f>Educator!B279</f>
        <v>0</v>
      </c>
      <c r="G274" s="49" t="str">
        <f>Educator!A279 &amp;" " &amp;Educator!B279</f>
        <v xml:space="preserve"> </v>
      </c>
      <c r="J274" s="49">
        <f>Educator!C279</f>
        <v>0</v>
      </c>
      <c r="K274" s="49" t="b">
        <f t="shared" ref="K274:K337" si="13">IF(C274&gt;0,"active")</f>
        <v>0</v>
      </c>
    </row>
    <row r="275" spans="1:11" x14ac:dyDescent="0.2">
      <c r="A27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","#",3))+1,1)&amp;"-"&amp;LEFT(Educator!B280, 3)&amp;"-"&amp;LEFT(Educator!A280, 3)&amp;"-"&amp;"2027"</f>
        <v>UID-FLH---2027</v>
      </c>
      <c r="C275" s="49">
        <f>Educator!C280</f>
        <v>0</v>
      </c>
      <c r="D275" s="49" t="b">
        <f t="shared" si="12"/>
        <v>0</v>
      </c>
      <c r="E275" s="49">
        <f>Educator!A280</f>
        <v>0</v>
      </c>
      <c r="F275" s="49">
        <f>Educator!B280</f>
        <v>0</v>
      </c>
      <c r="G275" s="49" t="str">
        <f>Educator!A280 &amp;" " &amp;Educator!B280</f>
        <v xml:space="preserve"> </v>
      </c>
      <c r="J275" s="49">
        <f>Educator!C280</f>
        <v>0</v>
      </c>
      <c r="K275" s="49" t="b">
        <f t="shared" si="13"/>
        <v>0</v>
      </c>
    </row>
    <row r="276" spans="1:11" x14ac:dyDescent="0.2">
      <c r="A27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","#",3))+1,1)&amp;"-"&amp;LEFT(Educator!B281, 3)&amp;"-"&amp;LEFT(Educator!A281, 3)&amp;"-"&amp;"2027"</f>
        <v>UID-FLH---2027</v>
      </c>
      <c r="C276" s="49">
        <f>Educator!C281</f>
        <v>0</v>
      </c>
      <c r="D276" s="49" t="b">
        <f t="shared" si="12"/>
        <v>0</v>
      </c>
      <c r="E276" s="49">
        <f>Educator!A281</f>
        <v>0</v>
      </c>
      <c r="F276" s="49">
        <f>Educator!B281</f>
        <v>0</v>
      </c>
      <c r="G276" s="49" t="str">
        <f>Educator!A281 &amp;" " &amp;Educator!B281</f>
        <v xml:space="preserve"> </v>
      </c>
      <c r="J276" s="49">
        <f>Educator!C281</f>
        <v>0</v>
      </c>
      <c r="K276" s="49" t="b">
        <f t="shared" si="13"/>
        <v>0</v>
      </c>
    </row>
    <row r="277" spans="1:11" x14ac:dyDescent="0.2">
      <c r="A27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","#",3))+1,1)&amp;"-"&amp;LEFT(Educator!B282, 3)&amp;"-"&amp;LEFT(Educator!A282, 3)&amp;"-"&amp;"2027"</f>
        <v>UID-FLH---2027</v>
      </c>
      <c r="C277" s="49">
        <f>Educator!C282</f>
        <v>0</v>
      </c>
      <c r="D277" s="49" t="b">
        <f t="shared" si="12"/>
        <v>0</v>
      </c>
      <c r="E277" s="49">
        <f>Educator!A282</f>
        <v>0</v>
      </c>
      <c r="F277" s="49">
        <f>Educator!B282</f>
        <v>0</v>
      </c>
      <c r="G277" s="49" t="str">
        <f>Educator!A282 &amp;" " &amp;Educator!B282</f>
        <v xml:space="preserve"> </v>
      </c>
      <c r="J277" s="49">
        <f>Educator!C282</f>
        <v>0</v>
      </c>
      <c r="K277" s="49" t="b">
        <f t="shared" si="13"/>
        <v>0</v>
      </c>
    </row>
    <row r="278" spans="1:11" x14ac:dyDescent="0.2">
      <c r="A27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","#",3))+1,1)&amp;"-"&amp;LEFT(Educator!B283, 3)&amp;"-"&amp;LEFT(Educator!A283, 3)&amp;"-"&amp;"2027"</f>
        <v>UID-FLH---2027</v>
      </c>
      <c r="C278" s="49">
        <f>Educator!C283</f>
        <v>0</v>
      </c>
      <c r="D278" s="49" t="b">
        <f t="shared" si="12"/>
        <v>0</v>
      </c>
      <c r="E278" s="49">
        <f>Educator!A283</f>
        <v>0</v>
      </c>
      <c r="F278" s="49">
        <f>Educator!B283</f>
        <v>0</v>
      </c>
      <c r="G278" s="49" t="str">
        <f>Educator!A283 &amp;" " &amp;Educator!B283</f>
        <v xml:space="preserve"> </v>
      </c>
      <c r="J278" s="49">
        <f>Educator!C283</f>
        <v>0</v>
      </c>
      <c r="K278" s="49" t="b">
        <f t="shared" si="13"/>
        <v>0</v>
      </c>
    </row>
    <row r="279" spans="1:11" x14ac:dyDescent="0.2">
      <c r="A27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","#",3))+1,1)&amp;"-"&amp;LEFT(Educator!B284, 3)&amp;"-"&amp;LEFT(Educator!A284, 3)&amp;"-"&amp;"2027"</f>
        <v>UID-FLH---2027</v>
      </c>
      <c r="C279" s="49">
        <f>Educator!C284</f>
        <v>0</v>
      </c>
      <c r="D279" s="49" t="b">
        <f t="shared" si="12"/>
        <v>0</v>
      </c>
      <c r="E279" s="49">
        <f>Educator!A284</f>
        <v>0</v>
      </c>
      <c r="F279" s="49">
        <f>Educator!B284</f>
        <v>0</v>
      </c>
      <c r="G279" s="49" t="str">
        <f>Educator!A284 &amp;" " &amp;Educator!B284</f>
        <v xml:space="preserve"> </v>
      </c>
      <c r="J279" s="49">
        <f>Educator!C284</f>
        <v>0</v>
      </c>
      <c r="K279" s="49" t="b">
        <f t="shared" si="13"/>
        <v>0</v>
      </c>
    </row>
    <row r="280" spans="1:11" x14ac:dyDescent="0.2">
      <c r="A28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","#",3))+1,1)&amp;"-"&amp;LEFT(Educator!B285, 3)&amp;"-"&amp;LEFT(Educator!A285, 3)&amp;"-"&amp;"2027"</f>
        <v>UID-FLH---2027</v>
      </c>
      <c r="C280" s="49">
        <f>Educator!C285</f>
        <v>0</v>
      </c>
      <c r="D280" s="49" t="b">
        <f t="shared" si="12"/>
        <v>0</v>
      </c>
      <c r="E280" s="49">
        <f>Educator!A285</f>
        <v>0</v>
      </c>
      <c r="F280" s="49">
        <f>Educator!B285</f>
        <v>0</v>
      </c>
      <c r="G280" s="49" t="str">
        <f>Educator!A285 &amp;" " &amp;Educator!B285</f>
        <v xml:space="preserve"> </v>
      </c>
      <c r="J280" s="49">
        <f>Educator!C285</f>
        <v>0</v>
      </c>
      <c r="K280" s="49" t="b">
        <f t="shared" si="13"/>
        <v>0</v>
      </c>
    </row>
    <row r="281" spans="1:11" x14ac:dyDescent="0.2">
      <c r="A28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","#",3))+1,1)&amp;"-"&amp;LEFT(Educator!B286, 3)&amp;"-"&amp;LEFT(Educator!A286, 3)&amp;"-"&amp;"2027"</f>
        <v>UID-FLH---2027</v>
      </c>
      <c r="C281" s="49">
        <f>Educator!C286</f>
        <v>0</v>
      </c>
      <c r="D281" s="49" t="b">
        <f t="shared" si="12"/>
        <v>0</v>
      </c>
      <c r="E281" s="49">
        <f>Educator!A286</f>
        <v>0</v>
      </c>
      <c r="F281" s="49">
        <f>Educator!B286</f>
        <v>0</v>
      </c>
      <c r="G281" s="49" t="str">
        <f>Educator!A286 &amp;" " &amp;Educator!B286</f>
        <v xml:space="preserve"> </v>
      </c>
      <c r="J281" s="49">
        <f>Educator!C286</f>
        <v>0</v>
      </c>
      <c r="K281" s="49" t="b">
        <f t="shared" si="13"/>
        <v>0</v>
      </c>
    </row>
    <row r="282" spans="1:11" x14ac:dyDescent="0.2">
      <c r="A28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","#",3))+1,1)&amp;"-"&amp;LEFT(Educator!B287, 3)&amp;"-"&amp;LEFT(Educator!A287, 3)&amp;"-"&amp;"2027"</f>
        <v>UID-FLH---2027</v>
      </c>
      <c r="C282" s="49">
        <f>Educator!C287</f>
        <v>0</v>
      </c>
      <c r="D282" s="49" t="b">
        <f t="shared" si="12"/>
        <v>0</v>
      </c>
      <c r="E282" s="49">
        <f>Educator!A287</f>
        <v>0</v>
      </c>
      <c r="F282" s="49">
        <f>Educator!B287</f>
        <v>0</v>
      </c>
      <c r="G282" s="49" t="str">
        <f>Educator!A287 &amp;" " &amp;Educator!B287</f>
        <v xml:space="preserve"> </v>
      </c>
      <c r="J282" s="49">
        <f>Educator!C287</f>
        <v>0</v>
      </c>
      <c r="K282" s="49" t="b">
        <f t="shared" si="13"/>
        <v>0</v>
      </c>
    </row>
    <row r="283" spans="1:11" x14ac:dyDescent="0.2">
      <c r="A28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","#",3))+1,1)&amp;"-"&amp;LEFT(Educator!B288, 3)&amp;"-"&amp;LEFT(Educator!A288, 3)&amp;"-"&amp;"2027"</f>
        <v>UID-FLH---2027</v>
      </c>
      <c r="C283" s="49">
        <f>Educator!C288</f>
        <v>0</v>
      </c>
      <c r="D283" s="49" t="b">
        <f t="shared" si="12"/>
        <v>0</v>
      </c>
      <c r="E283" s="49">
        <f>Educator!A288</f>
        <v>0</v>
      </c>
      <c r="F283" s="49">
        <f>Educator!B288</f>
        <v>0</v>
      </c>
      <c r="G283" s="49" t="str">
        <f>Educator!A288 &amp;" " &amp;Educator!B288</f>
        <v xml:space="preserve"> </v>
      </c>
      <c r="J283" s="49">
        <f>Educator!C288</f>
        <v>0</v>
      </c>
      <c r="K283" s="49" t="b">
        <f t="shared" si="13"/>
        <v>0</v>
      </c>
    </row>
    <row r="284" spans="1:11" x14ac:dyDescent="0.2">
      <c r="A28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","#",3))+1,1)&amp;"-"&amp;LEFT(Educator!B289, 3)&amp;"-"&amp;LEFT(Educator!A289, 3)&amp;"-"&amp;"2027"</f>
        <v>UID-FLH---2027</v>
      </c>
      <c r="C284" s="49">
        <f>Educator!C289</f>
        <v>0</v>
      </c>
      <c r="D284" s="49" t="b">
        <f t="shared" si="12"/>
        <v>0</v>
      </c>
      <c r="E284" s="49">
        <f>Educator!A289</f>
        <v>0</v>
      </c>
      <c r="F284" s="49">
        <f>Educator!B289</f>
        <v>0</v>
      </c>
      <c r="G284" s="49" t="str">
        <f>Educator!A289 &amp;" " &amp;Educator!B289</f>
        <v xml:space="preserve"> </v>
      </c>
      <c r="J284" s="49">
        <f>Educator!C289</f>
        <v>0</v>
      </c>
      <c r="K284" s="49" t="b">
        <f t="shared" si="13"/>
        <v>0</v>
      </c>
    </row>
    <row r="285" spans="1:11" x14ac:dyDescent="0.2">
      <c r="A28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","#",3))+1,1)&amp;"-"&amp;LEFT(Educator!B290, 3)&amp;"-"&amp;LEFT(Educator!A290, 3)&amp;"-"&amp;"2027"</f>
        <v>UID-FLH---2027</v>
      </c>
      <c r="C285" s="49">
        <f>Educator!C290</f>
        <v>0</v>
      </c>
      <c r="D285" s="49" t="b">
        <f t="shared" si="12"/>
        <v>0</v>
      </c>
      <c r="E285" s="49">
        <f>Educator!A290</f>
        <v>0</v>
      </c>
      <c r="F285" s="49">
        <f>Educator!B290</f>
        <v>0</v>
      </c>
      <c r="G285" s="49" t="str">
        <f>Educator!A290 &amp;" " &amp;Educator!B290</f>
        <v xml:space="preserve"> </v>
      </c>
      <c r="J285" s="49">
        <f>Educator!C290</f>
        <v>0</v>
      </c>
      <c r="K285" s="49" t="b">
        <f t="shared" si="13"/>
        <v>0</v>
      </c>
    </row>
    <row r="286" spans="1:11" x14ac:dyDescent="0.2">
      <c r="A28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","#",3))+1,1)&amp;"-"&amp;LEFT(Educator!B291, 3)&amp;"-"&amp;LEFT(Educator!A291, 3)&amp;"-"&amp;"2027"</f>
        <v>UID-FLH---2027</v>
      </c>
      <c r="C286" s="49">
        <f>Educator!C291</f>
        <v>0</v>
      </c>
      <c r="D286" s="49" t="b">
        <f t="shared" si="12"/>
        <v>0</v>
      </c>
      <c r="E286" s="49">
        <f>Educator!A291</f>
        <v>0</v>
      </c>
      <c r="F286" s="49">
        <f>Educator!B291</f>
        <v>0</v>
      </c>
      <c r="G286" s="49" t="str">
        <f>Educator!A291 &amp;" " &amp;Educator!B291</f>
        <v xml:space="preserve"> </v>
      </c>
      <c r="J286" s="49">
        <f>Educator!C291</f>
        <v>0</v>
      </c>
      <c r="K286" s="49" t="b">
        <f t="shared" si="13"/>
        <v>0</v>
      </c>
    </row>
    <row r="287" spans="1:11" x14ac:dyDescent="0.2">
      <c r="A28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","#",3))+1,1)&amp;"-"&amp;LEFT(Educator!B292, 3)&amp;"-"&amp;LEFT(Educator!A292, 3)&amp;"-"&amp;"2027"</f>
        <v>UID-FLH---2027</v>
      </c>
      <c r="C287" s="49">
        <f>Educator!C292</f>
        <v>0</v>
      </c>
      <c r="D287" s="49" t="b">
        <f t="shared" si="12"/>
        <v>0</v>
      </c>
      <c r="E287" s="49">
        <f>Educator!A292</f>
        <v>0</v>
      </c>
      <c r="F287" s="49">
        <f>Educator!B292</f>
        <v>0</v>
      </c>
      <c r="G287" s="49" t="str">
        <f>Educator!A292 &amp;" " &amp;Educator!B292</f>
        <v xml:space="preserve"> </v>
      </c>
      <c r="J287" s="49">
        <f>Educator!C292</f>
        <v>0</v>
      </c>
      <c r="K287" s="49" t="b">
        <f t="shared" si="13"/>
        <v>0</v>
      </c>
    </row>
    <row r="288" spans="1:11" x14ac:dyDescent="0.2">
      <c r="A28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","#",3))+1,1)&amp;"-"&amp;LEFT(Educator!B293, 3)&amp;"-"&amp;LEFT(Educator!A293, 3)&amp;"-"&amp;"2027"</f>
        <v>UID-FLH---2027</v>
      </c>
      <c r="C288" s="49">
        <f>Educator!C293</f>
        <v>0</v>
      </c>
      <c r="D288" s="49" t="b">
        <f t="shared" si="12"/>
        <v>0</v>
      </c>
      <c r="E288" s="49">
        <f>Educator!A293</f>
        <v>0</v>
      </c>
      <c r="F288" s="49">
        <f>Educator!B293</f>
        <v>0</v>
      </c>
      <c r="G288" s="49" t="str">
        <f>Educator!A293 &amp;" " &amp;Educator!B293</f>
        <v xml:space="preserve"> </v>
      </c>
      <c r="J288" s="49">
        <f>Educator!C293</f>
        <v>0</v>
      </c>
      <c r="K288" s="49" t="b">
        <f t="shared" si="13"/>
        <v>0</v>
      </c>
    </row>
    <row r="289" spans="1:11" x14ac:dyDescent="0.2">
      <c r="A28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","#",3))+1,1)&amp;"-"&amp;LEFT(Educator!B294, 3)&amp;"-"&amp;LEFT(Educator!A294, 3)&amp;"-"&amp;"2027"</f>
        <v>UID-FLH---2027</v>
      </c>
      <c r="C289" s="49">
        <f>Educator!C294</f>
        <v>0</v>
      </c>
      <c r="D289" s="49" t="b">
        <f t="shared" si="12"/>
        <v>0</v>
      </c>
      <c r="E289" s="49">
        <f>Educator!A294</f>
        <v>0</v>
      </c>
      <c r="F289" s="49">
        <f>Educator!B294</f>
        <v>0</v>
      </c>
      <c r="G289" s="49" t="str">
        <f>Educator!A294 &amp;" " &amp;Educator!B294</f>
        <v xml:space="preserve"> </v>
      </c>
      <c r="J289" s="49">
        <f>Educator!C294</f>
        <v>0</v>
      </c>
      <c r="K289" s="49" t="b">
        <f t="shared" si="13"/>
        <v>0</v>
      </c>
    </row>
    <row r="290" spans="1:11" x14ac:dyDescent="0.2">
      <c r="A29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","#",3))+1,1)&amp;"-"&amp;LEFT(Educator!B295, 3)&amp;"-"&amp;LEFT(Educator!A295, 3)&amp;"-"&amp;"2027"</f>
        <v>UID-FLH---2027</v>
      </c>
      <c r="C290" s="49">
        <f>Educator!C295</f>
        <v>0</v>
      </c>
      <c r="D290" s="49" t="b">
        <f t="shared" si="12"/>
        <v>0</v>
      </c>
      <c r="E290" s="49">
        <f>Educator!A295</f>
        <v>0</v>
      </c>
      <c r="F290" s="49">
        <f>Educator!B295</f>
        <v>0</v>
      </c>
      <c r="G290" s="49" t="str">
        <f>Educator!A295 &amp;" " &amp;Educator!B295</f>
        <v xml:space="preserve"> </v>
      </c>
      <c r="J290" s="49">
        <f>Educator!C295</f>
        <v>0</v>
      </c>
      <c r="K290" s="49" t="b">
        <f t="shared" si="13"/>
        <v>0</v>
      </c>
    </row>
    <row r="291" spans="1:11" x14ac:dyDescent="0.2">
      <c r="A29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","#",3))+1,1)&amp;"-"&amp;LEFT(Educator!B296, 3)&amp;"-"&amp;LEFT(Educator!A296, 3)&amp;"-"&amp;"2027"</f>
        <v>UID-FLH---2027</v>
      </c>
      <c r="C291" s="49">
        <f>Educator!C296</f>
        <v>0</v>
      </c>
      <c r="D291" s="49" t="b">
        <f t="shared" si="12"/>
        <v>0</v>
      </c>
      <c r="E291" s="49">
        <f>Educator!A296</f>
        <v>0</v>
      </c>
      <c r="F291" s="49">
        <f>Educator!B296</f>
        <v>0</v>
      </c>
      <c r="G291" s="49" t="str">
        <f>Educator!A296 &amp;" " &amp;Educator!B296</f>
        <v xml:space="preserve"> </v>
      </c>
      <c r="J291" s="49">
        <f>Educator!C296</f>
        <v>0</v>
      </c>
      <c r="K291" s="49" t="b">
        <f t="shared" si="13"/>
        <v>0</v>
      </c>
    </row>
    <row r="292" spans="1:11" x14ac:dyDescent="0.2">
      <c r="A29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","#",3))+1,1)&amp;"-"&amp;LEFT(Educator!B297, 3)&amp;"-"&amp;LEFT(Educator!A297, 3)&amp;"-"&amp;"2027"</f>
        <v>UID-FLH---2027</v>
      </c>
      <c r="C292" s="49">
        <f>Educator!C297</f>
        <v>0</v>
      </c>
      <c r="D292" s="49" t="b">
        <f t="shared" si="12"/>
        <v>0</v>
      </c>
      <c r="E292" s="49">
        <f>Educator!A297</f>
        <v>0</v>
      </c>
      <c r="F292" s="49">
        <f>Educator!B297</f>
        <v>0</v>
      </c>
      <c r="G292" s="49" t="str">
        <f>Educator!A297 &amp;" " &amp;Educator!B297</f>
        <v xml:space="preserve"> </v>
      </c>
      <c r="J292" s="49">
        <f>Educator!C297</f>
        <v>0</v>
      </c>
      <c r="K292" s="49" t="b">
        <f t="shared" si="13"/>
        <v>0</v>
      </c>
    </row>
    <row r="293" spans="1:11" x14ac:dyDescent="0.2">
      <c r="A29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","#",3))+1,1)&amp;"-"&amp;LEFT(Educator!B298, 3)&amp;"-"&amp;LEFT(Educator!A298, 3)&amp;"-"&amp;"2027"</f>
        <v>UID-FLH---2027</v>
      </c>
      <c r="C293" s="49">
        <f>Educator!C298</f>
        <v>0</v>
      </c>
      <c r="D293" s="49" t="b">
        <f t="shared" si="12"/>
        <v>0</v>
      </c>
      <c r="E293" s="49">
        <f>Educator!A298</f>
        <v>0</v>
      </c>
      <c r="F293" s="49">
        <f>Educator!B298</f>
        <v>0</v>
      </c>
      <c r="G293" s="49" t="str">
        <f>Educator!A298 &amp;" " &amp;Educator!B298</f>
        <v xml:space="preserve"> </v>
      </c>
      <c r="J293" s="49">
        <f>Educator!C298</f>
        <v>0</v>
      </c>
      <c r="K293" s="49" t="b">
        <f t="shared" si="13"/>
        <v>0</v>
      </c>
    </row>
    <row r="294" spans="1:11" x14ac:dyDescent="0.2">
      <c r="A29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","#",3))+1,1)&amp;"-"&amp;LEFT(Educator!B299, 3)&amp;"-"&amp;LEFT(Educator!A299, 3)&amp;"-"&amp;"2027"</f>
        <v>UID-FLH---2027</v>
      </c>
      <c r="C294" s="49">
        <f>Educator!C299</f>
        <v>0</v>
      </c>
      <c r="D294" s="49" t="b">
        <f t="shared" si="12"/>
        <v>0</v>
      </c>
      <c r="E294" s="49">
        <f>Educator!A299</f>
        <v>0</v>
      </c>
      <c r="F294" s="49">
        <f>Educator!B299</f>
        <v>0</v>
      </c>
      <c r="G294" s="49" t="str">
        <f>Educator!A299 &amp;" " &amp;Educator!B299</f>
        <v xml:space="preserve"> </v>
      </c>
      <c r="J294" s="49">
        <f>Educator!C299</f>
        <v>0</v>
      </c>
      <c r="K294" s="49" t="b">
        <f t="shared" si="13"/>
        <v>0</v>
      </c>
    </row>
    <row r="295" spans="1:11" x14ac:dyDescent="0.2">
      <c r="A29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","#",3))+1,1)&amp;"-"&amp;LEFT(Educator!B300, 3)&amp;"-"&amp;LEFT(Educator!A300, 3)&amp;"-"&amp;"2027"</f>
        <v>UID-FLH---2027</v>
      </c>
      <c r="C295" s="49">
        <f>Educator!C300</f>
        <v>0</v>
      </c>
      <c r="D295" s="49" t="b">
        <f t="shared" si="12"/>
        <v>0</v>
      </c>
      <c r="E295" s="49">
        <f>Educator!A300</f>
        <v>0</v>
      </c>
      <c r="F295" s="49">
        <f>Educator!B300</f>
        <v>0</v>
      </c>
      <c r="G295" s="49" t="str">
        <f>Educator!A300 &amp;" " &amp;Educator!B300</f>
        <v xml:space="preserve"> </v>
      </c>
      <c r="J295" s="49">
        <f>Educator!C300</f>
        <v>0</v>
      </c>
      <c r="K295" s="49" t="b">
        <f t="shared" si="13"/>
        <v>0</v>
      </c>
    </row>
    <row r="296" spans="1:11" x14ac:dyDescent="0.2">
      <c r="A29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","#",3))+1,1)&amp;"-"&amp;LEFT(Educator!B301, 3)&amp;"-"&amp;LEFT(Educator!A301, 3)&amp;"-"&amp;"2027"</f>
        <v>UID-FLH---2027</v>
      </c>
      <c r="C296" s="49">
        <f>Educator!C301</f>
        <v>0</v>
      </c>
      <c r="D296" s="49" t="b">
        <f t="shared" si="12"/>
        <v>0</v>
      </c>
      <c r="E296" s="49">
        <f>Educator!A301</f>
        <v>0</v>
      </c>
      <c r="F296" s="49">
        <f>Educator!B301</f>
        <v>0</v>
      </c>
      <c r="G296" s="49" t="str">
        <f>Educator!A301 &amp;" " &amp;Educator!B301</f>
        <v xml:space="preserve"> </v>
      </c>
      <c r="J296" s="49">
        <f>Educator!C301</f>
        <v>0</v>
      </c>
      <c r="K296" s="49" t="b">
        <f t="shared" si="13"/>
        <v>0</v>
      </c>
    </row>
    <row r="297" spans="1:11" x14ac:dyDescent="0.2">
      <c r="A29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","#",3))+1,1)&amp;"-"&amp;LEFT(Educator!B302, 3)&amp;"-"&amp;LEFT(Educator!A302, 3)&amp;"-"&amp;"2027"</f>
        <v>UID-FLH---2027</v>
      </c>
      <c r="C297" s="49">
        <f>Educator!C302</f>
        <v>0</v>
      </c>
      <c r="D297" s="49" t="b">
        <f t="shared" si="12"/>
        <v>0</v>
      </c>
      <c r="E297" s="49">
        <f>Educator!A302</f>
        <v>0</v>
      </c>
      <c r="F297" s="49">
        <f>Educator!B302</f>
        <v>0</v>
      </c>
      <c r="G297" s="49" t="str">
        <f>Educator!A302 &amp;" " &amp;Educator!B302</f>
        <v xml:space="preserve"> </v>
      </c>
      <c r="J297" s="49">
        <f>Educator!C302</f>
        <v>0</v>
      </c>
      <c r="K297" s="49" t="b">
        <f t="shared" si="13"/>
        <v>0</v>
      </c>
    </row>
    <row r="298" spans="1:11" x14ac:dyDescent="0.2">
      <c r="A29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","#",3))+1,1)&amp;"-"&amp;LEFT(Educator!B303, 3)&amp;"-"&amp;LEFT(Educator!A303, 3)&amp;"-"&amp;"2027"</f>
        <v>UID-FLH---2027</v>
      </c>
      <c r="C298" s="49">
        <f>Educator!C303</f>
        <v>0</v>
      </c>
      <c r="D298" s="49" t="b">
        <f t="shared" si="12"/>
        <v>0</v>
      </c>
      <c r="E298" s="49">
        <f>Educator!A303</f>
        <v>0</v>
      </c>
      <c r="F298" s="49">
        <f>Educator!B303</f>
        <v>0</v>
      </c>
      <c r="G298" s="49" t="str">
        <f>Educator!A303 &amp;" " &amp;Educator!B303</f>
        <v xml:space="preserve"> </v>
      </c>
      <c r="J298" s="49">
        <f>Educator!C303</f>
        <v>0</v>
      </c>
      <c r="K298" s="49" t="b">
        <f t="shared" si="13"/>
        <v>0</v>
      </c>
    </row>
    <row r="299" spans="1:11" x14ac:dyDescent="0.2">
      <c r="A29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","#",3))+1,1)&amp;"-"&amp;LEFT(Educator!B304, 3)&amp;"-"&amp;LEFT(Educator!A304, 3)&amp;"-"&amp;"2027"</f>
        <v>UID-FLH---2027</v>
      </c>
      <c r="C299" s="49">
        <f>Educator!C304</f>
        <v>0</v>
      </c>
      <c r="D299" s="49" t="b">
        <f t="shared" si="12"/>
        <v>0</v>
      </c>
      <c r="E299" s="49">
        <f>Educator!A304</f>
        <v>0</v>
      </c>
      <c r="F299" s="49">
        <f>Educator!B304</f>
        <v>0</v>
      </c>
      <c r="G299" s="49" t="str">
        <f>Educator!A304 &amp;" " &amp;Educator!B304</f>
        <v xml:space="preserve"> </v>
      </c>
      <c r="J299" s="49">
        <f>Educator!C304</f>
        <v>0</v>
      </c>
      <c r="K299" s="49" t="b">
        <f t="shared" si="13"/>
        <v>0</v>
      </c>
    </row>
    <row r="300" spans="1:11" x14ac:dyDescent="0.2">
      <c r="A30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","#",3))+1,1)&amp;"-"&amp;LEFT(Educator!B305, 3)&amp;"-"&amp;LEFT(Educator!A305, 3)&amp;"-"&amp;"2027"</f>
        <v>UID-FLH---2027</v>
      </c>
      <c r="C300" s="49">
        <f>Educator!C305</f>
        <v>0</v>
      </c>
      <c r="D300" s="49" t="b">
        <f t="shared" si="12"/>
        <v>0</v>
      </c>
      <c r="E300" s="49">
        <f>Educator!A305</f>
        <v>0</v>
      </c>
      <c r="F300" s="49">
        <f>Educator!B305</f>
        <v>0</v>
      </c>
      <c r="G300" s="49" t="str">
        <f>Educator!A305 &amp;" " &amp;Educator!B305</f>
        <v xml:space="preserve"> </v>
      </c>
      <c r="J300" s="49">
        <f>Educator!C305</f>
        <v>0</v>
      </c>
      <c r="K300" s="49" t="b">
        <f t="shared" si="13"/>
        <v>0</v>
      </c>
    </row>
    <row r="301" spans="1:11" x14ac:dyDescent="0.2">
      <c r="A30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","#",3))+1,1)&amp;"-"&amp;LEFT(Educator!B306, 3)&amp;"-"&amp;LEFT(Educator!A306, 3)&amp;"-"&amp;"2027"</f>
        <v>UID-FLH---2027</v>
      </c>
      <c r="C301" s="49">
        <f>Educator!C306</f>
        <v>0</v>
      </c>
      <c r="D301" s="49" t="b">
        <f t="shared" si="12"/>
        <v>0</v>
      </c>
      <c r="E301" s="49">
        <f>Educator!A306</f>
        <v>0</v>
      </c>
      <c r="F301" s="49">
        <f>Educator!B306</f>
        <v>0</v>
      </c>
      <c r="G301" s="49" t="str">
        <f>Educator!A306 &amp;" " &amp;Educator!B306</f>
        <v xml:space="preserve"> </v>
      </c>
      <c r="J301" s="49">
        <f>Educator!C306</f>
        <v>0</v>
      </c>
      <c r="K301" s="49" t="b">
        <f t="shared" si="13"/>
        <v>0</v>
      </c>
    </row>
    <row r="302" spans="1:11" x14ac:dyDescent="0.2">
      <c r="A30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","#",3))+1,1)&amp;"-"&amp;LEFT(Educator!B307, 3)&amp;"-"&amp;LEFT(Educator!A307, 3)&amp;"-"&amp;"2027"</f>
        <v>UID-FLH---2027</v>
      </c>
      <c r="C302" s="49">
        <f>Educator!C307</f>
        <v>0</v>
      </c>
      <c r="D302" s="49" t="b">
        <f t="shared" si="12"/>
        <v>0</v>
      </c>
      <c r="E302" s="49">
        <f>Educator!A307</f>
        <v>0</v>
      </c>
      <c r="F302" s="49">
        <f>Educator!B307</f>
        <v>0</v>
      </c>
      <c r="G302" s="49" t="str">
        <f>Educator!A307 &amp;" " &amp;Educator!B307</f>
        <v xml:space="preserve"> </v>
      </c>
      <c r="J302" s="49">
        <f>Educator!C307</f>
        <v>0</v>
      </c>
      <c r="K302" s="49" t="b">
        <f t="shared" si="13"/>
        <v>0</v>
      </c>
    </row>
    <row r="303" spans="1:11" x14ac:dyDescent="0.2">
      <c r="A30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","#",3))+1,1)&amp;"-"&amp;LEFT(Educator!B308, 3)&amp;"-"&amp;LEFT(Educator!A308, 3)&amp;"-"&amp;"2027"</f>
        <v>UID-FLH---2027</v>
      </c>
      <c r="C303" s="49">
        <f>Educator!C308</f>
        <v>0</v>
      </c>
      <c r="D303" s="49" t="b">
        <f t="shared" si="12"/>
        <v>0</v>
      </c>
      <c r="E303" s="49">
        <f>Educator!A308</f>
        <v>0</v>
      </c>
      <c r="F303" s="49">
        <f>Educator!B308</f>
        <v>0</v>
      </c>
      <c r="G303" s="49" t="str">
        <f>Educator!A308 &amp;" " &amp;Educator!B308</f>
        <v xml:space="preserve"> </v>
      </c>
      <c r="J303" s="49">
        <f>Educator!C308</f>
        <v>0</v>
      </c>
      <c r="K303" s="49" t="b">
        <f t="shared" si="13"/>
        <v>0</v>
      </c>
    </row>
    <row r="304" spans="1:11" x14ac:dyDescent="0.2">
      <c r="A30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","#",3))+1,1)&amp;"-"&amp;LEFT(Educator!B309, 3)&amp;"-"&amp;LEFT(Educator!A309, 3)&amp;"-"&amp;"2027"</f>
        <v>UID-FLH---2027</v>
      </c>
      <c r="C304" s="49">
        <f>Educator!C309</f>
        <v>0</v>
      </c>
      <c r="D304" s="49" t="b">
        <f t="shared" si="12"/>
        <v>0</v>
      </c>
      <c r="E304" s="49">
        <f>Educator!A309</f>
        <v>0</v>
      </c>
      <c r="F304" s="49">
        <f>Educator!B309</f>
        <v>0</v>
      </c>
      <c r="G304" s="49" t="str">
        <f>Educator!A309 &amp;" " &amp;Educator!B309</f>
        <v xml:space="preserve"> </v>
      </c>
      <c r="J304" s="49">
        <f>Educator!C309</f>
        <v>0</v>
      </c>
      <c r="K304" s="49" t="b">
        <f t="shared" si="13"/>
        <v>0</v>
      </c>
    </row>
    <row r="305" spans="1:11" x14ac:dyDescent="0.2">
      <c r="A30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","#",3))+1,1)&amp;"-"&amp;LEFT(Educator!B310, 3)&amp;"-"&amp;LEFT(Educator!A310, 3)&amp;"-"&amp;"2027"</f>
        <v>UID-FLH---2027</v>
      </c>
      <c r="C305" s="49">
        <f>Educator!C310</f>
        <v>0</v>
      </c>
      <c r="D305" s="49" t="b">
        <f t="shared" si="12"/>
        <v>0</v>
      </c>
      <c r="E305" s="49">
        <f>Educator!A310</f>
        <v>0</v>
      </c>
      <c r="F305" s="49">
        <f>Educator!B310</f>
        <v>0</v>
      </c>
      <c r="G305" s="49" t="str">
        <f>Educator!A310 &amp;" " &amp;Educator!B310</f>
        <v xml:space="preserve"> </v>
      </c>
      <c r="J305" s="49">
        <f>Educator!C310</f>
        <v>0</v>
      </c>
      <c r="K305" s="49" t="b">
        <f t="shared" si="13"/>
        <v>0</v>
      </c>
    </row>
    <row r="306" spans="1:11" x14ac:dyDescent="0.2">
      <c r="A30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","#",3))+1,1)&amp;"-"&amp;LEFT(Educator!B311, 3)&amp;"-"&amp;LEFT(Educator!A311, 3)&amp;"-"&amp;"2027"</f>
        <v>UID-FLH---2027</v>
      </c>
      <c r="C306" s="49">
        <f>Educator!C311</f>
        <v>0</v>
      </c>
      <c r="D306" s="49" t="b">
        <f t="shared" si="12"/>
        <v>0</v>
      </c>
      <c r="E306" s="49">
        <f>Educator!A311</f>
        <v>0</v>
      </c>
      <c r="F306" s="49">
        <f>Educator!B311</f>
        <v>0</v>
      </c>
      <c r="G306" s="49" t="str">
        <f>Educator!A311 &amp;" " &amp;Educator!B311</f>
        <v xml:space="preserve"> </v>
      </c>
      <c r="J306" s="49">
        <f>Educator!C311</f>
        <v>0</v>
      </c>
      <c r="K306" s="49" t="b">
        <f t="shared" si="13"/>
        <v>0</v>
      </c>
    </row>
    <row r="307" spans="1:11" x14ac:dyDescent="0.2">
      <c r="A30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","#",3))+1,1)&amp;"-"&amp;LEFT(Educator!B312, 3)&amp;"-"&amp;LEFT(Educator!A312, 3)&amp;"-"&amp;"2027"</f>
        <v>UID-FLH---2027</v>
      </c>
      <c r="C307" s="49">
        <f>Educator!C312</f>
        <v>0</v>
      </c>
      <c r="D307" s="49" t="b">
        <f t="shared" si="12"/>
        <v>0</v>
      </c>
      <c r="E307" s="49">
        <f>Educator!A312</f>
        <v>0</v>
      </c>
      <c r="F307" s="49">
        <f>Educator!B312</f>
        <v>0</v>
      </c>
      <c r="G307" s="49" t="str">
        <f>Educator!A312 &amp;" " &amp;Educator!B312</f>
        <v xml:space="preserve"> </v>
      </c>
      <c r="J307" s="49">
        <f>Educator!C312</f>
        <v>0</v>
      </c>
      <c r="K307" s="49" t="b">
        <f t="shared" si="13"/>
        <v>0</v>
      </c>
    </row>
    <row r="308" spans="1:11" x14ac:dyDescent="0.2">
      <c r="A30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","#",3))+1,1)&amp;"-"&amp;LEFT(Educator!B313, 3)&amp;"-"&amp;LEFT(Educator!A313, 3)&amp;"-"&amp;"2027"</f>
        <v>UID-FLH---2027</v>
      </c>
      <c r="C308" s="49">
        <f>Educator!C313</f>
        <v>0</v>
      </c>
      <c r="D308" s="49" t="b">
        <f t="shared" si="12"/>
        <v>0</v>
      </c>
      <c r="E308" s="49">
        <f>Educator!A313</f>
        <v>0</v>
      </c>
      <c r="F308" s="49">
        <f>Educator!B313</f>
        <v>0</v>
      </c>
      <c r="G308" s="49" t="str">
        <f>Educator!A313 &amp;" " &amp;Educator!B313</f>
        <v xml:space="preserve"> </v>
      </c>
      <c r="J308" s="49">
        <f>Educator!C313</f>
        <v>0</v>
      </c>
      <c r="K308" s="49" t="b">
        <f t="shared" si="13"/>
        <v>0</v>
      </c>
    </row>
    <row r="309" spans="1:11" x14ac:dyDescent="0.2">
      <c r="A30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","#",3))+1,1)&amp;"-"&amp;LEFT(Educator!B314, 3)&amp;"-"&amp;LEFT(Educator!A314, 3)&amp;"-"&amp;"2027"</f>
        <v>UID-FLH---2027</v>
      </c>
      <c r="C309" s="49">
        <f>Educator!C314</f>
        <v>0</v>
      </c>
      <c r="D309" s="49" t="b">
        <f t="shared" si="12"/>
        <v>0</v>
      </c>
      <c r="E309" s="49">
        <f>Educator!A314</f>
        <v>0</v>
      </c>
      <c r="F309" s="49">
        <f>Educator!B314</f>
        <v>0</v>
      </c>
      <c r="G309" s="49" t="str">
        <f>Educator!A314 &amp;" " &amp;Educator!B314</f>
        <v xml:space="preserve"> </v>
      </c>
      <c r="J309" s="49">
        <f>Educator!C314</f>
        <v>0</v>
      </c>
      <c r="K309" s="49" t="b">
        <f t="shared" si="13"/>
        <v>0</v>
      </c>
    </row>
    <row r="310" spans="1:11" x14ac:dyDescent="0.2">
      <c r="A31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","#",3))+1,1)&amp;"-"&amp;LEFT(Educator!B315, 3)&amp;"-"&amp;LEFT(Educator!A315, 3)&amp;"-"&amp;"2027"</f>
        <v>UID-FLH---2027</v>
      </c>
      <c r="C310" s="49">
        <f>Educator!C315</f>
        <v>0</v>
      </c>
      <c r="D310" s="49" t="b">
        <f t="shared" si="12"/>
        <v>0</v>
      </c>
      <c r="E310" s="49">
        <f>Educator!A315</f>
        <v>0</v>
      </c>
      <c r="F310" s="49">
        <f>Educator!B315</f>
        <v>0</v>
      </c>
      <c r="G310" s="49" t="str">
        <f>Educator!A315 &amp;" " &amp;Educator!B315</f>
        <v xml:space="preserve"> </v>
      </c>
      <c r="J310" s="49">
        <f>Educator!C315</f>
        <v>0</v>
      </c>
      <c r="K310" s="49" t="b">
        <f t="shared" si="13"/>
        <v>0</v>
      </c>
    </row>
    <row r="311" spans="1:11" x14ac:dyDescent="0.2">
      <c r="A31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","#",3))+1,1)&amp;"-"&amp;LEFT(Educator!B316, 3)&amp;"-"&amp;LEFT(Educator!A316, 3)&amp;"-"&amp;"2027"</f>
        <v>UID-FLH---2027</v>
      </c>
      <c r="C311" s="49">
        <f>Educator!C316</f>
        <v>0</v>
      </c>
      <c r="D311" s="49" t="b">
        <f t="shared" si="12"/>
        <v>0</v>
      </c>
      <c r="E311" s="49">
        <f>Educator!A316</f>
        <v>0</v>
      </c>
      <c r="F311" s="49">
        <f>Educator!B316</f>
        <v>0</v>
      </c>
      <c r="G311" s="49" t="str">
        <f>Educator!A316 &amp;" " &amp;Educator!B316</f>
        <v xml:space="preserve"> </v>
      </c>
      <c r="J311" s="49">
        <f>Educator!C316</f>
        <v>0</v>
      </c>
      <c r="K311" s="49" t="b">
        <f t="shared" si="13"/>
        <v>0</v>
      </c>
    </row>
    <row r="312" spans="1:11" x14ac:dyDescent="0.2">
      <c r="A31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","#",3))+1,1)&amp;"-"&amp;LEFT(Educator!B317, 3)&amp;"-"&amp;LEFT(Educator!A317, 3)&amp;"-"&amp;"2027"</f>
        <v>UID-FLH---2027</v>
      </c>
      <c r="C312" s="49">
        <f>Educator!C317</f>
        <v>0</v>
      </c>
      <c r="D312" s="49" t="b">
        <f t="shared" si="12"/>
        <v>0</v>
      </c>
      <c r="E312" s="49">
        <f>Educator!A317</f>
        <v>0</v>
      </c>
      <c r="F312" s="49">
        <f>Educator!B317</f>
        <v>0</v>
      </c>
      <c r="G312" s="49" t="str">
        <f>Educator!A317 &amp;" " &amp;Educator!B317</f>
        <v xml:space="preserve"> </v>
      </c>
      <c r="J312" s="49">
        <f>Educator!C317</f>
        <v>0</v>
      </c>
      <c r="K312" s="49" t="b">
        <f t="shared" si="13"/>
        <v>0</v>
      </c>
    </row>
    <row r="313" spans="1:11" x14ac:dyDescent="0.2">
      <c r="A31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","#",3))+1,1)&amp;"-"&amp;LEFT(Educator!B318, 3)&amp;"-"&amp;LEFT(Educator!A318, 3)&amp;"-"&amp;"2027"</f>
        <v>UID-FLH---2027</v>
      </c>
      <c r="C313" s="49">
        <f>Educator!C318</f>
        <v>0</v>
      </c>
      <c r="D313" s="49" t="b">
        <f t="shared" si="12"/>
        <v>0</v>
      </c>
      <c r="E313" s="49">
        <f>Educator!A318</f>
        <v>0</v>
      </c>
      <c r="F313" s="49">
        <f>Educator!B318</f>
        <v>0</v>
      </c>
      <c r="G313" s="49" t="str">
        <f>Educator!A318 &amp;" " &amp;Educator!B318</f>
        <v xml:space="preserve"> </v>
      </c>
      <c r="J313" s="49">
        <f>Educator!C318</f>
        <v>0</v>
      </c>
      <c r="K313" s="49" t="b">
        <f t="shared" si="13"/>
        <v>0</v>
      </c>
    </row>
    <row r="314" spans="1:11" x14ac:dyDescent="0.2">
      <c r="A31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","#",3))+1,1)&amp;"-"&amp;LEFT(Educator!B319, 3)&amp;"-"&amp;LEFT(Educator!A319, 3)&amp;"-"&amp;"2027"</f>
        <v>UID-FLH---2027</v>
      </c>
      <c r="C314" s="49">
        <f>Educator!C319</f>
        <v>0</v>
      </c>
      <c r="D314" s="49" t="b">
        <f t="shared" si="12"/>
        <v>0</v>
      </c>
      <c r="E314" s="49">
        <f>Educator!A319</f>
        <v>0</v>
      </c>
      <c r="F314" s="49">
        <f>Educator!B319</f>
        <v>0</v>
      </c>
      <c r="G314" s="49" t="str">
        <f>Educator!A319 &amp;" " &amp;Educator!B319</f>
        <v xml:space="preserve"> </v>
      </c>
      <c r="J314" s="49">
        <f>Educator!C319</f>
        <v>0</v>
      </c>
      <c r="K314" s="49" t="b">
        <f t="shared" si="13"/>
        <v>0</v>
      </c>
    </row>
    <row r="315" spans="1:11" x14ac:dyDescent="0.2">
      <c r="A31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","#",3))+1,1)&amp;"-"&amp;LEFT(Educator!B320, 3)&amp;"-"&amp;LEFT(Educator!A320, 3)&amp;"-"&amp;"2027"</f>
        <v>UID-FLH---2027</v>
      </c>
      <c r="C315" s="49">
        <f>Educator!C320</f>
        <v>0</v>
      </c>
      <c r="D315" s="49" t="b">
        <f t="shared" si="12"/>
        <v>0</v>
      </c>
      <c r="E315" s="49">
        <f>Educator!A320</f>
        <v>0</v>
      </c>
      <c r="F315" s="49">
        <f>Educator!B320</f>
        <v>0</v>
      </c>
      <c r="G315" s="49" t="str">
        <f>Educator!A320 &amp;" " &amp;Educator!B320</f>
        <v xml:space="preserve"> </v>
      </c>
      <c r="J315" s="49">
        <f>Educator!C320</f>
        <v>0</v>
      </c>
      <c r="K315" s="49" t="b">
        <f t="shared" si="13"/>
        <v>0</v>
      </c>
    </row>
    <row r="316" spans="1:11" x14ac:dyDescent="0.2">
      <c r="A31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","#",3))+1,1)&amp;"-"&amp;LEFT(Educator!B321, 3)&amp;"-"&amp;LEFT(Educator!A321, 3)&amp;"-"&amp;"2027"</f>
        <v>UID-FLH---2027</v>
      </c>
      <c r="C316" s="49">
        <f>Educator!C321</f>
        <v>0</v>
      </c>
      <c r="D316" s="49" t="b">
        <f t="shared" si="12"/>
        <v>0</v>
      </c>
      <c r="E316" s="49">
        <f>Educator!A321</f>
        <v>0</v>
      </c>
      <c r="F316" s="49">
        <f>Educator!B321</f>
        <v>0</v>
      </c>
      <c r="G316" s="49" t="str">
        <f>Educator!A321 &amp;" " &amp;Educator!B321</f>
        <v xml:space="preserve"> </v>
      </c>
      <c r="J316" s="49">
        <f>Educator!C321</f>
        <v>0</v>
      </c>
      <c r="K316" s="49" t="b">
        <f t="shared" si="13"/>
        <v>0</v>
      </c>
    </row>
    <row r="317" spans="1:11" x14ac:dyDescent="0.2">
      <c r="A31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","#",3))+1,1)&amp;"-"&amp;LEFT(Educator!B322, 3)&amp;"-"&amp;LEFT(Educator!A322, 3)&amp;"-"&amp;"2027"</f>
        <v>UID-FLH---2027</v>
      </c>
      <c r="C317" s="49">
        <f>Educator!C322</f>
        <v>0</v>
      </c>
      <c r="D317" s="49" t="b">
        <f t="shared" si="12"/>
        <v>0</v>
      </c>
      <c r="E317" s="49">
        <f>Educator!A322</f>
        <v>0</v>
      </c>
      <c r="F317" s="49">
        <f>Educator!B322</f>
        <v>0</v>
      </c>
      <c r="G317" s="49" t="str">
        <f>Educator!A322 &amp;" " &amp;Educator!B322</f>
        <v xml:space="preserve"> </v>
      </c>
      <c r="J317" s="49">
        <f>Educator!C322</f>
        <v>0</v>
      </c>
      <c r="K317" s="49" t="b">
        <f t="shared" si="13"/>
        <v>0</v>
      </c>
    </row>
    <row r="318" spans="1:11" x14ac:dyDescent="0.2">
      <c r="A31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","#",3))+1,1)&amp;"-"&amp;LEFT(Educator!B323, 3)&amp;"-"&amp;LEFT(Educator!A323, 3)&amp;"-"&amp;"2027"</f>
        <v>UID-FLH---2027</v>
      </c>
      <c r="C318" s="49">
        <f>Educator!C323</f>
        <v>0</v>
      </c>
      <c r="D318" s="49" t="b">
        <f t="shared" si="12"/>
        <v>0</v>
      </c>
      <c r="E318" s="49">
        <f>Educator!A323</f>
        <v>0</v>
      </c>
      <c r="F318" s="49">
        <f>Educator!B323</f>
        <v>0</v>
      </c>
      <c r="G318" s="49" t="str">
        <f>Educator!A323 &amp;" " &amp;Educator!B323</f>
        <v xml:space="preserve"> </v>
      </c>
      <c r="J318" s="49">
        <f>Educator!C323</f>
        <v>0</v>
      </c>
      <c r="K318" s="49" t="b">
        <f t="shared" si="13"/>
        <v>0</v>
      </c>
    </row>
    <row r="319" spans="1:11" x14ac:dyDescent="0.2">
      <c r="A31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","#",3))+1,1)&amp;"-"&amp;LEFT(Educator!B324, 3)&amp;"-"&amp;LEFT(Educator!A324, 3)&amp;"-"&amp;"2027"</f>
        <v>UID-FLH---2027</v>
      </c>
      <c r="C319" s="49">
        <f>Educator!C324</f>
        <v>0</v>
      </c>
      <c r="D319" s="49" t="b">
        <f t="shared" si="12"/>
        <v>0</v>
      </c>
      <c r="E319" s="49">
        <f>Educator!A324</f>
        <v>0</v>
      </c>
      <c r="F319" s="49">
        <f>Educator!B324</f>
        <v>0</v>
      </c>
      <c r="G319" s="49" t="str">
        <f>Educator!A324 &amp;" " &amp;Educator!B324</f>
        <v xml:space="preserve"> </v>
      </c>
      <c r="J319" s="49">
        <f>Educator!C324</f>
        <v>0</v>
      </c>
      <c r="K319" s="49" t="b">
        <f t="shared" si="13"/>
        <v>0</v>
      </c>
    </row>
    <row r="320" spans="1:11" x14ac:dyDescent="0.2">
      <c r="A32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","#",3))+1,1)&amp;"-"&amp;LEFT(Educator!B325, 3)&amp;"-"&amp;LEFT(Educator!A325, 3)&amp;"-"&amp;"2027"</f>
        <v>UID-FLH---2027</v>
      </c>
      <c r="C320" s="49">
        <f>Educator!C325</f>
        <v>0</v>
      </c>
      <c r="D320" s="49" t="b">
        <f t="shared" si="12"/>
        <v>0</v>
      </c>
      <c r="E320" s="49">
        <f>Educator!A325</f>
        <v>0</v>
      </c>
      <c r="F320" s="49">
        <f>Educator!B325</f>
        <v>0</v>
      </c>
      <c r="G320" s="49" t="str">
        <f>Educator!A325 &amp;" " &amp;Educator!B325</f>
        <v xml:space="preserve"> </v>
      </c>
      <c r="J320" s="49">
        <f>Educator!C325</f>
        <v>0</v>
      </c>
      <c r="K320" s="49" t="b">
        <f t="shared" si="13"/>
        <v>0</v>
      </c>
    </row>
    <row r="321" spans="1:11" x14ac:dyDescent="0.2">
      <c r="A32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","#",3))+1,1)&amp;"-"&amp;LEFT(Educator!B326, 3)&amp;"-"&amp;LEFT(Educator!A326, 3)&amp;"-"&amp;"2027"</f>
        <v>UID-FLH---2027</v>
      </c>
      <c r="C321" s="49">
        <f>Educator!C326</f>
        <v>0</v>
      </c>
      <c r="D321" s="49" t="b">
        <f t="shared" si="12"/>
        <v>0</v>
      </c>
      <c r="E321" s="49">
        <f>Educator!A326</f>
        <v>0</v>
      </c>
      <c r="F321" s="49">
        <f>Educator!B326</f>
        <v>0</v>
      </c>
      <c r="G321" s="49" t="str">
        <f>Educator!A326 &amp;" " &amp;Educator!B326</f>
        <v xml:space="preserve"> </v>
      </c>
      <c r="J321" s="49">
        <f>Educator!C326</f>
        <v>0</v>
      </c>
      <c r="K321" s="49" t="b">
        <f t="shared" si="13"/>
        <v>0</v>
      </c>
    </row>
    <row r="322" spans="1:11" x14ac:dyDescent="0.2">
      <c r="A32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","#",3))+1,1)&amp;"-"&amp;LEFT(Educator!B327, 3)&amp;"-"&amp;LEFT(Educator!A327, 3)&amp;"-"&amp;"2027"</f>
        <v>UID-FLH---2027</v>
      </c>
      <c r="C322" s="49">
        <f>Educator!C327</f>
        <v>0</v>
      </c>
      <c r="D322" s="49" t="b">
        <f t="shared" si="12"/>
        <v>0</v>
      </c>
      <c r="E322" s="49">
        <f>Educator!A327</f>
        <v>0</v>
      </c>
      <c r="F322" s="49">
        <f>Educator!B327</f>
        <v>0</v>
      </c>
      <c r="G322" s="49" t="str">
        <f>Educator!A327 &amp;" " &amp;Educator!B327</f>
        <v xml:space="preserve"> </v>
      </c>
      <c r="J322" s="49">
        <f>Educator!C327</f>
        <v>0</v>
      </c>
      <c r="K322" s="49" t="b">
        <f t="shared" si="13"/>
        <v>0</v>
      </c>
    </row>
    <row r="323" spans="1:11" x14ac:dyDescent="0.2">
      <c r="A32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","#",3))+1,1)&amp;"-"&amp;LEFT(Educator!B328, 3)&amp;"-"&amp;LEFT(Educator!A328, 3)&amp;"-"&amp;"2027"</f>
        <v>UID-FLH---2027</v>
      </c>
      <c r="C323" s="49">
        <f>Educator!C328</f>
        <v>0</v>
      </c>
      <c r="D323" s="49" t="b">
        <f t="shared" si="12"/>
        <v>0</v>
      </c>
      <c r="E323" s="49">
        <f>Educator!A328</f>
        <v>0</v>
      </c>
      <c r="F323" s="49">
        <f>Educator!B328</f>
        <v>0</v>
      </c>
      <c r="G323" s="49" t="str">
        <f>Educator!A328 &amp;" " &amp;Educator!B328</f>
        <v xml:space="preserve"> </v>
      </c>
      <c r="J323" s="49">
        <f>Educator!C328</f>
        <v>0</v>
      </c>
      <c r="K323" s="49" t="b">
        <f t="shared" si="13"/>
        <v>0</v>
      </c>
    </row>
    <row r="324" spans="1:11" x14ac:dyDescent="0.2">
      <c r="A32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","#",3))+1,1)&amp;"-"&amp;LEFT(Educator!B329, 3)&amp;"-"&amp;LEFT(Educator!A329, 3)&amp;"-"&amp;"2027"</f>
        <v>UID-FLH---2027</v>
      </c>
      <c r="C324" s="49">
        <f>Educator!C329</f>
        <v>0</v>
      </c>
      <c r="D324" s="49" t="b">
        <f t="shared" si="12"/>
        <v>0</v>
      </c>
      <c r="E324" s="49">
        <f>Educator!A329</f>
        <v>0</v>
      </c>
      <c r="F324" s="49">
        <f>Educator!B329</f>
        <v>0</v>
      </c>
      <c r="G324" s="49" t="str">
        <f>Educator!A329 &amp;" " &amp;Educator!B329</f>
        <v xml:space="preserve"> </v>
      </c>
      <c r="J324" s="49">
        <f>Educator!C329</f>
        <v>0</v>
      </c>
      <c r="K324" s="49" t="b">
        <f t="shared" si="13"/>
        <v>0</v>
      </c>
    </row>
    <row r="325" spans="1:11" x14ac:dyDescent="0.2">
      <c r="A32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","#",3))+1,1)&amp;"-"&amp;LEFT(Educator!B330, 3)&amp;"-"&amp;LEFT(Educator!A330, 3)&amp;"-"&amp;"2027"</f>
        <v>UID-FLH---2027</v>
      </c>
      <c r="C325" s="49">
        <f>Educator!C330</f>
        <v>0</v>
      </c>
      <c r="D325" s="49" t="b">
        <f t="shared" si="12"/>
        <v>0</v>
      </c>
      <c r="E325" s="49">
        <f>Educator!A330</f>
        <v>0</v>
      </c>
      <c r="F325" s="49">
        <f>Educator!B330</f>
        <v>0</v>
      </c>
      <c r="G325" s="49" t="str">
        <f>Educator!A330 &amp;" " &amp;Educator!B330</f>
        <v xml:space="preserve"> </v>
      </c>
      <c r="J325" s="49">
        <f>Educator!C330</f>
        <v>0</v>
      </c>
      <c r="K325" s="49" t="b">
        <f t="shared" si="13"/>
        <v>0</v>
      </c>
    </row>
    <row r="326" spans="1:11" x14ac:dyDescent="0.2">
      <c r="A32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","#",3))+1,1)&amp;"-"&amp;LEFT(Educator!B331, 3)&amp;"-"&amp;LEFT(Educator!A331, 3)&amp;"-"&amp;"2027"</f>
        <v>UID-FLH---2027</v>
      </c>
      <c r="C326" s="49">
        <f>Educator!C331</f>
        <v>0</v>
      </c>
      <c r="D326" s="49" t="b">
        <f t="shared" si="12"/>
        <v>0</v>
      </c>
      <c r="E326" s="49">
        <f>Educator!A331</f>
        <v>0</v>
      </c>
      <c r="F326" s="49">
        <f>Educator!B331</f>
        <v>0</v>
      </c>
      <c r="G326" s="49" t="str">
        <f>Educator!A331 &amp;" " &amp;Educator!B331</f>
        <v xml:space="preserve"> </v>
      </c>
      <c r="J326" s="49">
        <f>Educator!C331</f>
        <v>0</v>
      </c>
      <c r="K326" s="49" t="b">
        <f t="shared" si="13"/>
        <v>0</v>
      </c>
    </row>
    <row r="327" spans="1:11" x14ac:dyDescent="0.2">
      <c r="A32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","#",3))+1,1)&amp;"-"&amp;LEFT(Educator!B332, 3)&amp;"-"&amp;LEFT(Educator!A332, 3)&amp;"-"&amp;"2027"</f>
        <v>UID-FLH---2027</v>
      </c>
      <c r="C327" s="49">
        <f>Educator!C332</f>
        <v>0</v>
      </c>
      <c r="D327" s="49" t="b">
        <f t="shared" si="12"/>
        <v>0</v>
      </c>
      <c r="E327" s="49">
        <f>Educator!A332</f>
        <v>0</v>
      </c>
      <c r="F327" s="49">
        <f>Educator!B332</f>
        <v>0</v>
      </c>
      <c r="G327" s="49" t="str">
        <f>Educator!A332 &amp;" " &amp;Educator!B332</f>
        <v xml:space="preserve"> </v>
      </c>
      <c r="J327" s="49">
        <f>Educator!C332</f>
        <v>0</v>
      </c>
      <c r="K327" s="49" t="b">
        <f t="shared" si="13"/>
        <v>0</v>
      </c>
    </row>
    <row r="328" spans="1:11" x14ac:dyDescent="0.2">
      <c r="A32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","#",3))+1,1)&amp;"-"&amp;LEFT(Educator!B333, 3)&amp;"-"&amp;LEFT(Educator!A333, 3)&amp;"-"&amp;"2027"</f>
        <v>UID-FLH---2027</v>
      </c>
      <c r="C328" s="49">
        <f>Educator!C333</f>
        <v>0</v>
      </c>
      <c r="D328" s="49" t="b">
        <f t="shared" si="12"/>
        <v>0</v>
      </c>
      <c r="E328" s="49">
        <f>Educator!A333</f>
        <v>0</v>
      </c>
      <c r="F328" s="49">
        <f>Educator!B333</f>
        <v>0</v>
      </c>
      <c r="G328" s="49" t="str">
        <f>Educator!A333 &amp;" " &amp;Educator!B333</f>
        <v xml:space="preserve"> </v>
      </c>
      <c r="J328" s="49">
        <f>Educator!C333</f>
        <v>0</v>
      </c>
      <c r="K328" s="49" t="b">
        <f t="shared" si="13"/>
        <v>0</v>
      </c>
    </row>
    <row r="329" spans="1:11" x14ac:dyDescent="0.2">
      <c r="A32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","#",3))+1,1)&amp;"-"&amp;LEFT(Educator!B334, 3)&amp;"-"&amp;LEFT(Educator!A334, 3)&amp;"-"&amp;"2027"</f>
        <v>UID-FLH---2027</v>
      </c>
      <c r="C329" s="49">
        <f>Educator!C334</f>
        <v>0</v>
      </c>
      <c r="D329" s="49" t="b">
        <f t="shared" si="12"/>
        <v>0</v>
      </c>
      <c r="E329" s="49">
        <f>Educator!A334</f>
        <v>0</v>
      </c>
      <c r="F329" s="49">
        <f>Educator!B334</f>
        <v>0</v>
      </c>
      <c r="G329" s="49" t="str">
        <f>Educator!A334 &amp;" " &amp;Educator!B334</f>
        <v xml:space="preserve"> </v>
      </c>
      <c r="J329" s="49">
        <f>Educator!C334</f>
        <v>0</v>
      </c>
      <c r="K329" s="49" t="b">
        <f t="shared" si="13"/>
        <v>0</v>
      </c>
    </row>
    <row r="330" spans="1:11" x14ac:dyDescent="0.2">
      <c r="A33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","#",3))+1,1)&amp;"-"&amp;LEFT(Educator!B335, 3)&amp;"-"&amp;LEFT(Educator!A335, 3)&amp;"-"&amp;"2027"</f>
        <v>UID-FLH---2027</v>
      </c>
      <c r="C330" s="49">
        <f>Educator!C335</f>
        <v>0</v>
      </c>
      <c r="D330" s="49" t="b">
        <f t="shared" si="12"/>
        <v>0</v>
      </c>
      <c r="E330" s="49">
        <f>Educator!A335</f>
        <v>0</v>
      </c>
      <c r="F330" s="49">
        <f>Educator!B335</f>
        <v>0</v>
      </c>
      <c r="G330" s="49" t="str">
        <f>Educator!A335 &amp;" " &amp;Educator!B335</f>
        <v xml:space="preserve"> </v>
      </c>
      <c r="J330" s="49">
        <f>Educator!C335</f>
        <v>0</v>
      </c>
      <c r="K330" s="49" t="b">
        <f t="shared" si="13"/>
        <v>0</v>
      </c>
    </row>
    <row r="331" spans="1:11" x14ac:dyDescent="0.2">
      <c r="A33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","#",3))+1,1)&amp;"-"&amp;LEFT(Educator!B336, 3)&amp;"-"&amp;LEFT(Educator!A336, 3)&amp;"-"&amp;"2027"</f>
        <v>UID-FLH---2027</v>
      </c>
      <c r="C331" s="49">
        <f>Educator!C336</f>
        <v>0</v>
      </c>
      <c r="D331" s="49" t="b">
        <f t="shared" si="12"/>
        <v>0</v>
      </c>
      <c r="E331" s="49">
        <f>Educator!A336</f>
        <v>0</v>
      </c>
      <c r="F331" s="49">
        <f>Educator!B336</f>
        <v>0</v>
      </c>
      <c r="G331" s="49" t="str">
        <f>Educator!A336 &amp;" " &amp;Educator!B336</f>
        <v xml:space="preserve"> </v>
      </c>
      <c r="J331" s="49">
        <f>Educator!C336</f>
        <v>0</v>
      </c>
      <c r="K331" s="49" t="b">
        <f t="shared" si="13"/>
        <v>0</v>
      </c>
    </row>
    <row r="332" spans="1:11" x14ac:dyDescent="0.2">
      <c r="A33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","#",3))+1,1)&amp;"-"&amp;LEFT(Educator!B337, 3)&amp;"-"&amp;LEFT(Educator!A337, 3)&amp;"-"&amp;"2027"</f>
        <v>UID-FLH---2027</v>
      </c>
      <c r="C332" s="49">
        <f>Educator!C337</f>
        <v>0</v>
      </c>
      <c r="D332" s="49" t="b">
        <f t="shared" si="12"/>
        <v>0</v>
      </c>
      <c r="E332" s="49">
        <f>Educator!A337</f>
        <v>0</v>
      </c>
      <c r="F332" s="49">
        <f>Educator!B337</f>
        <v>0</v>
      </c>
      <c r="G332" s="49" t="str">
        <f>Educator!A337 &amp;" " &amp;Educator!B337</f>
        <v xml:space="preserve"> </v>
      </c>
      <c r="J332" s="49">
        <f>Educator!C337</f>
        <v>0</v>
      </c>
      <c r="K332" s="49" t="b">
        <f t="shared" si="13"/>
        <v>0</v>
      </c>
    </row>
    <row r="333" spans="1:11" x14ac:dyDescent="0.2">
      <c r="A33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","#",3))+1,1)&amp;"-"&amp;LEFT(Educator!B338, 3)&amp;"-"&amp;LEFT(Educator!A338, 3)&amp;"-"&amp;"2027"</f>
        <v>UID-FLH---2027</v>
      </c>
      <c r="C333" s="49">
        <f>Educator!C338</f>
        <v>0</v>
      </c>
      <c r="D333" s="49" t="b">
        <f t="shared" si="12"/>
        <v>0</v>
      </c>
      <c r="E333" s="49">
        <f>Educator!A338</f>
        <v>0</v>
      </c>
      <c r="F333" s="49">
        <f>Educator!B338</f>
        <v>0</v>
      </c>
      <c r="G333" s="49" t="str">
        <f>Educator!A338 &amp;" " &amp;Educator!B338</f>
        <v xml:space="preserve"> </v>
      </c>
      <c r="J333" s="49">
        <f>Educator!C338</f>
        <v>0</v>
      </c>
      <c r="K333" s="49" t="b">
        <f t="shared" si="13"/>
        <v>0</v>
      </c>
    </row>
    <row r="334" spans="1:11" x14ac:dyDescent="0.2">
      <c r="A33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","#",3))+1,1)&amp;"-"&amp;LEFT(Educator!B339, 3)&amp;"-"&amp;LEFT(Educator!A339, 3)&amp;"-"&amp;"2027"</f>
        <v>UID-FLH---2027</v>
      </c>
      <c r="C334" s="49">
        <f>Educator!C339</f>
        <v>0</v>
      </c>
      <c r="D334" s="49" t="b">
        <f t="shared" si="12"/>
        <v>0</v>
      </c>
      <c r="E334" s="49">
        <f>Educator!A339</f>
        <v>0</v>
      </c>
      <c r="F334" s="49">
        <f>Educator!B339</f>
        <v>0</v>
      </c>
      <c r="G334" s="49" t="str">
        <f>Educator!A339 &amp;" " &amp;Educator!B339</f>
        <v xml:space="preserve"> </v>
      </c>
      <c r="J334" s="49">
        <f>Educator!C339</f>
        <v>0</v>
      </c>
      <c r="K334" s="49" t="b">
        <f t="shared" si="13"/>
        <v>0</v>
      </c>
    </row>
    <row r="335" spans="1:11" x14ac:dyDescent="0.2">
      <c r="A33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","#",3))+1,1)&amp;"-"&amp;LEFT(Educator!B340, 3)&amp;"-"&amp;LEFT(Educator!A340, 3)&amp;"-"&amp;"2027"</f>
        <v>UID-FLH---2027</v>
      </c>
      <c r="C335" s="49">
        <f>Educator!C340</f>
        <v>0</v>
      </c>
      <c r="D335" s="49" t="b">
        <f t="shared" si="12"/>
        <v>0</v>
      </c>
      <c r="E335" s="49">
        <f>Educator!A340</f>
        <v>0</v>
      </c>
      <c r="F335" s="49">
        <f>Educator!B340</f>
        <v>0</v>
      </c>
      <c r="G335" s="49" t="str">
        <f>Educator!A340 &amp;" " &amp;Educator!B340</f>
        <v xml:space="preserve"> </v>
      </c>
      <c r="J335" s="49">
        <f>Educator!C340</f>
        <v>0</v>
      </c>
      <c r="K335" s="49" t="b">
        <f t="shared" si="13"/>
        <v>0</v>
      </c>
    </row>
    <row r="336" spans="1:11" x14ac:dyDescent="0.2">
      <c r="A33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","#",3))+1,1)&amp;"-"&amp;LEFT(Educator!B341, 3)&amp;"-"&amp;LEFT(Educator!A341, 3)&amp;"-"&amp;"2027"</f>
        <v>UID-FLH---2027</v>
      </c>
      <c r="C336" s="49">
        <f>Educator!C341</f>
        <v>0</v>
      </c>
      <c r="D336" s="49" t="b">
        <f t="shared" si="12"/>
        <v>0</v>
      </c>
      <c r="E336" s="49">
        <f>Educator!A341</f>
        <v>0</v>
      </c>
      <c r="F336" s="49">
        <f>Educator!B341</f>
        <v>0</v>
      </c>
      <c r="G336" s="49" t="str">
        <f>Educator!A341 &amp;" " &amp;Educator!B341</f>
        <v xml:space="preserve"> </v>
      </c>
      <c r="J336" s="49">
        <f>Educator!C341</f>
        <v>0</v>
      </c>
      <c r="K336" s="49" t="b">
        <f t="shared" si="13"/>
        <v>0</v>
      </c>
    </row>
    <row r="337" spans="1:11" x14ac:dyDescent="0.2">
      <c r="A33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","#",3))+1,1)&amp;"-"&amp;LEFT(Educator!B342, 3)&amp;"-"&amp;LEFT(Educator!A342, 3)&amp;"-"&amp;"2027"</f>
        <v>UID-FLH---2027</v>
      </c>
      <c r="C337" s="49">
        <f>Educator!C342</f>
        <v>0</v>
      </c>
      <c r="D337" s="49" t="b">
        <f t="shared" si="12"/>
        <v>0</v>
      </c>
      <c r="E337" s="49">
        <f>Educator!A342</f>
        <v>0</v>
      </c>
      <c r="F337" s="49">
        <f>Educator!B342</f>
        <v>0</v>
      </c>
      <c r="G337" s="49" t="str">
        <f>Educator!A342 &amp;" " &amp;Educator!B342</f>
        <v xml:space="preserve"> </v>
      </c>
      <c r="J337" s="49">
        <f>Educator!C342</f>
        <v>0</v>
      </c>
      <c r="K337" s="49" t="b">
        <f t="shared" si="13"/>
        <v>0</v>
      </c>
    </row>
    <row r="338" spans="1:11" x14ac:dyDescent="0.2">
      <c r="A33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","#",3))+1,1)&amp;"-"&amp;LEFT(Educator!B343, 3)&amp;"-"&amp;LEFT(Educator!A343, 3)&amp;"-"&amp;"2027"</f>
        <v>UID-FLH---2027</v>
      </c>
      <c r="C338" s="49">
        <f>Educator!C343</f>
        <v>0</v>
      </c>
      <c r="D338" s="49" t="b">
        <f t="shared" ref="D338:D401" si="14">IF(C338&gt;0,"topscore123")</f>
        <v>0</v>
      </c>
      <c r="E338" s="49">
        <f>Educator!A343</f>
        <v>0</v>
      </c>
      <c r="F338" s="49">
        <f>Educator!B343</f>
        <v>0</v>
      </c>
      <c r="G338" s="49" t="str">
        <f>Educator!A343 &amp;" " &amp;Educator!B343</f>
        <v xml:space="preserve"> </v>
      </c>
      <c r="J338" s="49">
        <f>Educator!C343</f>
        <v>0</v>
      </c>
      <c r="K338" s="49" t="b">
        <f t="shared" ref="K338:K401" si="15">IF(C338&gt;0,"active")</f>
        <v>0</v>
      </c>
    </row>
    <row r="339" spans="1:11" x14ac:dyDescent="0.2">
      <c r="A33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","#",3))+1,1)&amp;"-"&amp;LEFT(Educator!B344, 3)&amp;"-"&amp;LEFT(Educator!A344, 3)&amp;"-"&amp;"2027"</f>
        <v>UID-FLH---2027</v>
      </c>
      <c r="C339" s="49">
        <f>Educator!C344</f>
        <v>0</v>
      </c>
      <c r="D339" s="49" t="b">
        <f t="shared" si="14"/>
        <v>0</v>
      </c>
      <c r="E339" s="49">
        <f>Educator!A344</f>
        <v>0</v>
      </c>
      <c r="F339" s="49">
        <f>Educator!B344</f>
        <v>0</v>
      </c>
      <c r="G339" s="49" t="str">
        <f>Educator!A344 &amp;" " &amp;Educator!B344</f>
        <v xml:space="preserve"> </v>
      </c>
      <c r="J339" s="49">
        <f>Educator!C344</f>
        <v>0</v>
      </c>
      <c r="K339" s="49" t="b">
        <f t="shared" si="15"/>
        <v>0</v>
      </c>
    </row>
    <row r="340" spans="1:11" x14ac:dyDescent="0.2">
      <c r="A34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","#",3))+1,1)&amp;"-"&amp;LEFT(Educator!B345, 3)&amp;"-"&amp;LEFT(Educator!A345, 3)&amp;"-"&amp;"2027"</f>
        <v>UID-FLH---2027</v>
      </c>
      <c r="C340" s="49">
        <f>Educator!C345</f>
        <v>0</v>
      </c>
      <c r="D340" s="49" t="b">
        <f t="shared" si="14"/>
        <v>0</v>
      </c>
      <c r="E340" s="49">
        <f>Educator!A345</f>
        <v>0</v>
      </c>
      <c r="F340" s="49">
        <f>Educator!B345</f>
        <v>0</v>
      </c>
      <c r="G340" s="49" t="str">
        <f>Educator!A345 &amp;" " &amp;Educator!B345</f>
        <v xml:space="preserve"> </v>
      </c>
      <c r="J340" s="49">
        <f>Educator!C345</f>
        <v>0</v>
      </c>
      <c r="K340" s="49" t="b">
        <f t="shared" si="15"/>
        <v>0</v>
      </c>
    </row>
    <row r="341" spans="1:11" x14ac:dyDescent="0.2">
      <c r="A34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","#",3))+1,1)&amp;"-"&amp;LEFT(Educator!B346, 3)&amp;"-"&amp;LEFT(Educator!A346, 3)&amp;"-"&amp;"2027"</f>
        <v>UID-FLH---2027</v>
      </c>
      <c r="C341" s="49">
        <f>Educator!C346</f>
        <v>0</v>
      </c>
      <c r="D341" s="49" t="b">
        <f t="shared" si="14"/>
        <v>0</v>
      </c>
      <c r="E341" s="49">
        <f>Educator!A346</f>
        <v>0</v>
      </c>
      <c r="F341" s="49">
        <f>Educator!B346</f>
        <v>0</v>
      </c>
      <c r="G341" s="49" t="str">
        <f>Educator!A346 &amp;" " &amp;Educator!B346</f>
        <v xml:space="preserve"> </v>
      </c>
      <c r="J341" s="49">
        <f>Educator!C346</f>
        <v>0</v>
      </c>
      <c r="K341" s="49" t="b">
        <f t="shared" si="15"/>
        <v>0</v>
      </c>
    </row>
    <row r="342" spans="1:11" x14ac:dyDescent="0.2">
      <c r="A34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","#",3))+1,1)&amp;"-"&amp;LEFT(Educator!B347, 3)&amp;"-"&amp;LEFT(Educator!A347, 3)&amp;"-"&amp;"2027"</f>
        <v>UID-FLH---2027</v>
      </c>
      <c r="C342" s="49">
        <f>Educator!C347</f>
        <v>0</v>
      </c>
      <c r="D342" s="49" t="b">
        <f t="shared" si="14"/>
        <v>0</v>
      </c>
      <c r="E342" s="49">
        <f>Educator!A347</f>
        <v>0</v>
      </c>
      <c r="F342" s="49">
        <f>Educator!B347</f>
        <v>0</v>
      </c>
      <c r="G342" s="49" t="str">
        <f>Educator!A347 &amp;" " &amp;Educator!B347</f>
        <v xml:space="preserve"> </v>
      </c>
      <c r="J342" s="49">
        <f>Educator!C347</f>
        <v>0</v>
      </c>
      <c r="K342" s="49" t="b">
        <f t="shared" si="15"/>
        <v>0</v>
      </c>
    </row>
    <row r="343" spans="1:11" x14ac:dyDescent="0.2">
      <c r="A34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","#",3))+1,1)&amp;"-"&amp;LEFT(Educator!B348, 3)&amp;"-"&amp;LEFT(Educator!A348, 3)&amp;"-"&amp;"2027"</f>
        <v>UID-FLH---2027</v>
      </c>
      <c r="C343" s="49">
        <f>Educator!C348</f>
        <v>0</v>
      </c>
      <c r="D343" s="49" t="b">
        <f t="shared" si="14"/>
        <v>0</v>
      </c>
      <c r="E343" s="49">
        <f>Educator!A348</f>
        <v>0</v>
      </c>
      <c r="F343" s="49">
        <f>Educator!B348</f>
        <v>0</v>
      </c>
      <c r="G343" s="49" t="str">
        <f>Educator!A348 &amp;" " &amp;Educator!B348</f>
        <v xml:space="preserve"> </v>
      </c>
      <c r="J343" s="49">
        <f>Educator!C348</f>
        <v>0</v>
      </c>
      <c r="K343" s="49" t="b">
        <f t="shared" si="15"/>
        <v>0</v>
      </c>
    </row>
    <row r="344" spans="1:11" x14ac:dyDescent="0.2">
      <c r="A34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","#",3))+1,1)&amp;"-"&amp;LEFT(Educator!B349, 3)&amp;"-"&amp;LEFT(Educator!A349, 3)&amp;"-"&amp;"2027"</f>
        <v>UID-FLH---2027</v>
      </c>
      <c r="C344" s="49">
        <f>Educator!C349</f>
        <v>0</v>
      </c>
      <c r="D344" s="49" t="b">
        <f t="shared" si="14"/>
        <v>0</v>
      </c>
      <c r="E344" s="49">
        <f>Educator!A349</f>
        <v>0</v>
      </c>
      <c r="F344" s="49">
        <f>Educator!B349</f>
        <v>0</v>
      </c>
      <c r="G344" s="49" t="str">
        <f>Educator!A349 &amp;" " &amp;Educator!B349</f>
        <v xml:space="preserve"> </v>
      </c>
      <c r="J344" s="49">
        <f>Educator!C349</f>
        <v>0</v>
      </c>
      <c r="K344" s="49" t="b">
        <f t="shared" si="15"/>
        <v>0</v>
      </c>
    </row>
    <row r="345" spans="1:11" x14ac:dyDescent="0.2">
      <c r="A34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","#",3))+1,1)&amp;"-"&amp;LEFT(Educator!B350, 3)&amp;"-"&amp;LEFT(Educator!A350, 3)&amp;"-"&amp;"2027"</f>
        <v>UID-FLH---2027</v>
      </c>
      <c r="C345" s="49">
        <f>Educator!C350</f>
        <v>0</v>
      </c>
      <c r="D345" s="49" t="b">
        <f t="shared" si="14"/>
        <v>0</v>
      </c>
      <c r="E345" s="49">
        <f>Educator!A350</f>
        <v>0</v>
      </c>
      <c r="F345" s="49">
        <f>Educator!B350</f>
        <v>0</v>
      </c>
      <c r="G345" s="49" t="str">
        <f>Educator!A350 &amp;" " &amp;Educator!B350</f>
        <v xml:space="preserve"> </v>
      </c>
      <c r="J345" s="49">
        <f>Educator!C350</f>
        <v>0</v>
      </c>
      <c r="K345" s="49" t="b">
        <f t="shared" si="15"/>
        <v>0</v>
      </c>
    </row>
    <row r="346" spans="1:11" x14ac:dyDescent="0.2">
      <c r="A34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","#",3))+1,1)&amp;"-"&amp;LEFT(Educator!B351, 3)&amp;"-"&amp;LEFT(Educator!A351, 3)&amp;"-"&amp;"2027"</f>
        <v>UID-FLH---2027</v>
      </c>
      <c r="C346" s="49">
        <f>Educator!C351</f>
        <v>0</v>
      </c>
      <c r="D346" s="49" t="b">
        <f t="shared" si="14"/>
        <v>0</v>
      </c>
      <c r="E346" s="49">
        <f>Educator!A351</f>
        <v>0</v>
      </c>
      <c r="F346" s="49">
        <f>Educator!B351</f>
        <v>0</v>
      </c>
      <c r="G346" s="49" t="str">
        <f>Educator!A351 &amp;" " &amp;Educator!B351</f>
        <v xml:space="preserve"> </v>
      </c>
      <c r="J346" s="49">
        <f>Educator!C351</f>
        <v>0</v>
      </c>
      <c r="K346" s="49" t="b">
        <f t="shared" si="15"/>
        <v>0</v>
      </c>
    </row>
    <row r="347" spans="1:11" x14ac:dyDescent="0.2">
      <c r="A34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","#",3))+1,1)&amp;"-"&amp;LEFT(Educator!B352, 3)&amp;"-"&amp;LEFT(Educator!A352, 3)&amp;"-"&amp;"2027"</f>
        <v>UID-FLH---2027</v>
      </c>
      <c r="C347" s="49">
        <f>Educator!C352</f>
        <v>0</v>
      </c>
      <c r="D347" s="49" t="b">
        <f t="shared" si="14"/>
        <v>0</v>
      </c>
      <c r="E347" s="49">
        <f>Educator!A352</f>
        <v>0</v>
      </c>
      <c r="F347" s="49">
        <f>Educator!B352</f>
        <v>0</v>
      </c>
      <c r="G347" s="49" t="str">
        <f>Educator!A352 &amp;" " &amp;Educator!B352</f>
        <v xml:space="preserve"> </v>
      </c>
      <c r="J347" s="49">
        <f>Educator!C352</f>
        <v>0</v>
      </c>
      <c r="K347" s="49" t="b">
        <f t="shared" si="15"/>
        <v>0</v>
      </c>
    </row>
    <row r="348" spans="1:11" x14ac:dyDescent="0.2">
      <c r="A34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","#",3))+1,1)&amp;"-"&amp;LEFT(Educator!B353, 3)&amp;"-"&amp;LEFT(Educator!A353, 3)&amp;"-"&amp;"2027"</f>
        <v>UID-FLH---2027</v>
      </c>
      <c r="C348" s="49">
        <f>Educator!C353</f>
        <v>0</v>
      </c>
      <c r="D348" s="49" t="b">
        <f t="shared" si="14"/>
        <v>0</v>
      </c>
      <c r="E348" s="49">
        <f>Educator!A353</f>
        <v>0</v>
      </c>
      <c r="F348" s="49">
        <f>Educator!B353</f>
        <v>0</v>
      </c>
      <c r="G348" s="49" t="str">
        <f>Educator!A353 &amp;" " &amp;Educator!B353</f>
        <v xml:space="preserve"> </v>
      </c>
      <c r="J348" s="49">
        <f>Educator!C353</f>
        <v>0</v>
      </c>
      <c r="K348" s="49" t="b">
        <f t="shared" si="15"/>
        <v>0</v>
      </c>
    </row>
    <row r="349" spans="1:11" x14ac:dyDescent="0.2">
      <c r="A34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","#",3))+1,1)&amp;"-"&amp;LEFT(Educator!B354, 3)&amp;"-"&amp;LEFT(Educator!A354, 3)&amp;"-"&amp;"2027"</f>
        <v>UID-FLH---2027</v>
      </c>
      <c r="C349" s="49">
        <f>Educator!C354</f>
        <v>0</v>
      </c>
      <c r="D349" s="49" t="b">
        <f t="shared" si="14"/>
        <v>0</v>
      </c>
      <c r="E349" s="49">
        <f>Educator!A354</f>
        <v>0</v>
      </c>
      <c r="F349" s="49">
        <f>Educator!B354</f>
        <v>0</v>
      </c>
      <c r="G349" s="49" t="str">
        <f>Educator!A354 &amp;" " &amp;Educator!B354</f>
        <v xml:space="preserve"> </v>
      </c>
      <c r="J349" s="49">
        <f>Educator!C354</f>
        <v>0</v>
      </c>
      <c r="K349" s="49" t="b">
        <f t="shared" si="15"/>
        <v>0</v>
      </c>
    </row>
    <row r="350" spans="1:11" x14ac:dyDescent="0.2">
      <c r="A35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","#",3))+1,1)&amp;"-"&amp;LEFT(Educator!B355, 3)&amp;"-"&amp;LEFT(Educator!A355, 3)&amp;"-"&amp;"2027"</f>
        <v>UID-FLH---2027</v>
      </c>
      <c r="C350" s="49">
        <f>Educator!C355</f>
        <v>0</v>
      </c>
      <c r="D350" s="49" t="b">
        <f t="shared" si="14"/>
        <v>0</v>
      </c>
      <c r="E350" s="49">
        <f>Educator!A355</f>
        <v>0</v>
      </c>
      <c r="F350" s="49">
        <f>Educator!B355</f>
        <v>0</v>
      </c>
      <c r="G350" s="49" t="str">
        <f>Educator!A355 &amp;" " &amp;Educator!B355</f>
        <v xml:space="preserve"> </v>
      </c>
      <c r="J350" s="49">
        <f>Educator!C355</f>
        <v>0</v>
      </c>
      <c r="K350" s="49" t="b">
        <f t="shared" si="15"/>
        <v>0</v>
      </c>
    </row>
    <row r="351" spans="1:11" x14ac:dyDescent="0.2">
      <c r="A35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","#",3))+1,1)&amp;"-"&amp;LEFT(Educator!B356, 3)&amp;"-"&amp;LEFT(Educator!A356, 3)&amp;"-"&amp;"2027"</f>
        <v>UID-FLH---2027</v>
      </c>
      <c r="C351" s="49">
        <f>Educator!C356</f>
        <v>0</v>
      </c>
      <c r="D351" s="49" t="b">
        <f t="shared" si="14"/>
        <v>0</v>
      </c>
      <c r="E351" s="49">
        <f>Educator!A356</f>
        <v>0</v>
      </c>
      <c r="F351" s="49">
        <f>Educator!B356</f>
        <v>0</v>
      </c>
      <c r="G351" s="49" t="str">
        <f>Educator!A356 &amp;" " &amp;Educator!B356</f>
        <v xml:space="preserve"> </v>
      </c>
      <c r="J351" s="49">
        <f>Educator!C356</f>
        <v>0</v>
      </c>
      <c r="K351" s="49" t="b">
        <f t="shared" si="15"/>
        <v>0</v>
      </c>
    </row>
    <row r="352" spans="1:11" x14ac:dyDescent="0.2">
      <c r="A35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","#",3))+1,1)&amp;"-"&amp;LEFT(Educator!B357, 3)&amp;"-"&amp;LEFT(Educator!A357, 3)&amp;"-"&amp;"2027"</f>
        <v>UID-FLH---2027</v>
      </c>
      <c r="C352" s="49">
        <f>Educator!C357</f>
        <v>0</v>
      </c>
      <c r="D352" s="49" t="b">
        <f t="shared" si="14"/>
        <v>0</v>
      </c>
      <c r="E352" s="49">
        <f>Educator!A357</f>
        <v>0</v>
      </c>
      <c r="F352" s="49">
        <f>Educator!B357</f>
        <v>0</v>
      </c>
      <c r="G352" s="49" t="str">
        <f>Educator!A357 &amp;" " &amp;Educator!B357</f>
        <v xml:space="preserve"> </v>
      </c>
      <c r="J352" s="49">
        <f>Educator!C357</f>
        <v>0</v>
      </c>
      <c r="K352" s="49" t="b">
        <f t="shared" si="15"/>
        <v>0</v>
      </c>
    </row>
    <row r="353" spans="1:11" x14ac:dyDescent="0.2">
      <c r="A35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","#",3))+1,1)&amp;"-"&amp;LEFT(Educator!B358, 3)&amp;"-"&amp;LEFT(Educator!A358, 3)&amp;"-"&amp;"2027"</f>
        <v>UID-FLH---2027</v>
      </c>
      <c r="C353" s="49">
        <f>Educator!C358</f>
        <v>0</v>
      </c>
      <c r="D353" s="49" t="b">
        <f t="shared" si="14"/>
        <v>0</v>
      </c>
      <c r="E353" s="49">
        <f>Educator!A358</f>
        <v>0</v>
      </c>
      <c r="F353" s="49">
        <f>Educator!B358</f>
        <v>0</v>
      </c>
      <c r="G353" s="49" t="str">
        <f>Educator!A358 &amp;" " &amp;Educator!B358</f>
        <v xml:space="preserve"> </v>
      </c>
      <c r="J353" s="49">
        <f>Educator!C358</f>
        <v>0</v>
      </c>
      <c r="K353" s="49" t="b">
        <f t="shared" si="15"/>
        <v>0</v>
      </c>
    </row>
    <row r="354" spans="1:11" x14ac:dyDescent="0.2">
      <c r="A35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","#",3))+1,1)&amp;"-"&amp;LEFT(Educator!B359, 3)&amp;"-"&amp;LEFT(Educator!A359, 3)&amp;"-"&amp;"2027"</f>
        <v>UID-FLH---2027</v>
      </c>
      <c r="C354" s="49">
        <f>Educator!C359</f>
        <v>0</v>
      </c>
      <c r="D354" s="49" t="b">
        <f t="shared" si="14"/>
        <v>0</v>
      </c>
      <c r="E354" s="49">
        <f>Educator!A359</f>
        <v>0</v>
      </c>
      <c r="F354" s="49">
        <f>Educator!B359</f>
        <v>0</v>
      </c>
      <c r="G354" s="49" t="str">
        <f>Educator!A359 &amp;" " &amp;Educator!B359</f>
        <v xml:space="preserve"> </v>
      </c>
      <c r="J354" s="49">
        <f>Educator!C359</f>
        <v>0</v>
      </c>
      <c r="K354" s="49" t="b">
        <f t="shared" si="15"/>
        <v>0</v>
      </c>
    </row>
    <row r="355" spans="1:11" x14ac:dyDescent="0.2">
      <c r="A35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","#",3))+1,1)&amp;"-"&amp;LEFT(Educator!B360, 3)&amp;"-"&amp;LEFT(Educator!A360, 3)&amp;"-"&amp;"2027"</f>
        <v>UID-FLH---2027</v>
      </c>
      <c r="C355" s="49">
        <f>Educator!C360</f>
        <v>0</v>
      </c>
      <c r="D355" s="49" t="b">
        <f t="shared" si="14"/>
        <v>0</v>
      </c>
      <c r="E355" s="49">
        <f>Educator!A360</f>
        <v>0</v>
      </c>
      <c r="F355" s="49">
        <f>Educator!B360</f>
        <v>0</v>
      </c>
      <c r="G355" s="49" t="str">
        <f>Educator!A360 &amp;" " &amp;Educator!B360</f>
        <v xml:space="preserve"> </v>
      </c>
      <c r="J355" s="49">
        <f>Educator!C360</f>
        <v>0</v>
      </c>
      <c r="K355" s="49" t="b">
        <f t="shared" si="15"/>
        <v>0</v>
      </c>
    </row>
    <row r="356" spans="1:11" x14ac:dyDescent="0.2">
      <c r="A35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","#",3))+1,1)&amp;"-"&amp;LEFT(Educator!B361, 3)&amp;"-"&amp;LEFT(Educator!A361, 3)&amp;"-"&amp;"2027"</f>
        <v>UID-FLH---2027</v>
      </c>
      <c r="C356" s="49">
        <f>Educator!C361</f>
        <v>0</v>
      </c>
      <c r="D356" s="49" t="b">
        <f t="shared" si="14"/>
        <v>0</v>
      </c>
      <c r="E356" s="49">
        <f>Educator!A361</f>
        <v>0</v>
      </c>
      <c r="F356" s="49">
        <f>Educator!B361</f>
        <v>0</v>
      </c>
      <c r="G356" s="49" t="str">
        <f>Educator!A361 &amp;" " &amp;Educator!B361</f>
        <v xml:space="preserve"> </v>
      </c>
      <c r="J356" s="49">
        <f>Educator!C361</f>
        <v>0</v>
      </c>
      <c r="K356" s="49" t="b">
        <f t="shared" si="15"/>
        <v>0</v>
      </c>
    </row>
    <row r="357" spans="1:11" x14ac:dyDescent="0.2">
      <c r="A35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","#",3))+1,1)&amp;"-"&amp;LEFT(Educator!B362, 3)&amp;"-"&amp;LEFT(Educator!A362, 3)&amp;"-"&amp;"2027"</f>
        <v>UID-FLH---2027</v>
      </c>
      <c r="C357" s="49">
        <f>Educator!C362</f>
        <v>0</v>
      </c>
      <c r="D357" s="49" t="b">
        <f t="shared" si="14"/>
        <v>0</v>
      </c>
      <c r="E357" s="49">
        <f>Educator!A362</f>
        <v>0</v>
      </c>
      <c r="F357" s="49">
        <f>Educator!B362</f>
        <v>0</v>
      </c>
      <c r="G357" s="49" t="str">
        <f>Educator!A362 &amp;" " &amp;Educator!B362</f>
        <v xml:space="preserve"> </v>
      </c>
      <c r="J357" s="49">
        <f>Educator!C362</f>
        <v>0</v>
      </c>
      <c r="K357" s="49" t="b">
        <f t="shared" si="15"/>
        <v>0</v>
      </c>
    </row>
    <row r="358" spans="1:11" x14ac:dyDescent="0.2">
      <c r="A35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","#",3))+1,1)&amp;"-"&amp;LEFT(Educator!B363, 3)&amp;"-"&amp;LEFT(Educator!A363, 3)&amp;"-"&amp;"2027"</f>
        <v>UID-FLH---2027</v>
      </c>
      <c r="C358" s="49">
        <f>Educator!C363</f>
        <v>0</v>
      </c>
      <c r="D358" s="49" t="b">
        <f t="shared" si="14"/>
        <v>0</v>
      </c>
      <c r="E358" s="49">
        <f>Educator!A363</f>
        <v>0</v>
      </c>
      <c r="F358" s="49">
        <f>Educator!B363</f>
        <v>0</v>
      </c>
      <c r="G358" s="49" t="str">
        <f>Educator!A363 &amp;" " &amp;Educator!B363</f>
        <v xml:space="preserve"> </v>
      </c>
      <c r="J358" s="49">
        <f>Educator!C363</f>
        <v>0</v>
      </c>
      <c r="K358" s="49" t="b">
        <f t="shared" si="15"/>
        <v>0</v>
      </c>
    </row>
    <row r="359" spans="1:11" x14ac:dyDescent="0.2">
      <c r="A35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","#",3))+1,1)&amp;"-"&amp;LEFT(Educator!B364, 3)&amp;"-"&amp;LEFT(Educator!A364, 3)&amp;"-"&amp;"2027"</f>
        <v>UID-FLH---2027</v>
      </c>
      <c r="C359" s="49">
        <f>Educator!C364</f>
        <v>0</v>
      </c>
      <c r="D359" s="49" t="b">
        <f t="shared" si="14"/>
        <v>0</v>
      </c>
      <c r="E359" s="49">
        <f>Educator!A364</f>
        <v>0</v>
      </c>
      <c r="F359" s="49">
        <f>Educator!B364</f>
        <v>0</v>
      </c>
      <c r="G359" s="49" t="str">
        <f>Educator!A364 &amp;" " &amp;Educator!B364</f>
        <v xml:space="preserve"> </v>
      </c>
      <c r="J359" s="49">
        <f>Educator!C364</f>
        <v>0</v>
      </c>
      <c r="K359" s="49" t="b">
        <f t="shared" si="15"/>
        <v>0</v>
      </c>
    </row>
    <row r="360" spans="1:11" x14ac:dyDescent="0.2">
      <c r="A36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","#",3))+1,1)&amp;"-"&amp;LEFT(Educator!B365, 3)&amp;"-"&amp;LEFT(Educator!A365, 3)&amp;"-"&amp;"2027"</f>
        <v>UID-FLH---2027</v>
      </c>
      <c r="C360" s="49">
        <f>Educator!C365</f>
        <v>0</v>
      </c>
      <c r="D360" s="49" t="b">
        <f t="shared" si="14"/>
        <v>0</v>
      </c>
      <c r="E360" s="49">
        <f>Educator!A365</f>
        <v>0</v>
      </c>
      <c r="F360" s="49">
        <f>Educator!B365</f>
        <v>0</v>
      </c>
      <c r="G360" s="49" t="str">
        <f>Educator!A365 &amp;" " &amp;Educator!B365</f>
        <v xml:space="preserve"> </v>
      </c>
      <c r="J360" s="49">
        <f>Educator!C365</f>
        <v>0</v>
      </c>
      <c r="K360" s="49" t="b">
        <f t="shared" si="15"/>
        <v>0</v>
      </c>
    </row>
    <row r="361" spans="1:11" x14ac:dyDescent="0.2">
      <c r="A36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","#",3))+1,1)&amp;"-"&amp;LEFT(Educator!B366, 3)&amp;"-"&amp;LEFT(Educator!A366, 3)&amp;"-"&amp;"2027"</f>
        <v>UID-FLH---2027</v>
      </c>
      <c r="C361" s="49">
        <f>Educator!C366</f>
        <v>0</v>
      </c>
      <c r="D361" s="49" t="b">
        <f t="shared" si="14"/>
        <v>0</v>
      </c>
      <c r="E361" s="49">
        <f>Educator!A366</f>
        <v>0</v>
      </c>
      <c r="F361" s="49">
        <f>Educator!B366</f>
        <v>0</v>
      </c>
      <c r="G361" s="49" t="str">
        <f>Educator!A366 &amp;" " &amp;Educator!B366</f>
        <v xml:space="preserve"> </v>
      </c>
      <c r="J361" s="49">
        <f>Educator!C366</f>
        <v>0</v>
      </c>
      <c r="K361" s="49" t="b">
        <f t="shared" si="15"/>
        <v>0</v>
      </c>
    </row>
    <row r="362" spans="1:11" x14ac:dyDescent="0.2">
      <c r="A36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","#",3))+1,1)&amp;"-"&amp;LEFT(Educator!B367, 3)&amp;"-"&amp;LEFT(Educator!A367, 3)&amp;"-"&amp;"2027"</f>
        <v>UID-FLH---2027</v>
      </c>
      <c r="C362" s="49">
        <f>Educator!C367</f>
        <v>0</v>
      </c>
      <c r="D362" s="49" t="b">
        <f t="shared" si="14"/>
        <v>0</v>
      </c>
      <c r="E362" s="49">
        <f>Educator!A367</f>
        <v>0</v>
      </c>
      <c r="F362" s="49">
        <f>Educator!B367</f>
        <v>0</v>
      </c>
      <c r="G362" s="49" t="str">
        <f>Educator!A367 &amp;" " &amp;Educator!B367</f>
        <v xml:space="preserve"> </v>
      </c>
      <c r="J362" s="49">
        <f>Educator!C367</f>
        <v>0</v>
      </c>
      <c r="K362" s="49" t="b">
        <f t="shared" si="15"/>
        <v>0</v>
      </c>
    </row>
    <row r="363" spans="1:11" x14ac:dyDescent="0.2">
      <c r="A36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","#",3))+1,1)&amp;"-"&amp;LEFT(Educator!B368, 3)&amp;"-"&amp;LEFT(Educator!A368, 3)&amp;"-"&amp;"2027"</f>
        <v>UID-FLH---2027</v>
      </c>
      <c r="C363" s="49">
        <f>Educator!C368</f>
        <v>0</v>
      </c>
      <c r="D363" s="49" t="b">
        <f t="shared" si="14"/>
        <v>0</v>
      </c>
      <c r="E363" s="49">
        <f>Educator!A368</f>
        <v>0</v>
      </c>
      <c r="F363" s="49">
        <f>Educator!B368</f>
        <v>0</v>
      </c>
      <c r="G363" s="49" t="str">
        <f>Educator!A368 &amp;" " &amp;Educator!B368</f>
        <v xml:space="preserve"> </v>
      </c>
      <c r="J363" s="49">
        <f>Educator!C368</f>
        <v>0</v>
      </c>
      <c r="K363" s="49" t="b">
        <f t="shared" si="15"/>
        <v>0</v>
      </c>
    </row>
    <row r="364" spans="1:11" x14ac:dyDescent="0.2">
      <c r="A36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","#",3))+1,1)&amp;"-"&amp;LEFT(Educator!B369, 3)&amp;"-"&amp;LEFT(Educator!A369, 3)&amp;"-"&amp;"2027"</f>
        <v>UID-FLH---2027</v>
      </c>
      <c r="C364" s="49">
        <f>Educator!C369</f>
        <v>0</v>
      </c>
      <c r="D364" s="49" t="b">
        <f t="shared" si="14"/>
        <v>0</v>
      </c>
      <c r="E364" s="49">
        <f>Educator!A369</f>
        <v>0</v>
      </c>
      <c r="F364" s="49">
        <f>Educator!B369</f>
        <v>0</v>
      </c>
      <c r="G364" s="49" t="str">
        <f>Educator!A369 &amp;" " &amp;Educator!B369</f>
        <v xml:space="preserve"> </v>
      </c>
      <c r="J364" s="49">
        <f>Educator!C369</f>
        <v>0</v>
      </c>
      <c r="K364" s="49" t="b">
        <f t="shared" si="15"/>
        <v>0</v>
      </c>
    </row>
    <row r="365" spans="1:11" x14ac:dyDescent="0.2">
      <c r="A36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","#",3))+1,1)&amp;"-"&amp;LEFT(Educator!B370, 3)&amp;"-"&amp;LEFT(Educator!A370, 3)&amp;"-"&amp;"2027"</f>
        <v>UID-FLH---2027</v>
      </c>
      <c r="C365" s="49">
        <f>Educator!C370</f>
        <v>0</v>
      </c>
      <c r="D365" s="49" t="b">
        <f t="shared" si="14"/>
        <v>0</v>
      </c>
      <c r="E365" s="49">
        <f>Educator!A370</f>
        <v>0</v>
      </c>
      <c r="F365" s="49">
        <f>Educator!B370</f>
        <v>0</v>
      </c>
      <c r="G365" s="49" t="str">
        <f>Educator!A370 &amp;" " &amp;Educator!B370</f>
        <v xml:space="preserve"> </v>
      </c>
      <c r="J365" s="49">
        <f>Educator!C370</f>
        <v>0</v>
      </c>
      <c r="K365" s="49" t="b">
        <f t="shared" si="15"/>
        <v>0</v>
      </c>
    </row>
    <row r="366" spans="1:11" x14ac:dyDescent="0.2">
      <c r="A36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","#",3))+1,1)&amp;"-"&amp;LEFT(Educator!B371, 3)&amp;"-"&amp;LEFT(Educator!A371, 3)&amp;"-"&amp;"2027"</f>
        <v>UID-FLH---2027</v>
      </c>
      <c r="C366" s="49">
        <f>Educator!C371</f>
        <v>0</v>
      </c>
      <c r="D366" s="49" t="b">
        <f t="shared" si="14"/>
        <v>0</v>
      </c>
      <c r="E366" s="49">
        <f>Educator!A371</f>
        <v>0</v>
      </c>
      <c r="F366" s="49">
        <f>Educator!B371</f>
        <v>0</v>
      </c>
      <c r="G366" s="49" t="str">
        <f>Educator!A371 &amp;" " &amp;Educator!B371</f>
        <v xml:space="preserve"> </v>
      </c>
      <c r="J366" s="49">
        <f>Educator!C371</f>
        <v>0</v>
      </c>
      <c r="K366" s="49" t="b">
        <f t="shared" si="15"/>
        <v>0</v>
      </c>
    </row>
    <row r="367" spans="1:11" x14ac:dyDescent="0.2">
      <c r="A36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","#",3))+1,1)&amp;"-"&amp;LEFT(Educator!B372, 3)&amp;"-"&amp;LEFT(Educator!A372, 3)&amp;"-"&amp;"2027"</f>
        <v>UID-FLH---2027</v>
      </c>
      <c r="C367" s="49">
        <f>Educator!C372</f>
        <v>0</v>
      </c>
      <c r="D367" s="49" t="b">
        <f t="shared" si="14"/>
        <v>0</v>
      </c>
      <c r="E367" s="49">
        <f>Educator!A372</f>
        <v>0</v>
      </c>
      <c r="F367" s="49">
        <f>Educator!B372</f>
        <v>0</v>
      </c>
      <c r="G367" s="49" t="str">
        <f>Educator!A372 &amp;" " &amp;Educator!B372</f>
        <v xml:space="preserve"> </v>
      </c>
      <c r="J367" s="49">
        <f>Educator!C372</f>
        <v>0</v>
      </c>
      <c r="K367" s="49" t="b">
        <f t="shared" si="15"/>
        <v>0</v>
      </c>
    </row>
    <row r="368" spans="1:11" x14ac:dyDescent="0.2">
      <c r="A36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","#",3))+1,1)&amp;"-"&amp;LEFT(Educator!B373, 3)&amp;"-"&amp;LEFT(Educator!A373, 3)&amp;"-"&amp;"2027"</f>
        <v>UID-FLH---2027</v>
      </c>
      <c r="C368" s="49">
        <f>Educator!C373</f>
        <v>0</v>
      </c>
      <c r="D368" s="49" t="b">
        <f t="shared" si="14"/>
        <v>0</v>
      </c>
      <c r="E368" s="49">
        <f>Educator!A373</f>
        <v>0</v>
      </c>
      <c r="F368" s="49">
        <f>Educator!B373</f>
        <v>0</v>
      </c>
      <c r="G368" s="49" t="str">
        <f>Educator!A373 &amp;" " &amp;Educator!B373</f>
        <v xml:space="preserve"> </v>
      </c>
      <c r="J368" s="49">
        <f>Educator!C373</f>
        <v>0</v>
      </c>
      <c r="K368" s="49" t="b">
        <f t="shared" si="15"/>
        <v>0</v>
      </c>
    </row>
    <row r="369" spans="1:11" x14ac:dyDescent="0.2">
      <c r="A36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","#",3))+1,1)&amp;"-"&amp;LEFT(Educator!B374, 3)&amp;"-"&amp;LEFT(Educator!A374, 3)&amp;"-"&amp;"2027"</f>
        <v>UID-FLH---2027</v>
      </c>
      <c r="C369" s="49">
        <f>Educator!C374</f>
        <v>0</v>
      </c>
      <c r="D369" s="49" t="b">
        <f t="shared" si="14"/>
        <v>0</v>
      </c>
      <c r="E369" s="49">
        <f>Educator!A374</f>
        <v>0</v>
      </c>
      <c r="F369" s="49">
        <f>Educator!B374</f>
        <v>0</v>
      </c>
      <c r="G369" s="49" t="str">
        <f>Educator!A374 &amp;" " &amp;Educator!B374</f>
        <v xml:space="preserve"> </v>
      </c>
      <c r="J369" s="49">
        <f>Educator!C374</f>
        <v>0</v>
      </c>
      <c r="K369" s="49" t="b">
        <f t="shared" si="15"/>
        <v>0</v>
      </c>
    </row>
    <row r="370" spans="1:11" x14ac:dyDescent="0.2">
      <c r="A37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","#",3))+1,1)&amp;"-"&amp;LEFT(Educator!B375, 3)&amp;"-"&amp;LEFT(Educator!A375, 3)&amp;"-"&amp;"2027"</f>
        <v>UID-FLH---2027</v>
      </c>
      <c r="C370" s="49">
        <f>Educator!C375</f>
        <v>0</v>
      </c>
      <c r="D370" s="49" t="b">
        <f t="shared" si="14"/>
        <v>0</v>
      </c>
      <c r="E370" s="49">
        <f>Educator!A375</f>
        <v>0</v>
      </c>
      <c r="F370" s="49">
        <f>Educator!B375</f>
        <v>0</v>
      </c>
      <c r="G370" s="49" t="str">
        <f>Educator!A375 &amp;" " &amp;Educator!B375</f>
        <v xml:space="preserve"> </v>
      </c>
      <c r="J370" s="49">
        <f>Educator!C375</f>
        <v>0</v>
      </c>
      <c r="K370" s="49" t="b">
        <f t="shared" si="15"/>
        <v>0</v>
      </c>
    </row>
    <row r="371" spans="1:11" x14ac:dyDescent="0.2">
      <c r="A37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","#",3))+1,1)&amp;"-"&amp;LEFT(Educator!B376, 3)&amp;"-"&amp;LEFT(Educator!A376, 3)&amp;"-"&amp;"2027"</f>
        <v>UID-FLH---2027</v>
      </c>
      <c r="C371" s="49">
        <f>Educator!C376</f>
        <v>0</v>
      </c>
      <c r="D371" s="49" t="b">
        <f t="shared" si="14"/>
        <v>0</v>
      </c>
      <c r="E371" s="49">
        <f>Educator!A376</f>
        <v>0</v>
      </c>
      <c r="F371" s="49">
        <f>Educator!B376</f>
        <v>0</v>
      </c>
      <c r="G371" s="49" t="str">
        <f>Educator!A376 &amp;" " &amp;Educator!B376</f>
        <v xml:space="preserve"> </v>
      </c>
      <c r="J371" s="49">
        <f>Educator!C376</f>
        <v>0</v>
      </c>
      <c r="K371" s="49" t="b">
        <f t="shared" si="15"/>
        <v>0</v>
      </c>
    </row>
    <row r="372" spans="1:11" x14ac:dyDescent="0.2">
      <c r="A37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","#",3))+1,1)&amp;"-"&amp;LEFT(Educator!B377, 3)&amp;"-"&amp;LEFT(Educator!A377, 3)&amp;"-"&amp;"2027"</f>
        <v>UID-FLH---2027</v>
      </c>
      <c r="C372" s="49">
        <f>Educator!C377</f>
        <v>0</v>
      </c>
      <c r="D372" s="49" t="b">
        <f t="shared" si="14"/>
        <v>0</v>
      </c>
      <c r="E372" s="49">
        <f>Educator!A377</f>
        <v>0</v>
      </c>
      <c r="F372" s="49">
        <f>Educator!B377</f>
        <v>0</v>
      </c>
      <c r="G372" s="49" t="str">
        <f>Educator!A377 &amp;" " &amp;Educator!B377</f>
        <v xml:space="preserve"> </v>
      </c>
      <c r="J372" s="49">
        <f>Educator!C377</f>
        <v>0</v>
      </c>
      <c r="K372" s="49" t="b">
        <f t="shared" si="15"/>
        <v>0</v>
      </c>
    </row>
    <row r="373" spans="1:11" x14ac:dyDescent="0.2">
      <c r="A37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","#",3))+1,1)&amp;"-"&amp;LEFT(Educator!B378, 3)&amp;"-"&amp;LEFT(Educator!A378, 3)&amp;"-"&amp;"2027"</f>
        <v>UID-FLH---2027</v>
      </c>
      <c r="C373" s="49">
        <f>Educator!C378</f>
        <v>0</v>
      </c>
      <c r="D373" s="49" t="b">
        <f t="shared" si="14"/>
        <v>0</v>
      </c>
      <c r="E373" s="49">
        <f>Educator!A378</f>
        <v>0</v>
      </c>
      <c r="F373" s="49">
        <f>Educator!B378</f>
        <v>0</v>
      </c>
      <c r="G373" s="49" t="str">
        <f>Educator!A378 &amp;" " &amp;Educator!B378</f>
        <v xml:space="preserve"> </v>
      </c>
      <c r="J373" s="49">
        <f>Educator!C378</f>
        <v>0</v>
      </c>
      <c r="K373" s="49" t="b">
        <f t="shared" si="15"/>
        <v>0</v>
      </c>
    </row>
    <row r="374" spans="1:11" x14ac:dyDescent="0.2">
      <c r="A37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","#",3))+1,1)&amp;"-"&amp;LEFT(Educator!B379, 3)&amp;"-"&amp;LEFT(Educator!A379, 3)&amp;"-"&amp;"2027"</f>
        <v>UID-FLH---2027</v>
      </c>
      <c r="C374" s="49">
        <f>Educator!C379</f>
        <v>0</v>
      </c>
      <c r="D374" s="49" t="b">
        <f t="shared" si="14"/>
        <v>0</v>
      </c>
      <c r="E374" s="49">
        <f>Educator!A379</f>
        <v>0</v>
      </c>
      <c r="F374" s="49">
        <f>Educator!B379</f>
        <v>0</v>
      </c>
      <c r="G374" s="49" t="str">
        <f>Educator!A379 &amp;" " &amp;Educator!B379</f>
        <v xml:space="preserve"> </v>
      </c>
      <c r="J374" s="49">
        <f>Educator!C379</f>
        <v>0</v>
      </c>
      <c r="K374" s="49" t="b">
        <f t="shared" si="15"/>
        <v>0</v>
      </c>
    </row>
    <row r="375" spans="1:11" x14ac:dyDescent="0.2">
      <c r="A37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","#",3))+1,1)&amp;"-"&amp;LEFT(Educator!B380, 3)&amp;"-"&amp;LEFT(Educator!A380, 3)&amp;"-"&amp;"2027"</f>
        <v>UID-FLH---2027</v>
      </c>
      <c r="C375" s="49">
        <f>Educator!C380</f>
        <v>0</v>
      </c>
      <c r="D375" s="49" t="b">
        <f t="shared" si="14"/>
        <v>0</v>
      </c>
      <c r="E375" s="49">
        <f>Educator!A380</f>
        <v>0</v>
      </c>
      <c r="F375" s="49">
        <f>Educator!B380</f>
        <v>0</v>
      </c>
      <c r="G375" s="49" t="str">
        <f>Educator!A380 &amp;" " &amp;Educator!B380</f>
        <v xml:space="preserve"> </v>
      </c>
      <c r="J375" s="49">
        <f>Educator!C380</f>
        <v>0</v>
      </c>
      <c r="K375" s="49" t="b">
        <f t="shared" si="15"/>
        <v>0</v>
      </c>
    </row>
    <row r="376" spans="1:11" x14ac:dyDescent="0.2">
      <c r="A37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","#",3))+1,1)&amp;"-"&amp;LEFT(Educator!B381, 3)&amp;"-"&amp;LEFT(Educator!A381, 3)&amp;"-"&amp;"2027"</f>
        <v>UID-FLH---2027</v>
      </c>
      <c r="C376" s="49">
        <f>Educator!C381</f>
        <v>0</v>
      </c>
      <c r="D376" s="49" t="b">
        <f t="shared" si="14"/>
        <v>0</v>
      </c>
      <c r="E376" s="49">
        <f>Educator!A381</f>
        <v>0</v>
      </c>
      <c r="F376" s="49">
        <f>Educator!B381</f>
        <v>0</v>
      </c>
      <c r="G376" s="49" t="str">
        <f>Educator!A381 &amp;" " &amp;Educator!B381</f>
        <v xml:space="preserve"> </v>
      </c>
      <c r="J376" s="49">
        <f>Educator!C381</f>
        <v>0</v>
      </c>
      <c r="K376" s="49" t="b">
        <f t="shared" si="15"/>
        <v>0</v>
      </c>
    </row>
    <row r="377" spans="1:11" x14ac:dyDescent="0.2">
      <c r="A37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","#",3))+1,1)&amp;"-"&amp;LEFT(Educator!B382, 3)&amp;"-"&amp;LEFT(Educator!A382, 3)&amp;"-"&amp;"2027"</f>
        <v>UID-FLH---2027</v>
      </c>
      <c r="C377" s="49">
        <f>Educator!C382</f>
        <v>0</v>
      </c>
      <c r="D377" s="49" t="b">
        <f t="shared" si="14"/>
        <v>0</v>
      </c>
      <c r="E377" s="49">
        <f>Educator!A382</f>
        <v>0</v>
      </c>
      <c r="F377" s="49">
        <f>Educator!B382</f>
        <v>0</v>
      </c>
      <c r="G377" s="49" t="str">
        <f>Educator!A382 &amp;" " &amp;Educator!B382</f>
        <v xml:space="preserve"> </v>
      </c>
      <c r="J377" s="49">
        <f>Educator!C382</f>
        <v>0</v>
      </c>
      <c r="K377" s="49" t="b">
        <f t="shared" si="15"/>
        <v>0</v>
      </c>
    </row>
    <row r="378" spans="1:11" x14ac:dyDescent="0.2">
      <c r="A37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","#",3))+1,1)&amp;"-"&amp;LEFT(Educator!B383, 3)&amp;"-"&amp;LEFT(Educator!A383, 3)&amp;"-"&amp;"2027"</f>
        <v>UID-FLH---2027</v>
      </c>
      <c r="C378" s="49">
        <f>Educator!C383</f>
        <v>0</v>
      </c>
      <c r="D378" s="49" t="b">
        <f t="shared" si="14"/>
        <v>0</v>
      </c>
      <c r="E378" s="49">
        <f>Educator!A383</f>
        <v>0</v>
      </c>
      <c r="F378" s="49">
        <f>Educator!B383</f>
        <v>0</v>
      </c>
      <c r="G378" s="49" t="str">
        <f>Educator!A383 &amp;" " &amp;Educator!B383</f>
        <v xml:space="preserve"> </v>
      </c>
      <c r="J378" s="49">
        <f>Educator!C383</f>
        <v>0</v>
      </c>
      <c r="K378" s="49" t="b">
        <f t="shared" si="15"/>
        <v>0</v>
      </c>
    </row>
    <row r="379" spans="1:11" x14ac:dyDescent="0.2">
      <c r="A37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","#",3))+1,1)&amp;"-"&amp;LEFT(Educator!B384, 3)&amp;"-"&amp;LEFT(Educator!A384, 3)&amp;"-"&amp;"2027"</f>
        <v>UID-FLH---2027</v>
      </c>
      <c r="C379" s="49">
        <f>Educator!C384</f>
        <v>0</v>
      </c>
      <c r="D379" s="49" t="b">
        <f t="shared" si="14"/>
        <v>0</v>
      </c>
      <c r="E379" s="49">
        <f>Educator!A384</f>
        <v>0</v>
      </c>
      <c r="F379" s="49">
        <f>Educator!B384</f>
        <v>0</v>
      </c>
      <c r="G379" s="49" t="str">
        <f>Educator!A384 &amp;" " &amp;Educator!B384</f>
        <v xml:space="preserve"> </v>
      </c>
      <c r="J379" s="49">
        <f>Educator!C384</f>
        <v>0</v>
      </c>
      <c r="K379" s="49" t="b">
        <f t="shared" si="15"/>
        <v>0</v>
      </c>
    </row>
    <row r="380" spans="1:11" x14ac:dyDescent="0.2">
      <c r="A38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","#",3))+1,1)&amp;"-"&amp;LEFT(Educator!B385, 3)&amp;"-"&amp;LEFT(Educator!A385, 3)&amp;"-"&amp;"2027"</f>
        <v>UID-FLH---2027</v>
      </c>
      <c r="C380" s="49">
        <f>Educator!C385</f>
        <v>0</v>
      </c>
      <c r="D380" s="49" t="b">
        <f t="shared" si="14"/>
        <v>0</v>
      </c>
      <c r="E380" s="49">
        <f>Educator!A385</f>
        <v>0</v>
      </c>
      <c r="F380" s="49">
        <f>Educator!B385</f>
        <v>0</v>
      </c>
      <c r="G380" s="49" t="str">
        <f>Educator!A385 &amp;" " &amp;Educator!B385</f>
        <v xml:space="preserve"> </v>
      </c>
      <c r="J380" s="49">
        <f>Educator!C385</f>
        <v>0</v>
      </c>
      <c r="K380" s="49" t="b">
        <f t="shared" si="15"/>
        <v>0</v>
      </c>
    </row>
    <row r="381" spans="1:11" x14ac:dyDescent="0.2">
      <c r="A38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","#",3))+1,1)&amp;"-"&amp;LEFT(Educator!B386, 3)&amp;"-"&amp;LEFT(Educator!A386, 3)&amp;"-"&amp;"2027"</f>
        <v>UID-FLH---2027</v>
      </c>
      <c r="C381" s="49">
        <f>Educator!C386</f>
        <v>0</v>
      </c>
      <c r="D381" s="49" t="b">
        <f t="shared" si="14"/>
        <v>0</v>
      </c>
      <c r="E381" s="49">
        <f>Educator!A386</f>
        <v>0</v>
      </c>
      <c r="F381" s="49">
        <f>Educator!B386</f>
        <v>0</v>
      </c>
      <c r="G381" s="49" t="str">
        <f>Educator!A386 &amp;" " &amp;Educator!B386</f>
        <v xml:space="preserve"> </v>
      </c>
      <c r="J381" s="49">
        <f>Educator!C386</f>
        <v>0</v>
      </c>
      <c r="K381" s="49" t="b">
        <f t="shared" si="15"/>
        <v>0</v>
      </c>
    </row>
    <row r="382" spans="1:11" x14ac:dyDescent="0.2">
      <c r="A38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","#",3))+1,1)&amp;"-"&amp;LEFT(Educator!B387, 3)&amp;"-"&amp;LEFT(Educator!A387, 3)&amp;"-"&amp;"2027"</f>
        <v>UID-FLH---2027</v>
      </c>
      <c r="C382" s="49">
        <f>Educator!C387</f>
        <v>0</v>
      </c>
      <c r="D382" s="49" t="b">
        <f t="shared" si="14"/>
        <v>0</v>
      </c>
      <c r="E382" s="49">
        <f>Educator!A387</f>
        <v>0</v>
      </c>
      <c r="F382" s="49">
        <f>Educator!B387</f>
        <v>0</v>
      </c>
      <c r="G382" s="49" t="str">
        <f>Educator!A387 &amp;" " &amp;Educator!B387</f>
        <v xml:space="preserve"> </v>
      </c>
      <c r="J382" s="49">
        <f>Educator!C387</f>
        <v>0</v>
      </c>
      <c r="K382" s="49" t="b">
        <f t="shared" si="15"/>
        <v>0</v>
      </c>
    </row>
    <row r="383" spans="1:11" x14ac:dyDescent="0.2">
      <c r="A38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","#",3))+1,1)&amp;"-"&amp;LEFT(Educator!B388, 3)&amp;"-"&amp;LEFT(Educator!A388, 3)&amp;"-"&amp;"2027"</f>
        <v>UID-FLH---2027</v>
      </c>
      <c r="C383" s="49">
        <f>Educator!C388</f>
        <v>0</v>
      </c>
      <c r="D383" s="49" t="b">
        <f t="shared" si="14"/>
        <v>0</v>
      </c>
      <c r="E383" s="49">
        <f>Educator!A388</f>
        <v>0</v>
      </c>
      <c r="F383" s="49">
        <f>Educator!B388</f>
        <v>0</v>
      </c>
      <c r="G383" s="49" t="str">
        <f>Educator!A388 &amp;" " &amp;Educator!B388</f>
        <v xml:space="preserve"> </v>
      </c>
      <c r="J383" s="49">
        <f>Educator!C388</f>
        <v>0</v>
      </c>
      <c r="K383" s="49" t="b">
        <f t="shared" si="15"/>
        <v>0</v>
      </c>
    </row>
    <row r="384" spans="1:11" x14ac:dyDescent="0.2">
      <c r="A38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","#",3))+1,1)&amp;"-"&amp;LEFT(Educator!B389, 3)&amp;"-"&amp;LEFT(Educator!A389, 3)&amp;"-"&amp;"2027"</f>
        <v>UID-FLH---2027</v>
      </c>
      <c r="C384" s="49">
        <f>Educator!C389</f>
        <v>0</v>
      </c>
      <c r="D384" s="49" t="b">
        <f t="shared" si="14"/>
        <v>0</v>
      </c>
      <c r="E384" s="49">
        <f>Educator!A389</f>
        <v>0</v>
      </c>
      <c r="F384" s="49">
        <f>Educator!B389</f>
        <v>0</v>
      </c>
      <c r="G384" s="49" t="str">
        <f>Educator!A389 &amp;" " &amp;Educator!B389</f>
        <v xml:space="preserve"> </v>
      </c>
      <c r="J384" s="49">
        <f>Educator!C389</f>
        <v>0</v>
      </c>
      <c r="K384" s="49" t="b">
        <f t="shared" si="15"/>
        <v>0</v>
      </c>
    </row>
    <row r="385" spans="1:11" x14ac:dyDescent="0.2">
      <c r="A38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","#",3))+1,1)&amp;"-"&amp;LEFT(Educator!B390, 3)&amp;"-"&amp;LEFT(Educator!A390, 3)&amp;"-"&amp;"2027"</f>
        <v>UID-FLH---2027</v>
      </c>
      <c r="C385" s="49">
        <f>Educator!C390</f>
        <v>0</v>
      </c>
      <c r="D385" s="49" t="b">
        <f t="shared" si="14"/>
        <v>0</v>
      </c>
      <c r="E385" s="49">
        <f>Educator!A390</f>
        <v>0</v>
      </c>
      <c r="F385" s="49">
        <f>Educator!B390</f>
        <v>0</v>
      </c>
      <c r="G385" s="49" t="str">
        <f>Educator!A390 &amp;" " &amp;Educator!B390</f>
        <v xml:space="preserve"> </v>
      </c>
      <c r="J385" s="49">
        <f>Educator!C390</f>
        <v>0</v>
      </c>
      <c r="K385" s="49" t="b">
        <f t="shared" si="15"/>
        <v>0</v>
      </c>
    </row>
    <row r="386" spans="1:11" x14ac:dyDescent="0.2">
      <c r="A38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","#",3))+1,1)&amp;"-"&amp;LEFT(Educator!B391, 3)&amp;"-"&amp;LEFT(Educator!A391, 3)&amp;"-"&amp;"2027"</f>
        <v>UID-FLH---2027</v>
      </c>
      <c r="C386" s="49">
        <f>Educator!C391</f>
        <v>0</v>
      </c>
      <c r="D386" s="49" t="b">
        <f t="shared" si="14"/>
        <v>0</v>
      </c>
      <c r="E386" s="49">
        <f>Educator!A391</f>
        <v>0</v>
      </c>
      <c r="F386" s="49">
        <f>Educator!B391</f>
        <v>0</v>
      </c>
      <c r="G386" s="49" t="str">
        <f>Educator!A391 &amp;" " &amp;Educator!B391</f>
        <v xml:space="preserve"> </v>
      </c>
      <c r="J386" s="49">
        <f>Educator!C391</f>
        <v>0</v>
      </c>
      <c r="K386" s="49" t="b">
        <f t="shared" si="15"/>
        <v>0</v>
      </c>
    </row>
    <row r="387" spans="1:11" x14ac:dyDescent="0.2">
      <c r="A38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","#",3))+1,1)&amp;"-"&amp;LEFT(Educator!B392, 3)&amp;"-"&amp;LEFT(Educator!A392, 3)&amp;"-"&amp;"2027"</f>
        <v>UID-FLH---2027</v>
      </c>
      <c r="C387" s="49">
        <f>Educator!C392</f>
        <v>0</v>
      </c>
      <c r="D387" s="49" t="b">
        <f t="shared" si="14"/>
        <v>0</v>
      </c>
      <c r="E387" s="49">
        <f>Educator!A392</f>
        <v>0</v>
      </c>
      <c r="F387" s="49">
        <f>Educator!B392</f>
        <v>0</v>
      </c>
      <c r="G387" s="49" t="str">
        <f>Educator!A392 &amp;" " &amp;Educator!B392</f>
        <v xml:space="preserve"> </v>
      </c>
      <c r="J387" s="49">
        <f>Educator!C392</f>
        <v>0</v>
      </c>
      <c r="K387" s="49" t="b">
        <f t="shared" si="15"/>
        <v>0</v>
      </c>
    </row>
    <row r="388" spans="1:11" x14ac:dyDescent="0.2">
      <c r="A38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","#",3))+1,1)&amp;"-"&amp;LEFT(Educator!B393, 3)&amp;"-"&amp;LEFT(Educator!A393, 3)&amp;"-"&amp;"2027"</f>
        <v>UID-FLH---2027</v>
      </c>
      <c r="C388" s="49">
        <f>Educator!C393</f>
        <v>0</v>
      </c>
      <c r="D388" s="49" t="b">
        <f t="shared" si="14"/>
        <v>0</v>
      </c>
      <c r="E388" s="49">
        <f>Educator!A393</f>
        <v>0</v>
      </c>
      <c r="F388" s="49">
        <f>Educator!B393</f>
        <v>0</v>
      </c>
      <c r="G388" s="49" t="str">
        <f>Educator!A393 &amp;" " &amp;Educator!B393</f>
        <v xml:space="preserve"> </v>
      </c>
      <c r="J388" s="49">
        <f>Educator!C393</f>
        <v>0</v>
      </c>
      <c r="K388" s="49" t="b">
        <f t="shared" si="15"/>
        <v>0</v>
      </c>
    </row>
    <row r="389" spans="1:11" x14ac:dyDescent="0.2">
      <c r="A38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","#",3))+1,1)&amp;"-"&amp;LEFT(Educator!B394, 3)&amp;"-"&amp;LEFT(Educator!A394, 3)&amp;"-"&amp;"2027"</f>
        <v>UID-FLH---2027</v>
      </c>
      <c r="C389" s="49">
        <f>Educator!C394</f>
        <v>0</v>
      </c>
      <c r="D389" s="49" t="b">
        <f t="shared" si="14"/>
        <v>0</v>
      </c>
      <c r="E389" s="49">
        <f>Educator!A394</f>
        <v>0</v>
      </c>
      <c r="F389" s="49">
        <f>Educator!B394</f>
        <v>0</v>
      </c>
      <c r="G389" s="49" t="str">
        <f>Educator!A394 &amp;" " &amp;Educator!B394</f>
        <v xml:space="preserve"> </v>
      </c>
      <c r="J389" s="49">
        <f>Educator!C394</f>
        <v>0</v>
      </c>
      <c r="K389" s="49" t="b">
        <f t="shared" si="15"/>
        <v>0</v>
      </c>
    </row>
    <row r="390" spans="1:11" x14ac:dyDescent="0.2">
      <c r="A39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","#",3))+1,1)&amp;"-"&amp;LEFT(Educator!B395, 3)&amp;"-"&amp;LEFT(Educator!A395, 3)&amp;"-"&amp;"2027"</f>
        <v>UID-FLH---2027</v>
      </c>
      <c r="C390" s="49">
        <f>Educator!C395</f>
        <v>0</v>
      </c>
      <c r="D390" s="49" t="b">
        <f t="shared" si="14"/>
        <v>0</v>
      </c>
      <c r="E390" s="49">
        <f>Educator!A395</f>
        <v>0</v>
      </c>
      <c r="F390" s="49">
        <f>Educator!B395</f>
        <v>0</v>
      </c>
      <c r="G390" s="49" t="str">
        <f>Educator!A395 &amp;" " &amp;Educator!B395</f>
        <v xml:space="preserve"> </v>
      </c>
      <c r="J390" s="49">
        <f>Educator!C395</f>
        <v>0</v>
      </c>
      <c r="K390" s="49" t="b">
        <f t="shared" si="15"/>
        <v>0</v>
      </c>
    </row>
    <row r="391" spans="1:11" x14ac:dyDescent="0.2">
      <c r="A39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","#",3))+1,1)&amp;"-"&amp;LEFT(Educator!B396, 3)&amp;"-"&amp;LEFT(Educator!A396, 3)&amp;"-"&amp;"2027"</f>
        <v>UID-FLH---2027</v>
      </c>
      <c r="C391" s="49">
        <f>Educator!C396</f>
        <v>0</v>
      </c>
      <c r="D391" s="49" t="b">
        <f t="shared" si="14"/>
        <v>0</v>
      </c>
      <c r="E391" s="49">
        <f>Educator!A396</f>
        <v>0</v>
      </c>
      <c r="F391" s="49">
        <f>Educator!B396</f>
        <v>0</v>
      </c>
      <c r="G391" s="49" t="str">
        <f>Educator!A396 &amp;" " &amp;Educator!B396</f>
        <v xml:space="preserve"> </v>
      </c>
      <c r="J391" s="49">
        <f>Educator!C396</f>
        <v>0</v>
      </c>
      <c r="K391" s="49" t="b">
        <f t="shared" si="15"/>
        <v>0</v>
      </c>
    </row>
    <row r="392" spans="1:11" x14ac:dyDescent="0.2">
      <c r="A39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","#",3))+1,1)&amp;"-"&amp;LEFT(Educator!B397, 3)&amp;"-"&amp;LEFT(Educator!A397, 3)&amp;"-"&amp;"2027"</f>
        <v>UID-FLH---2027</v>
      </c>
      <c r="C392" s="49">
        <f>Educator!C397</f>
        <v>0</v>
      </c>
      <c r="D392" s="49" t="b">
        <f t="shared" si="14"/>
        <v>0</v>
      </c>
      <c r="E392" s="49">
        <f>Educator!A397</f>
        <v>0</v>
      </c>
      <c r="F392" s="49">
        <f>Educator!B397</f>
        <v>0</v>
      </c>
      <c r="G392" s="49" t="str">
        <f>Educator!A397 &amp;" " &amp;Educator!B397</f>
        <v xml:space="preserve"> </v>
      </c>
      <c r="J392" s="49">
        <f>Educator!C397</f>
        <v>0</v>
      </c>
      <c r="K392" s="49" t="b">
        <f t="shared" si="15"/>
        <v>0</v>
      </c>
    </row>
    <row r="393" spans="1:11" x14ac:dyDescent="0.2">
      <c r="A39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","#",3))+1,1)&amp;"-"&amp;LEFT(Educator!B398, 3)&amp;"-"&amp;LEFT(Educator!A398, 3)&amp;"-"&amp;"2027"</f>
        <v>UID-FLH---2027</v>
      </c>
      <c r="C393" s="49">
        <f>Educator!C398</f>
        <v>0</v>
      </c>
      <c r="D393" s="49" t="b">
        <f t="shared" si="14"/>
        <v>0</v>
      </c>
      <c r="E393" s="49">
        <f>Educator!A398</f>
        <v>0</v>
      </c>
      <c r="F393" s="49">
        <f>Educator!B398</f>
        <v>0</v>
      </c>
      <c r="G393" s="49" t="str">
        <f>Educator!A398 &amp;" " &amp;Educator!B398</f>
        <v xml:space="preserve"> </v>
      </c>
      <c r="J393" s="49">
        <f>Educator!C398</f>
        <v>0</v>
      </c>
      <c r="K393" s="49" t="b">
        <f t="shared" si="15"/>
        <v>0</v>
      </c>
    </row>
    <row r="394" spans="1:11" x14ac:dyDescent="0.2">
      <c r="A39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","#",3))+1,1)&amp;"-"&amp;LEFT(Educator!B399, 3)&amp;"-"&amp;LEFT(Educator!A399, 3)&amp;"-"&amp;"2027"</f>
        <v>UID-FLH---2027</v>
      </c>
      <c r="C394" s="49">
        <f>Educator!C399</f>
        <v>0</v>
      </c>
      <c r="D394" s="49" t="b">
        <f t="shared" si="14"/>
        <v>0</v>
      </c>
      <c r="E394" s="49">
        <f>Educator!A399</f>
        <v>0</v>
      </c>
      <c r="F394" s="49">
        <f>Educator!B399</f>
        <v>0</v>
      </c>
      <c r="G394" s="49" t="str">
        <f>Educator!A399 &amp;" " &amp;Educator!B399</f>
        <v xml:space="preserve"> </v>
      </c>
      <c r="J394" s="49">
        <f>Educator!C399</f>
        <v>0</v>
      </c>
      <c r="K394" s="49" t="b">
        <f t="shared" si="15"/>
        <v>0</v>
      </c>
    </row>
    <row r="395" spans="1:11" x14ac:dyDescent="0.2">
      <c r="A39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","#",3))+1,1)&amp;"-"&amp;LEFT(Educator!B400, 3)&amp;"-"&amp;LEFT(Educator!A400, 3)&amp;"-"&amp;"2027"</f>
        <v>UID-FLH---2027</v>
      </c>
      <c r="C395" s="49">
        <f>Educator!C400</f>
        <v>0</v>
      </c>
      <c r="D395" s="49" t="b">
        <f t="shared" si="14"/>
        <v>0</v>
      </c>
      <c r="E395" s="49">
        <f>Educator!A400</f>
        <v>0</v>
      </c>
      <c r="F395" s="49">
        <f>Educator!B400</f>
        <v>0</v>
      </c>
      <c r="G395" s="49" t="str">
        <f>Educator!A400 &amp;" " &amp;Educator!B400</f>
        <v xml:space="preserve"> </v>
      </c>
      <c r="J395" s="49">
        <f>Educator!C400</f>
        <v>0</v>
      </c>
      <c r="K395" s="49" t="b">
        <f t="shared" si="15"/>
        <v>0</v>
      </c>
    </row>
    <row r="396" spans="1:11" x14ac:dyDescent="0.2">
      <c r="A39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","#",3))+1,1)&amp;"-"&amp;LEFT(Educator!B401, 3)&amp;"-"&amp;LEFT(Educator!A401, 3)&amp;"-"&amp;"2027"</f>
        <v>UID-FLH---2027</v>
      </c>
      <c r="C396" s="49">
        <f>Educator!C401</f>
        <v>0</v>
      </c>
      <c r="D396" s="49" t="b">
        <f t="shared" si="14"/>
        <v>0</v>
      </c>
      <c r="E396" s="49">
        <f>Educator!A401</f>
        <v>0</v>
      </c>
      <c r="F396" s="49">
        <f>Educator!B401</f>
        <v>0</v>
      </c>
      <c r="G396" s="49" t="str">
        <f>Educator!A401 &amp;" " &amp;Educator!B401</f>
        <v xml:space="preserve"> </v>
      </c>
      <c r="J396" s="49">
        <f>Educator!C401</f>
        <v>0</v>
      </c>
      <c r="K396" s="49" t="b">
        <f t="shared" si="15"/>
        <v>0</v>
      </c>
    </row>
    <row r="397" spans="1:11" x14ac:dyDescent="0.2">
      <c r="A39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","#",3))+1,1)&amp;"-"&amp;LEFT(Educator!B402, 3)&amp;"-"&amp;LEFT(Educator!A402, 3)&amp;"-"&amp;"2027"</f>
        <v>UID-FLH---2027</v>
      </c>
      <c r="C397" s="49">
        <f>Educator!C402</f>
        <v>0</v>
      </c>
      <c r="D397" s="49" t="b">
        <f t="shared" si="14"/>
        <v>0</v>
      </c>
      <c r="E397" s="49">
        <f>Educator!A402</f>
        <v>0</v>
      </c>
      <c r="F397" s="49">
        <f>Educator!B402</f>
        <v>0</v>
      </c>
      <c r="G397" s="49" t="str">
        <f>Educator!A402 &amp;" " &amp;Educator!B402</f>
        <v xml:space="preserve"> </v>
      </c>
      <c r="J397" s="49">
        <f>Educator!C402</f>
        <v>0</v>
      </c>
      <c r="K397" s="49" t="b">
        <f t="shared" si="15"/>
        <v>0</v>
      </c>
    </row>
    <row r="398" spans="1:11" x14ac:dyDescent="0.2">
      <c r="A39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","#",3))+1,1)&amp;"-"&amp;LEFT(Educator!B403, 3)&amp;"-"&amp;LEFT(Educator!A403, 3)&amp;"-"&amp;"2027"</f>
        <v>UID-FLH---2027</v>
      </c>
      <c r="C398" s="49">
        <f>Educator!C403</f>
        <v>0</v>
      </c>
      <c r="D398" s="49" t="b">
        <f t="shared" si="14"/>
        <v>0</v>
      </c>
      <c r="E398" s="49">
        <f>Educator!A403</f>
        <v>0</v>
      </c>
      <c r="F398" s="49">
        <f>Educator!B403</f>
        <v>0</v>
      </c>
      <c r="G398" s="49" t="str">
        <f>Educator!A403 &amp;" " &amp;Educator!B403</f>
        <v xml:space="preserve"> </v>
      </c>
      <c r="J398" s="49">
        <f>Educator!C403</f>
        <v>0</v>
      </c>
      <c r="K398" s="49" t="b">
        <f t="shared" si="15"/>
        <v>0</v>
      </c>
    </row>
    <row r="399" spans="1:11" x14ac:dyDescent="0.2">
      <c r="A39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","#",3))+1,1)&amp;"-"&amp;LEFT(Educator!B404, 3)&amp;"-"&amp;LEFT(Educator!A404, 3)&amp;"-"&amp;"2027"</f>
        <v>UID-FLH---2027</v>
      </c>
      <c r="C399" s="49">
        <f>Educator!C404</f>
        <v>0</v>
      </c>
      <c r="D399" s="49" t="b">
        <f t="shared" si="14"/>
        <v>0</v>
      </c>
      <c r="E399" s="49">
        <f>Educator!A404</f>
        <v>0</v>
      </c>
      <c r="F399" s="49">
        <f>Educator!B404</f>
        <v>0</v>
      </c>
      <c r="G399" s="49" t="str">
        <f>Educator!A404 &amp;" " &amp;Educator!B404</f>
        <v xml:space="preserve"> </v>
      </c>
      <c r="J399" s="49">
        <f>Educator!C404</f>
        <v>0</v>
      </c>
      <c r="K399" s="49" t="b">
        <f t="shared" si="15"/>
        <v>0</v>
      </c>
    </row>
    <row r="400" spans="1:11" x14ac:dyDescent="0.2">
      <c r="A40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","#",3))+1,1)&amp;"-"&amp;LEFT(Educator!B405, 3)&amp;"-"&amp;LEFT(Educator!A405, 3)&amp;"-"&amp;"2027"</f>
        <v>UID-FLH---2027</v>
      </c>
      <c r="C400" s="49">
        <f>Educator!C405</f>
        <v>0</v>
      </c>
      <c r="D400" s="49" t="b">
        <f t="shared" si="14"/>
        <v>0</v>
      </c>
      <c r="E400" s="49">
        <f>Educator!A405</f>
        <v>0</v>
      </c>
      <c r="F400" s="49">
        <f>Educator!B405</f>
        <v>0</v>
      </c>
      <c r="G400" s="49" t="str">
        <f>Educator!A405 &amp;" " &amp;Educator!B405</f>
        <v xml:space="preserve"> </v>
      </c>
      <c r="J400" s="49">
        <f>Educator!C405</f>
        <v>0</v>
      </c>
      <c r="K400" s="49" t="b">
        <f t="shared" si="15"/>
        <v>0</v>
      </c>
    </row>
    <row r="401" spans="1:11" x14ac:dyDescent="0.2">
      <c r="A40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","#",3))+1,1)&amp;"-"&amp;LEFT(Educator!B406, 3)&amp;"-"&amp;LEFT(Educator!A406, 3)&amp;"-"&amp;"2027"</f>
        <v>UID-FLH---2027</v>
      </c>
      <c r="C401" s="49">
        <f>Educator!C406</f>
        <v>0</v>
      </c>
      <c r="D401" s="49" t="b">
        <f t="shared" si="14"/>
        <v>0</v>
      </c>
      <c r="E401" s="49">
        <f>Educator!A406</f>
        <v>0</v>
      </c>
      <c r="F401" s="49">
        <f>Educator!B406</f>
        <v>0</v>
      </c>
      <c r="G401" s="49" t="str">
        <f>Educator!A406 &amp;" " &amp;Educator!B406</f>
        <v xml:space="preserve"> </v>
      </c>
      <c r="J401" s="49">
        <f>Educator!C406</f>
        <v>0</v>
      </c>
      <c r="K401" s="49" t="b">
        <f t="shared" si="15"/>
        <v>0</v>
      </c>
    </row>
    <row r="402" spans="1:11" x14ac:dyDescent="0.2">
      <c r="A40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","#",3))+1,1)&amp;"-"&amp;LEFT(Educator!B407, 3)&amp;"-"&amp;LEFT(Educator!A407, 3)&amp;"-"&amp;"2027"</f>
        <v>UID-FLH---2027</v>
      </c>
      <c r="C402" s="49">
        <f>Educator!C407</f>
        <v>0</v>
      </c>
      <c r="D402" s="49" t="b">
        <f t="shared" ref="D402:D465" si="16">IF(C402&gt;0,"topscore123")</f>
        <v>0</v>
      </c>
      <c r="E402" s="49">
        <f>Educator!A407</f>
        <v>0</v>
      </c>
      <c r="F402" s="49">
        <f>Educator!B407</f>
        <v>0</v>
      </c>
      <c r="G402" s="49" t="str">
        <f>Educator!A407 &amp;" " &amp;Educator!B407</f>
        <v xml:space="preserve"> </v>
      </c>
      <c r="J402" s="49">
        <f>Educator!C407</f>
        <v>0</v>
      </c>
      <c r="K402" s="49" t="b">
        <f t="shared" ref="K402:K465" si="17">IF(C402&gt;0,"active")</f>
        <v>0</v>
      </c>
    </row>
    <row r="403" spans="1:11" x14ac:dyDescent="0.2">
      <c r="A40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","#",3))+1,1)&amp;"-"&amp;LEFT(Educator!B408, 3)&amp;"-"&amp;LEFT(Educator!A408, 3)&amp;"-"&amp;"2027"</f>
        <v>UID-FLH---2027</v>
      </c>
      <c r="C403" s="49">
        <f>Educator!C408</f>
        <v>0</v>
      </c>
      <c r="D403" s="49" t="b">
        <f t="shared" si="16"/>
        <v>0</v>
      </c>
      <c r="E403" s="49">
        <f>Educator!A408</f>
        <v>0</v>
      </c>
      <c r="F403" s="49">
        <f>Educator!B408</f>
        <v>0</v>
      </c>
      <c r="G403" s="49" t="str">
        <f>Educator!A408 &amp;" " &amp;Educator!B408</f>
        <v xml:space="preserve"> </v>
      </c>
      <c r="J403" s="49">
        <f>Educator!C408</f>
        <v>0</v>
      </c>
      <c r="K403" s="49" t="b">
        <f t="shared" si="17"/>
        <v>0</v>
      </c>
    </row>
    <row r="404" spans="1:11" x14ac:dyDescent="0.2">
      <c r="A40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","#",3))+1,1)&amp;"-"&amp;LEFT(Educator!B409, 3)&amp;"-"&amp;LEFT(Educator!A409, 3)&amp;"-"&amp;"2027"</f>
        <v>UID-FLH---2027</v>
      </c>
      <c r="C404" s="49">
        <f>Educator!C409</f>
        <v>0</v>
      </c>
      <c r="D404" s="49" t="b">
        <f t="shared" si="16"/>
        <v>0</v>
      </c>
      <c r="E404" s="49">
        <f>Educator!A409</f>
        <v>0</v>
      </c>
      <c r="F404" s="49">
        <f>Educator!B409</f>
        <v>0</v>
      </c>
      <c r="G404" s="49" t="str">
        <f>Educator!A409 &amp;" " &amp;Educator!B409</f>
        <v xml:space="preserve"> </v>
      </c>
      <c r="J404" s="49">
        <f>Educator!C409</f>
        <v>0</v>
      </c>
      <c r="K404" s="49" t="b">
        <f t="shared" si="17"/>
        <v>0</v>
      </c>
    </row>
    <row r="405" spans="1:11" x14ac:dyDescent="0.2">
      <c r="A40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","#",3))+1,1)&amp;"-"&amp;LEFT(Educator!B410, 3)&amp;"-"&amp;LEFT(Educator!A410, 3)&amp;"-"&amp;"2027"</f>
        <v>UID-FLH---2027</v>
      </c>
      <c r="C405" s="49">
        <f>Educator!C410</f>
        <v>0</v>
      </c>
      <c r="D405" s="49" t="b">
        <f t="shared" si="16"/>
        <v>0</v>
      </c>
      <c r="E405" s="49">
        <f>Educator!A410</f>
        <v>0</v>
      </c>
      <c r="F405" s="49">
        <f>Educator!B410</f>
        <v>0</v>
      </c>
      <c r="G405" s="49" t="str">
        <f>Educator!A410 &amp;" " &amp;Educator!B410</f>
        <v xml:space="preserve"> </v>
      </c>
      <c r="J405" s="49">
        <f>Educator!C410</f>
        <v>0</v>
      </c>
      <c r="K405" s="49" t="b">
        <f t="shared" si="17"/>
        <v>0</v>
      </c>
    </row>
    <row r="406" spans="1:11" x14ac:dyDescent="0.2">
      <c r="A40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","#",3))+1,1)&amp;"-"&amp;LEFT(Educator!B411, 3)&amp;"-"&amp;LEFT(Educator!A411, 3)&amp;"-"&amp;"2027"</f>
        <v>UID-FLH---2027</v>
      </c>
      <c r="C406" s="49">
        <f>Educator!C411</f>
        <v>0</v>
      </c>
      <c r="D406" s="49" t="b">
        <f t="shared" si="16"/>
        <v>0</v>
      </c>
      <c r="E406" s="49">
        <f>Educator!A411</f>
        <v>0</v>
      </c>
      <c r="F406" s="49">
        <f>Educator!B411</f>
        <v>0</v>
      </c>
      <c r="G406" s="49" t="str">
        <f>Educator!A411 &amp;" " &amp;Educator!B411</f>
        <v xml:space="preserve"> </v>
      </c>
      <c r="J406" s="49">
        <f>Educator!C411</f>
        <v>0</v>
      </c>
      <c r="K406" s="49" t="b">
        <f t="shared" si="17"/>
        <v>0</v>
      </c>
    </row>
    <row r="407" spans="1:11" x14ac:dyDescent="0.2">
      <c r="A40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","#",3))+1,1)&amp;"-"&amp;LEFT(Educator!B412, 3)&amp;"-"&amp;LEFT(Educator!A412, 3)&amp;"-"&amp;"2027"</f>
        <v>UID-FLH---2027</v>
      </c>
      <c r="C407" s="49">
        <f>Educator!C412</f>
        <v>0</v>
      </c>
      <c r="D407" s="49" t="b">
        <f t="shared" si="16"/>
        <v>0</v>
      </c>
      <c r="E407" s="49">
        <f>Educator!A412</f>
        <v>0</v>
      </c>
      <c r="F407" s="49">
        <f>Educator!B412</f>
        <v>0</v>
      </c>
      <c r="G407" s="49" t="str">
        <f>Educator!A412 &amp;" " &amp;Educator!B412</f>
        <v xml:space="preserve"> </v>
      </c>
      <c r="J407" s="49">
        <f>Educator!C412</f>
        <v>0</v>
      </c>
      <c r="K407" s="49" t="b">
        <f t="shared" si="17"/>
        <v>0</v>
      </c>
    </row>
    <row r="408" spans="1:11" x14ac:dyDescent="0.2">
      <c r="A40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","#",3))+1,1)&amp;"-"&amp;LEFT(Educator!B413, 3)&amp;"-"&amp;LEFT(Educator!A413, 3)&amp;"-"&amp;"2027"</f>
        <v>UID-FLH---2027</v>
      </c>
      <c r="C408" s="49">
        <f>Educator!C413</f>
        <v>0</v>
      </c>
      <c r="D408" s="49" t="b">
        <f t="shared" si="16"/>
        <v>0</v>
      </c>
      <c r="E408" s="49">
        <f>Educator!A413</f>
        <v>0</v>
      </c>
      <c r="F408" s="49">
        <f>Educator!B413</f>
        <v>0</v>
      </c>
      <c r="G408" s="49" t="str">
        <f>Educator!A413 &amp;" " &amp;Educator!B413</f>
        <v xml:space="preserve"> </v>
      </c>
      <c r="J408" s="49">
        <f>Educator!C413</f>
        <v>0</v>
      </c>
      <c r="K408" s="49" t="b">
        <f t="shared" si="17"/>
        <v>0</v>
      </c>
    </row>
    <row r="409" spans="1:11" x14ac:dyDescent="0.2">
      <c r="A40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","#",3))+1,1)&amp;"-"&amp;LEFT(Educator!B414, 3)&amp;"-"&amp;LEFT(Educator!A414, 3)&amp;"-"&amp;"2027"</f>
        <v>UID-FLH---2027</v>
      </c>
      <c r="C409" s="49">
        <f>Educator!C414</f>
        <v>0</v>
      </c>
      <c r="D409" s="49" t="b">
        <f t="shared" si="16"/>
        <v>0</v>
      </c>
      <c r="E409" s="49">
        <f>Educator!A414</f>
        <v>0</v>
      </c>
      <c r="F409" s="49">
        <f>Educator!B414</f>
        <v>0</v>
      </c>
      <c r="G409" s="49" t="str">
        <f>Educator!A414 &amp;" " &amp;Educator!B414</f>
        <v xml:space="preserve"> </v>
      </c>
      <c r="J409" s="49">
        <f>Educator!C414</f>
        <v>0</v>
      </c>
      <c r="K409" s="49" t="b">
        <f t="shared" si="17"/>
        <v>0</v>
      </c>
    </row>
    <row r="410" spans="1:11" x14ac:dyDescent="0.2">
      <c r="A41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","#",3))+1,1)&amp;"-"&amp;LEFT(Educator!B415, 3)&amp;"-"&amp;LEFT(Educator!A415, 3)&amp;"-"&amp;"2027"</f>
        <v>UID-FLH---2027</v>
      </c>
      <c r="C410" s="49">
        <f>Educator!C415</f>
        <v>0</v>
      </c>
      <c r="D410" s="49" t="b">
        <f t="shared" si="16"/>
        <v>0</v>
      </c>
      <c r="E410" s="49">
        <f>Educator!A415</f>
        <v>0</v>
      </c>
      <c r="F410" s="49">
        <f>Educator!B415</f>
        <v>0</v>
      </c>
      <c r="G410" s="49" t="str">
        <f>Educator!A415 &amp;" " &amp;Educator!B415</f>
        <v xml:space="preserve"> </v>
      </c>
      <c r="J410" s="49">
        <f>Educator!C415</f>
        <v>0</v>
      </c>
      <c r="K410" s="49" t="b">
        <f t="shared" si="17"/>
        <v>0</v>
      </c>
    </row>
    <row r="411" spans="1:11" x14ac:dyDescent="0.2">
      <c r="A41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","#",3))+1,1)&amp;"-"&amp;LEFT(Educator!B416, 3)&amp;"-"&amp;LEFT(Educator!A416, 3)&amp;"-"&amp;"2027"</f>
        <v>UID-FLH---2027</v>
      </c>
      <c r="C411" s="49">
        <f>Educator!C416</f>
        <v>0</v>
      </c>
      <c r="D411" s="49" t="b">
        <f t="shared" si="16"/>
        <v>0</v>
      </c>
      <c r="E411" s="49">
        <f>Educator!A416</f>
        <v>0</v>
      </c>
      <c r="F411" s="49">
        <f>Educator!B416</f>
        <v>0</v>
      </c>
      <c r="G411" s="49" t="str">
        <f>Educator!A416 &amp;" " &amp;Educator!B416</f>
        <v xml:space="preserve"> </v>
      </c>
      <c r="J411" s="49">
        <f>Educator!C416</f>
        <v>0</v>
      </c>
      <c r="K411" s="49" t="b">
        <f t="shared" si="17"/>
        <v>0</v>
      </c>
    </row>
    <row r="412" spans="1:11" x14ac:dyDescent="0.2">
      <c r="A41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","#",3))+1,1)&amp;"-"&amp;LEFT(Educator!B417, 3)&amp;"-"&amp;LEFT(Educator!A417, 3)&amp;"-"&amp;"2027"</f>
        <v>UID-FLH---2027</v>
      </c>
      <c r="C412" s="49">
        <f>Educator!C417</f>
        <v>0</v>
      </c>
      <c r="D412" s="49" t="b">
        <f t="shared" si="16"/>
        <v>0</v>
      </c>
      <c r="E412" s="49">
        <f>Educator!A417</f>
        <v>0</v>
      </c>
      <c r="F412" s="49">
        <f>Educator!B417</f>
        <v>0</v>
      </c>
      <c r="G412" s="49" t="str">
        <f>Educator!A417 &amp;" " &amp;Educator!B417</f>
        <v xml:space="preserve"> </v>
      </c>
      <c r="J412" s="49">
        <f>Educator!C417</f>
        <v>0</v>
      </c>
      <c r="K412" s="49" t="b">
        <f t="shared" si="17"/>
        <v>0</v>
      </c>
    </row>
    <row r="413" spans="1:11" x14ac:dyDescent="0.2">
      <c r="A41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","#",3))+1,1)&amp;"-"&amp;LEFT(Educator!B418, 3)&amp;"-"&amp;LEFT(Educator!A418, 3)&amp;"-"&amp;"2027"</f>
        <v>UID-FLH---2027</v>
      </c>
      <c r="C413" s="49">
        <f>Educator!C418</f>
        <v>0</v>
      </c>
      <c r="D413" s="49" t="b">
        <f t="shared" si="16"/>
        <v>0</v>
      </c>
      <c r="E413" s="49">
        <f>Educator!A418</f>
        <v>0</v>
      </c>
      <c r="F413" s="49">
        <f>Educator!B418</f>
        <v>0</v>
      </c>
      <c r="G413" s="49" t="str">
        <f>Educator!A418 &amp;" " &amp;Educator!B418</f>
        <v xml:space="preserve"> </v>
      </c>
      <c r="J413" s="49">
        <f>Educator!C418</f>
        <v>0</v>
      </c>
      <c r="K413" s="49" t="b">
        <f t="shared" si="17"/>
        <v>0</v>
      </c>
    </row>
    <row r="414" spans="1:11" x14ac:dyDescent="0.2">
      <c r="A41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","#",3))+1,1)&amp;"-"&amp;LEFT(Educator!B419, 3)&amp;"-"&amp;LEFT(Educator!A419, 3)&amp;"-"&amp;"2027"</f>
        <v>UID-FLH---2027</v>
      </c>
      <c r="C414" s="49">
        <f>Educator!C419</f>
        <v>0</v>
      </c>
      <c r="D414" s="49" t="b">
        <f t="shared" si="16"/>
        <v>0</v>
      </c>
      <c r="E414" s="49">
        <f>Educator!A419</f>
        <v>0</v>
      </c>
      <c r="F414" s="49">
        <f>Educator!B419</f>
        <v>0</v>
      </c>
      <c r="G414" s="49" t="str">
        <f>Educator!A419 &amp;" " &amp;Educator!B419</f>
        <v xml:space="preserve"> </v>
      </c>
      <c r="J414" s="49">
        <f>Educator!C419</f>
        <v>0</v>
      </c>
      <c r="K414" s="49" t="b">
        <f t="shared" si="17"/>
        <v>0</v>
      </c>
    </row>
    <row r="415" spans="1:11" x14ac:dyDescent="0.2">
      <c r="A41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","#",3))+1,1)&amp;"-"&amp;LEFT(Educator!B420, 3)&amp;"-"&amp;LEFT(Educator!A420, 3)&amp;"-"&amp;"2027"</f>
        <v>UID-FLH---2027</v>
      </c>
      <c r="C415" s="49">
        <f>Educator!C420</f>
        <v>0</v>
      </c>
      <c r="D415" s="49" t="b">
        <f t="shared" si="16"/>
        <v>0</v>
      </c>
      <c r="E415" s="49">
        <f>Educator!A420</f>
        <v>0</v>
      </c>
      <c r="F415" s="49">
        <f>Educator!B420</f>
        <v>0</v>
      </c>
      <c r="G415" s="49" t="str">
        <f>Educator!A420 &amp;" " &amp;Educator!B420</f>
        <v xml:space="preserve"> </v>
      </c>
      <c r="J415" s="49">
        <f>Educator!C420</f>
        <v>0</v>
      </c>
      <c r="K415" s="49" t="b">
        <f t="shared" si="17"/>
        <v>0</v>
      </c>
    </row>
    <row r="416" spans="1:11" x14ac:dyDescent="0.2">
      <c r="A41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","#",3))+1,1)&amp;"-"&amp;LEFT(Educator!B421, 3)&amp;"-"&amp;LEFT(Educator!A421, 3)&amp;"-"&amp;"2027"</f>
        <v>UID-FLH---2027</v>
      </c>
      <c r="C416" s="49">
        <f>Educator!C421</f>
        <v>0</v>
      </c>
      <c r="D416" s="49" t="b">
        <f t="shared" si="16"/>
        <v>0</v>
      </c>
      <c r="E416" s="49">
        <f>Educator!A421</f>
        <v>0</v>
      </c>
      <c r="F416" s="49">
        <f>Educator!B421</f>
        <v>0</v>
      </c>
      <c r="G416" s="49" t="str">
        <f>Educator!A421 &amp;" " &amp;Educator!B421</f>
        <v xml:space="preserve"> </v>
      </c>
      <c r="J416" s="49">
        <f>Educator!C421</f>
        <v>0</v>
      </c>
      <c r="K416" s="49" t="b">
        <f t="shared" si="17"/>
        <v>0</v>
      </c>
    </row>
    <row r="417" spans="1:11" x14ac:dyDescent="0.2">
      <c r="A41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","#",3))+1,1)&amp;"-"&amp;LEFT(Educator!B422, 3)&amp;"-"&amp;LEFT(Educator!A422, 3)&amp;"-"&amp;"2027"</f>
        <v>UID-FLH---2027</v>
      </c>
      <c r="C417" s="49">
        <f>Educator!C422</f>
        <v>0</v>
      </c>
      <c r="D417" s="49" t="b">
        <f t="shared" si="16"/>
        <v>0</v>
      </c>
      <c r="E417" s="49">
        <f>Educator!A422</f>
        <v>0</v>
      </c>
      <c r="F417" s="49">
        <f>Educator!B422</f>
        <v>0</v>
      </c>
      <c r="G417" s="49" t="str">
        <f>Educator!A422 &amp;" " &amp;Educator!B422</f>
        <v xml:space="preserve"> </v>
      </c>
      <c r="J417" s="49">
        <f>Educator!C422</f>
        <v>0</v>
      </c>
      <c r="K417" s="49" t="b">
        <f t="shared" si="17"/>
        <v>0</v>
      </c>
    </row>
    <row r="418" spans="1:11" x14ac:dyDescent="0.2">
      <c r="A41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","#",3))+1,1)&amp;"-"&amp;LEFT(Educator!B423, 3)&amp;"-"&amp;LEFT(Educator!A423, 3)&amp;"-"&amp;"2027"</f>
        <v>UID-FLH---2027</v>
      </c>
      <c r="C418" s="49">
        <f>Educator!C423</f>
        <v>0</v>
      </c>
      <c r="D418" s="49" t="b">
        <f t="shared" si="16"/>
        <v>0</v>
      </c>
      <c r="E418" s="49">
        <f>Educator!A423</f>
        <v>0</v>
      </c>
      <c r="F418" s="49">
        <f>Educator!B423</f>
        <v>0</v>
      </c>
      <c r="G418" s="49" t="str">
        <f>Educator!A423 &amp;" " &amp;Educator!B423</f>
        <v xml:space="preserve"> </v>
      </c>
      <c r="J418" s="49">
        <f>Educator!C423</f>
        <v>0</v>
      </c>
      <c r="K418" s="49" t="b">
        <f t="shared" si="17"/>
        <v>0</v>
      </c>
    </row>
    <row r="419" spans="1:11" x14ac:dyDescent="0.2">
      <c r="A41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","#",3))+1,1)&amp;"-"&amp;LEFT(Educator!B424, 3)&amp;"-"&amp;LEFT(Educator!A424, 3)&amp;"-"&amp;"2027"</f>
        <v>UID-FLH---2027</v>
      </c>
      <c r="C419" s="49">
        <f>Educator!C424</f>
        <v>0</v>
      </c>
      <c r="D419" s="49" t="b">
        <f t="shared" si="16"/>
        <v>0</v>
      </c>
      <c r="E419" s="49">
        <f>Educator!A424</f>
        <v>0</v>
      </c>
      <c r="F419" s="49">
        <f>Educator!B424</f>
        <v>0</v>
      </c>
      <c r="G419" s="49" t="str">
        <f>Educator!A424 &amp;" " &amp;Educator!B424</f>
        <v xml:space="preserve"> </v>
      </c>
      <c r="J419" s="49">
        <f>Educator!C424</f>
        <v>0</v>
      </c>
      <c r="K419" s="49" t="b">
        <f t="shared" si="17"/>
        <v>0</v>
      </c>
    </row>
    <row r="420" spans="1:11" x14ac:dyDescent="0.2">
      <c r="A42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","#",3))+1,1)&amp;"-"&amp;LEFT(Educator!B425, 3)&amp;"-"&amp;LEFT(Educator!A425, 3)&amp;"-"&amp;"2027"</f>
        <v>UID-FLH---2027</v>
      </c>
      <c r="C420" s="49">
        <f>Educator!C425</f>
        <v>0</v>
      </c>
      <c r="D420" s="49" t="b">
        <f t="shared" si="16"/>
        <v>0</v>
      </c>
      <c r="E420" s="49">
        <f>Educator!A425</f>
        <v>0</v>
      </c>
      <c r="F420" s="49">
        <f>Educator!B425</f>
        <v>0</v>
      </c>
      <c r="G420" s="49" t="str">
        <f>Educator!A425 &amp;" " &amp;Educator!B425</f>
        <v xml:space="preserve"> </v>
      </c>
      <c r="J420" s="49">
        <f>Educator!C425</f>
        <v>0</v>
      </c>
      <c r="K420" s="49" t="b">
        <f t="shared" si="17"/>
        <v>0</v>
      </c>
    </row>
    <row r="421" spans="1:11" x14ac:dyDescent="0.2">
      <c r="A42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","#",3))+1,1)&amp;"-"&amp;LEFT(Educator!B426, 3)&amp;"-"&amp;LEFT(Educator!A426, 3)&amp;"-"&amp;"2027"</f>
        <v>UID-FLH---2027</v>
      </c>
      <c r="C421" s="49">
        <f>Educator!C426</f>
        <v>0</v>
      </c>
      <c r="D421" s="49" t="b">
        <f t="shared" si="16"/>
        <v>0</v>
      </c>
      <c r="E421" s="49">
        <f>Educator!A426</f>
        <v>0</v>
      </c>
      <c r="F421" s="49">
        <f>Educator!B426</f>
        <v>0</v>
      </c>
      <c r="G421" s="49" t="str">
        <f>Educator!A426 &amp;" " &amp;Educator!B426</f>
        <v xml:space="preserve"> </v>
      </c>
      <c r="J421" s="49">
        <f>Educator!C426</f>
        <v>0</v>
      </c>
      <c r="K421" s="49" t="b">
        <f t="shared" si="17"/>
        <v>0</v>
      </c>
    </row>
    <row r="422" spans="1:11" x14ac:dyDescent="0.2">
      <c r="A42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","#",3))+1,1)&amp;"-"&amp;LEFT(Educator!B427, 3)&amp;"-"&amp;LEFT(Educator!A427, 3)&amp;"-"&amp;"2027"</f>
        <v>UID-FLH---2027</v>
      </c>
      <c r="C422" s="49">
        <f>Educator!C427</f>
        <v>0</v>
      </c>
      <c r="D422" s="49" t="b">
        <f t="shared" si="16"/>
        <v>0</v>
      </c>
      <c r="E422" s="49">
        <f>Educator!A427</f>
        <v>0</v>
      </c>
      <c r="F422" s="49">
        <f>Educator!B427</f>
        <v>0</v>
      </c>
      <c r="G422" s="49" t="str">
        <f>Educator!A427 &amp;" " &amp;Educator!B427</f>
        <v xml:space="preserve"> </v>
      </c>
      <c r="J422" s="49">
        <f>Educator!C427</f>
        <v>0</v>
      </c>
      <c r="K422" s="49" t="b">
        <f t="shared" si="17"/>
        <v>0</v>
      </c>
    </row>
    <row r="423" spans="1:11" x14ac:dyDescent="0.2">
      <c r="A42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","#",3))+1,1)&amp;"-"&amp;LEFT(Educator!B428, 3)&amp;"-"&amp;LEFT(Educator!A428, 3)&amp;"-"&amp;"2027"</f>
        <v>UID-FLH---2027</v>
      </c>
      <c r="C423" s="49">
        <f>Educator!C428</f>
        <v>0</v>
      </c>
      <c r="D423" s="49" t="b">
        <f t="shared" si="16"/>
        <v>0</v>
      </c>
      <c r="E423" s="49">
        <f>Educator!A428</f>
        <v>0</v>
      </c>
      <c r="F423" s="49">
        <f>Educator!B428</f>
        <v>0</v>
      </c>
      <c r="G423" s="49" t="str">
        <f>Educator!A428 &amp;" " &amp;Educator!B428</f>
        <v xml:space="preserve"> </v>
      </c>
      <c r="J423" s="49">
        <f>Educator!C428</f>
        <v>0</v>
      </c>
      <c r="K423" s="49" t="b">
        <f t="shared" si="17"/>
        <v>0</v>
      </c>
    </row>
    <row r="424" spans="1:11" x14ac:dyDescent="0.2">
      <c r="A42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","#",3))+1,1)&amp;"-"&amp;LEFT(Educator!B429, 3)&amp;"-"&amp;LEFT(Educator!A429, 3)&amp;"-"&amp;"2027"</f>
        <v>UID-FLH---2027</v>
      </c>
      <c r="C424" s="49">
        <f>Educator!C429</f>
        <v>0</v>
      </c>
      <c r="D424" s="49" t="b">
        <f t="shared" si="16"/>
        <v>0</v>
      </c>
      <c r="E424" s="49">
        <f>Educator!A429</f>
        <v>0</v>
      </c>
      <c r="F424" s="49">
        <f>Educator!B429</f>
        <v>0</v>
      </c>
      <c r="G424" s="49" t="str">
        <f>Educator!A429 &amp;" " &amp;Educator!B429</f>
        <v xml:space="preserve"> </v>
      </c>
      <c r="J424" s="49">
        <f>Educator!C429</f>
        <v>0</v>
      </c>
      <c r="K424" s="49" t="b">
        <f t="shared" si="17"/>
        <v>0</v>
      </c>
    </row>
    <row r="425" spans="1:11" x14ac:dyDescent="0.2">
      <c r="A42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","#",3))+1,1)&amp;"-"&amp;LEFT(Educator!B430, 3)&amp;"-"&amp;LEFT(Educator!A430, 3)&amp;"-"&amp;"2027"</f>
        <v>UID-FLH---2027</v>
      </c>
      <c r="C425" s="49">
        <f>Educator!C430</f>
        <v>0</v>
      </c>
      <c r="D425" s="49" t="b">
        <f t="shared" si="16"/>
        <v>0</v>
      </c>
      <c r="E425" s="49">
        <f>Educator!A430</f>
        <v>0</v>
      </c>
      <c r="F425" s="49">
        <f>Educator!B430</f>
        <v>0</v>
      </c>
      <c r="G425" s="49" t="str">
        <f>Educator!A430 &amp;" " &amp;Educator!B430</f>
        <v xml:space="preserve"> </v>
      </c>
      <c r="J425" s="49">
        <f>Educator!C430</f>
        <v>0</v>
      </c>
      <c r="K425" s="49" t="b">
        <f t="shared" si="17"/>
        <v>0</v>
      </c>
    </row>
    <row r="426" spans="1:11" x14ac:dyDescent="0.2">
      <c r="A42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","#",3))+1,1)&amp;"-"&amp;LEFT(Educator!B431, 3)&amp;"-"&amp;LEFT(Educator!A431, 3)&amp;"-"&amp;"2027"</f>
        <v>UID-FLH---2027</v>
      </c>
      <c r="C426" s="49">
        <f>Educator!C431</f>
        <v>0</v>
      </c>
      <c r="D426" s="49" t="b">
        <f t="shared" si="16"/>
        <v>0</v>
      </c>
      <c r="E426" s="49">
        <f>Educator!A431</f>
        <v>0</v>
      </c>
      <c r="F426" s="49">
        <f>Educator!B431</f>
        <v>0</v>
      </c>
      <c r="G426" s="49" t="str">
        <f>Educator!A431 &amp;" " &amp;Educator!B431</f>
        <v xml:space="preserve"> </v>
      </c>
      <c r="J426" s="49">
        <f>Educator!C431</f>
        <v>0</v>
      </c>
      <c r="K426" s="49" t="b">
        <f t="shared" si="17"/>
        <v>0</v>
      </c>
    </row>
    <row r="427" spans="1:11" x14ac:dyDescent="0.2">
      <c r="A42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","#",3))+1,1)&amp;"-"&amp;LEFT(Educator!B432, 3)&amp;"-"&amp;LEFT(Educator!A432, 3)&amp;"-"&amp;"2027"</f>
        <v>UID-FLH---2027</v>
      </c>
      <c r="C427" s="49">
        <f>Educator!C432</f>
        <v>0</v>
      </c>
      <c r="D427" s="49" t="b">
        <f t="shared" si="16"/>
        <v>0</v>
      </c>
      <c r="E427" s="49">
        <f>Educator!A432</f>
        <v>0</v>
      </c>
      <c r="F427" s="49">
        <f>Educator!B432</f>
        <v>0</v>
      </c>
      <c r="G427" s="49" t="str">
        <f>Educator!A432 &amp;" " &amp;Educator!B432</f>
        <v xml:space="preserve"> </v>
      </c>
      <c r="J427" s="49">
        <f>Educator!C432</f>
        <v>0</v>
      </c>
      <c r="K427" s="49" t="b">
        <f t="shared" si="17"/>
        <v>0</v>
      </c>
    </row>
    <row r="428" spans="1:11" x14ac:dyDescent="0.2">
      <c r="A42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","#",3))+1,1)&amp;"-"&amp;LEFT(Educator!B433, 3)&amp;"-"&amp;LEFT(Educator!A433, 3)&amp;"-"&amp;"2027"</f>
        <v>UID-FLH---2027</v>
      </c>
      <c r="C428" s="49">
        <f>Educator!C433</f>
        <v>0</v>
      </c>
      <c r="D428" s="49" t="b">
        <f t="shared" si="16"/>
        <v>0</v>
      </c>
      <c r="E428" s="49">
        <f>Educator!A433</f>
        <v>0</v>
      </c>
      <c r="F428" s="49">
        <f>Educator!B433</f>
        <v>0</v>
      </c>
      <c r="G428" s="49" t="str">
        <f>Educator!A433 &amp;" " &amp;Educator!B433</f>
        <v xml:space="preserve"> </v>
      </c>
      <c r="J428" s="49">
        <f>Educator!C433</f>
        <v>0</v>
      </c>
      <c r="K428" s="49" t="b">
        <f t="shared" si="17"/>
        <v>0</v>
      </c>
    </row>
    <row r="429" spans="1:11" x14ac:dyDescent="0.2">
      <c r="A42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","#",3))+1,1)&amp;"-"&amp;LEFT(Educator!B434, 3)&amp;"-"&amp;LEFT(Educator!A434, 3)&amp;"-"&amp;"2027"</f>
        <v>UID-FLH---2027</v>
      </c>
      <c r="C429" s="49">
        <f>Educator!C434</f>
        <v>0</v>
      </c>
      <c r="D429" s="49" t="b">
        <f t="shared" si="16"/>
        <v>0</v>
      </c>
      <c r="E429" s="49">
        <f>Educator!A434</f>
        <v>0</v>
      </c>
      <c r="F429" s="49">
        <f>Educator!B434</f>
        <v>0</v>
      </c>
      <c r="G429" s="49" t="str">
        <f>Educator!A434 &amp;" " &amp;Educator!B434</f>
        <v xml:space="preserve"> </v>
      </c>
      <c r="J429" s="49">
        <f>Educator!C434</f>
        <v>0</v>
      </c>
      <c r="K429" s="49" t="b">
        <f t="shared" si="17"/>
        <v>0</v>
      </c>
    </row>
    <row r="430" spans="1:11" x14ac:dyDescent="0.2">
      <c r="A43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","#",3))+1,1)&amp;"-"&amp;LEFT(Educator!B435, 3)&amp;"-"&amp;LEFT(Educator!A435, 3)&amp;"-"&amp;"2027"</f>
        <v>UID-FLH---2027</v>
      </c>
      <c r="C430" s="49">
        <f>Educator!C435</f>
        <v>0</v>
      </c>
      <c r="D430" s="49" t="b">
        <f t="shared" si="16"/>
        <v>0</v>
      </c>
      <c r="E430" s="49">
        <f>Educator!A435</f>
        <v>0</v>
      </c>
      <c r="F430" s="49">
        <f>Educator!B435</f>
        <v>0</v>
      </c>
      <c r="G430" s="49" t="str">
        <f>Educator!A435 &amp;" " &amp;Educator!B435</f>
        <v xml:space="preserve"> </v>
      </c>
      <c r="J430" s="49">
        <f>Educator!C435</f>
        <v>0</v>
      </c>
      <c r="K430" s="49" t="b">
        <f t="shared" si="17"/>
        <v>0</v>
      </c>
    </row>
    <row r="431" spans="1:11" x14ac:dyDescent="0.2">
      <c r="A43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","#",3))+1,1)&amp;"-"&amp;LEFT(Educator!B436, 3)&amp;"-"&amp;LEFT(Educator!A436, 3)&amp;"-"&amp;"2027"</f>
        <v>UID-FLH---2027</v>
      </c>
      <c r="C431" s="49">
        <f>Educator!C436</f>
        <v>0</v>
      </c>
      <c r="D431" s="49" t="b">
        <f t="shared" si="16"/>
        <v>0</v>
      </c>
      <c r="E431" s="49">
        <f>Educator!A436</f>
        <v>0</v>
      </c>
      <c r="F431" s="49">
        <f>Educator!B436</f>
        <v>0</v>
      </c>
      <c r="G431" s="49" t="str">
        <f>Educator!A436 &amp;" " &amp;Educator!B436</f>
        <v xml:space="preserve"> </v>
      </c>
      <c r="J431" s="49">
        <f>Educator!C436</f>
        <v>0</v>
      </c>
      <c r="K431" s="49" t="b">
        <f t="shared" si="17"/>
        <v>0</v>
      </c>
    </row>
    <row r="432" spans="1:11" x14ac:dyDescent="0.2">
      <c r="A43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","#",3))+1,1)&amp;"-"&amp;LEFT(Educator!B437, 3)&amp;"-"&amp;LEFT(Educator!A437, 3)&amp;"-"&amp;"2027"</f>
        <v>UID-FLH---2027</v>
      </c>
      <c r="C432" s="49">
        <f>Educator!C437</f>
        <v>0</v>
      </c>
      <c r="D432" s="49" t="b">
        <f t="shared" si="16"/>
        <v>0</v>
      </c>
      <c r="E432" s="49">
        <f>Educator!A437</f>
        <v>0</v>
      </c>
      <c r="F432" s="49">
        <f>Educator!B437</f>
        <v>0</v>
      </c>
      <c r="G432" s="49" t="str">
        <f>Educator!A437 &amp;" " &amp;Educator!B437</f>
        <v xml:space="preserve"> </v>
      </c>
      <c r="J432" s="49">
        <f>Educator!C437</f>
        <v>0</v>
      </c>
      <c r="K432" s="49" t="b">
        <f t="shared" si="17"/>
        <v>0</v>
      </c>
    </row>
    <row r="433" spans="1:11" x14ac:dyDescent="0.2">
      <c r="A43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","#",3))+1,1)&amp;"-"&amp;LEFT(Educator!B438, 3)&amp;"-"&amp;LEFT(Educator!A438, 3)&amp;"-"&amp;"2027"</f>
        <v>UID-FLH---2027</v>
      </c>
      <c r="C433" s="49">
        <f>Educator!C438</f>
        <v>0</v>
      </c>
      <c r="D433" s="49" t="b">
        <f t="shared" si="16"/>
        <v>0</v>
      </c>
      <c r="E433" s="49">
        <f>Educator!A438</f>
        <v>0</v>
      </c>
      <c r="F433" s="49">
        <f>Educator!B438</f>
        <v>0</v>
      </c>
      <c r="G433" s="49" t="str">
        <f>Educator!A438 &amp;" " &amp;Educator!B438</f>
        <v xml:space="preserve"> </v>
      </c>
      <c r="J433" s="49">
        <f>Educator!C438</f>
        <v>0</v>
      </c>
      <c r="K433" s="49" t="b">
        <f t="shared" si="17"/>
        <v>0</v>
      </c>
    </row>
    <row r="434" spans="1:11" x14ac:dyDescent="0.2">
      <c r="A43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","#",3))+1,1)&amp;"-"&amp;LEFT(Educator!B439, 3)&amp;"-"&amp;LEFT(Educator!A439, 3)&amp;"-"&amp;"2027"</f>
        <v>UID-FLH---2027</v>
      </c>
      <c r="C434" s="49">
        <f>Educator!C439</f>
        <v>0</v>
      </c>
      <c r="D434" s="49" t="b">
        <f t="shared" si="16"/>
        <v>0</v>
      </c>
      <c r="E434" s="49">
        <f>Educator!A439</f>
        <v>0</v>
      </c>
      <c r="F434" s="49">
        <f>Educator!B439</f>
        <v>0</v>
      </c>
      <c r="G434" s="49" t="str">
        <f>Educator!A439 &amp;" " &amp;Educator!B439</f>
        <v xml:space="preserve"> </v>
      </c>
      <c r="J434" s="49">
        <f>Educator!C439</f>
        <v>0</v>
      </c>
      <c r="K434" s="49" t="b">
        <f t="shared" si="17"/>
        <v>0</v>
      </c>
    </row>
    <row r="435" spans="1:11" x14ac:dyDescent="0.2">
      <c r="A43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","#",3))+1,1)&amp;"-"&amp;LEFT(Educator!B440, 3)&amp;"-"&amp;LEFT(Educator!A440, 3)&amp;"-"&amp;"2027"</f>
        <v>UID-FLH---2027</v>
      </c>
      <c r="C435" s="49">
        <f>Educator!C440</f>
        <v>0</v>
      </c>
      <c r="D435" s="49" t="b">
        <f t="shared" si="16"/>
        <v>0</v>
      </c>
      <c r="E435" s="49">
        <f>Educator!A440</f>
        <v>0</v>
      </c>
      <c r="F435" s="49">
        <f>Educator!B440</f>
        <v>0</v>
      </c>
      <c r="G435" s="49" t="str">
        <f>Educator!A440 &amp;" " &amp;Educator!B440</f>
        <v xml:space="preserve"> </v>
      </c>
      <c r="J435" s="49">
        <f>Educator!C440</f>
        <v>0</v>
      </c>
      <c r="K435" s="49" t="b">
        <f t="shared" si="17"/>
        <v>0</v>
      </c>
    </row>
    <row r="436" spans="1:11" x14ac:dyDescent="0.2">
      <c r="A43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","#",3))+1,1)&amp;"-"&amp;LEFT(Educator!B441, 3)&amp;"-"&amp;LEFT(Educator!A441, 3)&amp;"-"&amp;"2027"</f>
        <v>UID-FLH---2027</v>
      </c>
      <c r="C436" s="49">
        <f>Educator!C441</f>
        <v>0</v>
      </c>
      <c r="D436" s="49" t="b">
        <f t="shared" si="16"/>
        <v>0</v>
      </c>
      <c r="E436" s="49">
        <f>Educator!A441</f>
        <v>0</v>
      </c>
      <c r="F436" s="49">
        <f>Educator!B441</f>
        <v>0</v>
      </c>
      <c r="G436" s="49" t="str">
        <f>Educator!A441 &amp;" " &amp;Educator!B441</f>
        <v xml:space="preserve"> </v>
      </c>
      <c r="J436" s="49">
        <f>Educator!C441</f>
        <v>0</v>
      </c>
      <c r="K436" s="49" t="b">
        <f t="shared" si="17"/>
        <v>0</v>
      </c>
    </row>
    <row r="437" spans="1:11" x14ac:dyDescent="0.2">
      <c r="A43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","#",3))+1,1)&amp;"-"&amp;LEFT(Educator!B442, 3)&amp;"-"&amp;LEFT(Educator!A442, 3)&amp;"-"&amp;"2027"</f>
        <v>UID-FLH---2027</v>
      </c>
      <c r="C437" s="49">
        <f>Educator!C442</f>
        <v>0</v>
      </c>
      <c r="D437" s="49" t="b">
        <f t="shared" si="16"/>
        <v>0</v>
      </c>
      <c r="E437" s="49">
        <f>Educator!A442</f>
        <v>0</v>
      </c>
      <c r="F437" s="49">
        <f>Educator!B442</f>
        <v>0</v>
      </c>
      <c r="G437" s="49" t="str">
        <f>Educator!A442 &amp;" " &amp;Educator!B442</f>
        <v xml:space="preserve"> </v>
      </c>
      <c r="J437" s="49">
        <f>Educator!C442</f>
        <v>0</v>
      </c>
      <c r="K437" s="49" t="b">
        <f t="shared" si="17"/>
        <v>0</v>
      </c>
    </row>
    <row r="438" spans="1:11" x14ac:dyDescent="0.2">
      <c r="A43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","#",3))+1,1)&amp;"-"&amp;LEFT(Educator!B443, 3)&amp;"-"&amp;LEFT(Educator!A443, 3)&amp;"-"&amp;"2027"</f>
        <v>UID-FLH---2027</v>
      </c>
      <c r="C438" s="49">
        <f>Educator!C443</f>
        <v>0</v>
      </c>
      <c r="D438" s="49" t="b">
        <f t="shared" si="16"/>
        <v>0</v>
      </c>
      <c r="E438" s="49">
        <f>Educator!A443</f>
        <v>0</v>
      </c>
      <c r="F438" s="49">
        <f>Educator!B443</f>
        <v>0</v>
      </c>
      <c r="G438" s="49" t="str">
        <f>Educator!A443 &amp;" " &amp;Educator!B443</f>
        <v xml:space="preserve"> </v>
      </c>
      <c r="J438" s="49">
        <f>Educator!C443</f>
        <v>0</v>
      </c>
      <c r="K438" s="49" t="b">
        <f t="shared" si="17"/>
        <v>0</v>
      </c>
    </row>
    <row r="439" spans="1:11" x14ac:dyDescent="0.2">
      <c r="A43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","#",3))+1,1)&amp;"-"&amp;LEFT(Educator!B444, 3)&amp;"-"&amp;LEFT(Educator!A444, 3)&amp;"-"&amp;"2027"</f>
        <v>UID-FLH---2027</v>
      </c>
      <c r="C439" s="49">
        <f>Educator!C444</f>
        <v>0</v>
      </c>
      <c r="D439" s="49" t="b">
        <f t="shared" si="16"/>
        <v>0</v>
      </c>
      <c r="E439" s="49">
        <f>Educator!A444</f>
        <v>0</v>
      </c>
      <c r="F439" s="49">
        <f>Educator!B444</f>
        <v>0</v>
      </c>
      <c r="G439" s="49" t="str">
        <f>Educator!A444 &amp;" " &amp;Educator!B444</f>
        <v xml:space="preserve"> </v>
      </c>
      <c r="J439" s="49">
        <f>Educator!C444</f>
        <v>0</v>
      </c>
      <c r="K439" s="49" t="b">
        <f t="shared" si="17"/>
        <v>0</v>
      </c>
    </row>
    <row r="440" spans="1:11" x14ac:dyDescent="0.2">
      <c r="A44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","#",3))+1,1)&amp;"-"&amp;LEFT(Educator!B445, 3)&amp;"-"&amp;LEFT(Educator!A445, 3)&amp;"-"&amp;"2027"</f>
        <v>UID-FLH---2027</v>
      </c>
      <c r="C440" s="49">
        <f>Educator!C445</f>
        <v>0</v>
      </c>
      <c r="D440" s="49" t="b">
        <f t="shared" si="16"/>
        <v>0</v>
      </c>
      <c r="E440" s="49">
        <f>Educator!A445</f>
        <v>0</v>
      </c>
      <c r="F440" s="49">
        <f>Educator!B445</f>
        <v>0</v>
      </c>
      <c r="G440" s="49" t="str">
        <f>Educator!A445 &amp;" " &amp;Educator!B445</f>
        <v xml:space="preserve"> </v>
      </c>
      <c r="J440" s="49">
        <f>Educator!C445</f>
        <v>0</v>
      </c>
      <c r="K440" s="49" t="b">
        <f t="shared" si="17"/>
        <v>0</v>
      </c>
    </row>
    <row r="441" spans="1:11" x14ac:dyDescent="0.2">
      <c r="A44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","#",3))+1,1)&amp;"-"&amp;LEFT(Educator!B446, 3)&amp;"-"&amp;LEFT(Educator!A446, 3)&amp;"-"&amp;"2027"</f>
        <v>UID-FLH---2027</v>
      </c>
      <c r="C441" s="49">
        <f>Educator!C446</f>
        <v>0</v>
      </c>
      <c r="D441" s="49" t="b">
        <f t="shared" si="16"/>
        <v>0</v>
      </c>
      <c r="E441" s="49">
        <f>Educator!A446</f>
        <v>0</v>
      </c>
      <c r="F441" s="49">
        <f>Educator!B446</f>
        <v>0</v>
      </c>
      <c r="G441" s="49" t="str">
        <f>Educator!A446 &amp;" " &amp;Educator!B446</f>
        <v xml:space="preserve"> </v>
      </c>
      <c r="J441" s="49">
        <f>Educator!C446</f>
        <v>0</v>
      </c>
      <c r="K441" s="49" t="b">
        <f t="shared" si="17"/>
        <v>0</v>
      </c>
    </row>
    <row r="442" spans="1:11" x14ac:dyDescent="0.2">
      <c r="A44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","#",3))+1,1)&amp;"-"&amp;LEFT(Educator!B447, 3)&amp;"-"&amp;LEFT(Educator!A447, 3)&amp;"-"&amp;"2027"</f>
        <v>UID-FLH---2027</v>
      </c>
      <c r="C442" s="49">
        <f>Educator!C447</f>
        <v>0</v>
      </c>
      <c r="D442" s="49" t="b">
        <f t="shared" si="16"/>
        <v>0</v>
      </c>
      <c r="E442" s="49">
        <f>Educator!A447</f>
        <v>0</v>
      </c>
      <c r="F442" s="49">
        <f>Educator!B447</f>
        <v>0</v>
      </c>
      <c r="G442" s="49" t="str">
        <f>Educator!A447 &amp;" " &amp;Educator!B447</f>
        <v xml:space="preserve"> </v>
      </c>
      <c r="J442" s="49">
        <f>Educator!C447</f>
        <v>0</v>
      </c>
      <c r="K442" s="49" t="b">
        <f t="shared" si="17"/>
        <v>0</v>
      </c>
    </row>
    <row r="443" spans="1:11" x14ac:dyDescent="0.2">
      <c r="A44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","#",3))+1,1)&amp;"-"&amp;LEFT(Educator!B448, 3)&amp;"-"&amp;LEFT(Educator!A448, 3)&amp;"-"&amp;"2027"</f>
        <v>UID-FLH---2027</v>
      </c>
      <c r="C443" s="49">
        <f>Educator!C448</f>
        <v>0</v>
      </c>
      <c r="D443" s="49" t="b">
        <f t="shared" si="16"/>
        <v>0</v>
      </c>
      <c r="E443" s="49">
        <f>Educator!A448</f>
        <v>0</v>
      </c>
      <c r="F443" s="49">
        <f>Educator!B448</f>
        <v>0</v>
      </c>
      <c r="G443" s="49" t="str">
        <f>Educator!A448 &amp;" " &amp;Educator!B448</f>
        <v xml:space="preserve"> </v>
      </c>
      <c r="J443" s="49">
        <f>Educator!C448</f>
        <v>0</v>
      </c>
      <c r="K443" s="49" t="b">
        <f t="shared" si="17"/>
        <v>0</v>
      </c>
    </row>
    <row r="444" spans="1:11" x14ac:dyDescent="0.2">
      <c r="A44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","#",3))+1,1)&amp;"-"&amp;LEFT(Educator!B449, 3)&amp;"-"&amp;LEFT(Educator!A449, 3)&amp;"-"&amp;"2027"</f>
        <v>UID-FLH---2027</v>
      </c>
      <c r="C444" s="49">
        <f>Educator!C449</f>
        <v>0</v>
      </c>
      <c r="D444" s="49" t="b">
        <f t="shared" si="16"/>
        <v>0</v>
      </c>
      <c r="E444" s="49">
        <f>Educator!A449</f>
        <v>0</v>
      </c>
      <c r="F444" s="49">
        <f>Educator!B449</f>
        <v>0</v>
      </c>
      <c r="G444" s="49" t="str">
        <f>Educator!A449 &amp;" " &amp;Educator!B449</f>
        <v xml:space="preserve"> </v>
      </c>
      <c r="J444" s="49">
        <f>Educator!C449</f>
        <v>0</v>
      </c>
      <c r="K444" s="49" t="b">
        <f t="shared" si="17"/>
        <v>0</v>
      </c>
    </row>
    <row r="445" spans="1:11" x14ac:dyDescent="0.2">
      <c r="A44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","#",3))+1,1)&amp;"-"&amp;LEFT(Educator!B450, 3)&amp;"-"&amp;LEFT(Educator!A450, 3)&amp;"-"&amp;"2027"</f>
        <v>UID-FLH---2027</v>
      </c>
      <c r="C445" s="49">
        <f>Educator!C450</f>
        <v>0</v>
      </c>
      <c r="D445" s="49" t="b">
        <f t="shared" si="16"/>
        <v>0</v>
      </c>
      <c r="E445" s="49">
        <f>Educator!A450</f>
        <v>0</v>
      </c>
      <c r="F445" s="49">
        <f>Educator!B450</f>
        <v>0</v>
      </c>
      <c r="G445" s="49" t="str">
        <f>Educator!A450 &amp;" " &amp;Educator!B450</f>
        <v xml:space="preserve"> </v>
      </c>
      <c r="J445" s="49">
        <f>Educator!C450</f>
        <v>0</v>
      </c>
      <c r="K445" s="49" t="b">
        <f t="shared" si="17"/>
        <v>0</v>
      </c>
    </row>
    <row r="446" spans="1:11" x14ac:dyDescent="0.2">
      <c r="A44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","#",3))+1,1)&amp;"-"&amp;LEFT(Educator!B451, 3)&amp;"-"&amp;LEFT(Educator!A451, 3)&amp;"-"&amp;"2027"</f>
        <v>UID-FLH---2027</v>
      </c>
      <c r="C446" s="49">
        <f>Educator!C451</f>
        <v>0</v>
      </c>
      <c r="D446" s="49" t="b">
        <f t="shared" si="16"/>
        <v>0</v>
      </c>
      <c r="E446" s="49">
        <f>Educator!A451</f>
        <v>0</v>
      </c>
      <c r="F446" s="49">
        <f>Educator!B451</f>
        <v>0</v>
      </c>
      <c r="G446" s="49" t="str">
        <f>Educator!A451 &amp;" " &amp;Educator!B451</f>
        <v xml:space="preserve"> </v>
      </c>
      <c r="J446" s="49">
        <f>Educator!C451</f>
        <v>0</v>
      </c>
      <c r="K446" s="49" t="b">
        <f t="shared" si="17"/>
        <v>0</v>
      </c>
    </row>
    <row r="447" spans="1:11" x14ac:dyDescent="0.2">
      <c r="A44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","#",3))+1,1)&amp;"-"&amp;LEFT(Educator!B452, 3)&amp;"-"&amp;LEFT(Educator!A452, 3)&amp;"-"&amp;"2027"</f>
        <v>UID-FLH---2027</v>
      </c>
      <c r="C447" s="49">
        <f>Educator!C452</f>
        <v>0</v>
      </c>
      <c r="D447" s="49" t="b">
        <f t="shared" si="16"/>
        <v>0</v>
      </c>
      <c r="E447" s="49">
        <f>Educator!A452</f>
        <v>0</v>
      </c>
      <c r="F447" s="49">
        <f>Educator!B452</f>
        <v>0</v>
      </c>
      <c r="G447" s="49" t="str">
        <f>Educator!A452 &amp;" " &amp;Educator!B452</f>
        <v xml:space="preserve"> </v>
      </c>
      <c r="J447" s="49">
        <f>Educator!C452</f>
        <v>0</v>
      </c>
      <c r="K447" s="49" t="b">
        <f t="shared" si="17"/>
        <v>0</v>
      </c>
    </row>
    <row r="448" spans="1:11" x14ac:dyDescent="0.2">
      <c r="A44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","#",3))+1,1)&amp;"-"&amp;LEFT(Educator!B453, 3)&amp;"-"&amp;LEFT(Educator!A453, 3)&amp;"-"&amp;"2027"</f>
        <v>UID-FLH---2027</v>
      </c>
      <c r="C448" s="49">
        <f>Educator!C453</f>
        <v>0</v>
      </c>
      <c r="D448" s="49" t="b">
        <f t="shared" si="16"/>
        <v>0</v>
      </c>
      <c r="E448" s="49">
        <f>Educator!A453</f>
        <v>0</v>
      </c>
      <c r="F448" s="49">
        <f>Educator!B453</f>
        <v>0</v>
      </c>
      <c r="G448" s="49" t="str">
        <f>Educator!A453 &amp;" " &amp;Educator!B453</f>
        <v xml:space="preserve"> </v>
      </c>
      <c r="J448" s="49">
        <f>Educator!C453</f>
        <v>0</v>
      </c>
      <c r="K448" s="49" t="b">
        <f t="shared" si="17"/>
        <v>0</v>
      </c>
    </row>
    <row r="449" spans="1:11" x14ac:dyDescent="0.2">
      <c r="A44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","#",3))+1,1)&amp;"-"&amp;LEFT(Educator!B454, 3)&amp;"-"&amp;LEFT(Educator!A454, 3)&amp;"-"&amp;"2027"</f>
        <v>UID-FLH---2027</v>
      </c>
      <c r="C449" s="49">
        <f>Educator!C454</f>
        <v>0</v>
      </c>
      <c r="D449" s="49" t="b">
        <f t="shared" si="16"/>
        <v>0</v>
      </c>
      <c r="E449" s="49">
        <f>Educator!A454</f>
        <v>0</v>
      </c>
      <c r="F449" s="49">
        <f>Educator!B454</f>
        <v>0</v>
      </c>
      <c r="G449" s="49" t="str">
        <f>Educator!A454 &amp;" " &amp;Educator!B454</f>
        <v xml:space="preserve"> </v>
      </c>
      <c r="J449" s="49">
        <f>Educator!C454</f>
        <v>0</v>
      </c>
      <c r="K449" s="49" t="b">
        <f t="shared" si="17"/>
        <v>0</v>
      </c>
    </row>
    <row r="450" spans="1:11" x14ac:dyDescent="0.2">
      <c r="A45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","#",3))+1,1)&amp;"-"&amp;LEFT(Educator!B455, 3)&amp;"-"&amp;LEFT(Educator!A455, 3)&amp;"-"&amp;"2027"</f>
        <v>UID-FLH---2027</v>
      </c>
      <c r="C450" s="49">
        <f>Educator!C455</f>
        <v>0</v>
      </c>
      <c r="D450" s="49" t="b">
        <f t="shared" si="16"/>
        <v>0</v>
      </c>
      <c r="E450" s="49">
        <f>Educator!A455</f>
        <v>0</v>
      </c>
      <c r="F450" s="49">
        <f>Educator!B455</f>
        <v>0</v>
      </c>
      <c r="G450" s="49" t="str">
        <f>Educator!A455 &amp;" " &amp;Educator!B455</f>
        <v xml:space="preserve"> </v>
      </c>
      <c r="J450" s="49">
        <f>Educator!C455</f>
        <v>0</v>
      </c>
      <c r="K450" s="49" t="b">
        <f t="shared" si="17"/>
        <v>0</v>
      </c>
    </row>
    <row r="451" spans="1:11" x14ac:dyDescent="0.2">
      <c r="A45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","#",3))+1,1)&amp;"-"&amp;LEFT(Educator!B456, 3)&amp;"-"&amp;LEFT(Educator!A456, 3)&amp;"-"&amp;"2027"</f>
        <v>UID-FLH---2027</v>
      </c>
      <c r="C451" s="49">
        <f>Educator!C456</f>
        <v>0</v>
      </c>
      <c r="D451" s="49" t="b">
        <f t="shared" si="16"/>
        <v>0</v>
      </c>
      <c r="E451" s="49">
        <f>Educator!A456</f>
        <v>0</v>
      </c>
      <c r="F451" s="49">
        <f>Educator!B456</f>
        <v>0</v>
      </c>
      <c r="G451" s="49" t="str">
        <f>Educator!A456 &amp;" " &amp;Educator!B456</f>
        <v xml:space="preserve"> </v>
      </c>
      <c r="J451" s="49">
        <f>Educator!C456</f>
        <v>0</v>
      </c>
      <c r="K451" s="49" t="b">
        <f t="shared" si="17"/>
        <v>0</v>
      </c>
    </row>
    <row r="452" spans="1:11" x14ac:dyDescent="0.2">
      <c r="A45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","#",3))+1,1)&amp;"-"&amp;LEFT(Educator!B457, 3)&amp;"-"&amp;LEFT(Educator!A457, 3)&amp;"-"&amp;"2027"</f>
        <v>UID-FLH---2027</v>
      </c>
      <c r="C452" s="49">
        <f>Educator!C457</f>
        <v>0</v>
      </c>
      <c r="D452" s="49" t="b">
        <f t="shared" si="16"/>
        <v>0</v>
      </c>
      <c r="E452" s="49">
        <f>Educator!A457</f>
        <v>0</v>
      </c>
      <c r="F452" s="49">
        <f>Educator!B457</f>
        <v>0</v>
      </c>
      <c r="G452" s="49" t="str">
        <f>Educator!A457 &amp;" " &amp;Educator!B457</f>
        <v xml:space="preserve"> </v>
      </c>
      <c r="J452" s="49">
        <f>Educator!C457</f>
        <v>0</v>
      </c>
      <c r="K452" s="49" t="b">
        <f t="shared" si="17"/>
        <v>0</v>
      </c>
    </row>
    <row r="453" spans="1:11" x14ac:dyDescent="0.2">
      <c r="A45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","#",3))+1,1)&amp;"-"&amp;LEFT(Educator!B458, 3)&amp;"-"&amp;LEFT(Educator!A458, 3)&amp;"-"&amp;"2027"</f>
        <v>UID-FLH---2027</v>
      </c>
      <c r="C453" s="49">
        <f>Educator!C458</f>
        <v>0</v>
      </c>
      <c r="D453" s="49" t="b">
        <f t="shared" si="16"/>
        <v>0</v>
      </c>
      <c r="E453" s="49">
        <f>Educator!A458</f>
        <v>0</v>
      </c>
      <c r="F453" s="49">
        <f>Educator!B458</f>
        <v>0</v>
      </c>
      <c r="G453" s="49" t="str">
        <f>Educator!A458 &amp;" " &amp;Educator!B458</f>
        <v xml:space="preserve"> </v>
      </c>
      <c r="J453" s="49">
        <f>Educator!C458</f>
        <v>0</v>
      </c>
      <c r="K453" s="49" t="b">
        <f t="shared" si="17"/>
        <v>0</v>
      </c>
    </row>
    <row r="454" spans="1:11" x14ac:dyDescent="0.2">
      <c r="A45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","#",3))+1,1)&amp;"-"&amp;LEFT(Educator!B459, 3)&amp;"-"&amp;LEFT(Educator!A459, 3)&amp;"-"&amp;"2027"</f>
        <v>UID-FLH---2027</v>
      </c>
      <c r="C454" s="49">
        <f>Educator!C459</f>
        <v>0</v>
      </c>
      <c r="D454" s="49" t="b">
        <f t="shared" si="16"/>
        <v>0</v>
      </c>
      <c r="E454" s="49">
        <f>Educator!A459</f>
        <v>0</v>
      </c>
      <c r="F454" s="49">
        <f>Educator!B459</f>
        <v>0</v>
      </c>
      <c r="G454" s="49" t="str">
        <f>Educator!A459 &amp;" " &amp;Educator!B459</f>
        <v xml:space="preserve"> </v>
      </c>
      <c r="J454" s="49">
        <f>Educator!C459</f>
        <v>0</v>
      </c>
      <c r="K454" s="49" t="b">
        <f t="shared" si="17"/>
        <v>0</v>
      </c>
    </row>
    <row r="455" spans="1:11" x14ac:dyDescent="0.2">
      <c r="A45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","#",3))+1,1)&amp;"-"&amp;LEFT(Educator!B460, 3)&amp;"-"&amp;LEFT(Educator!A460, 3)&amp;"-"&amp;"2027"</f>
        <v>UID-FLH---2027</v>
      </c>
      <c r="C455" s="49">
        <f>Educator!C460</f>
        <v>0</v>
      </c>
      <c r="D455" s="49" t="b">
        <f t="shared" si="16"/>
        <v>0</v>
      </c>
      <c r="E455" s="49">
        <f>Educator!A460</f>
        <v>0</v>
      </c>
      <c r="F455" s="49">
        <f>Educator!B460</f>
        <v>0</v>
      </c>
      <c r="G455" s="49" t="str">
        <f>Educator!A460 &amp;" " &amp;Educator!B460</f>
        <v xml:space="preserve"> </v>
      </c>
      <c r="J455" s="49">
        <f>Educator!C460</f>
        <v>0</v>
      </c>
      <c r="K455" s="49" t="b">
        <f t="shared" si="17"/>
        <v>0</v>
      </c>
    </row>
    <row r="456" spans="1:11" x14ac:dyDescent="0.2">
      <c r="A45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","#",3))+1,1)&amp;"-"&amp;LEFT(Educator!B461, 3)&amp;"-"&amp;LEFT(Educator!A461, 3)&amp;"-"&amp;"2027"</f>
        <v>UID-FLH---2027</v>
      </c>
      <c r="C456" s="49">
        <f>Educator!C461</f>
        <v>0</v>
      </c>
      <c r="D456" s="49" t="b">
        <f t="shared" si="16"/>
        <v>0</v>
      </c>
      <c r="E456" s="49">
        <f>Educator!A461</f>
        <v>0</v>
      </c>
      <c r="F456" s="49">
        <f>Educator!B461</f>
        <v>0</v>
      </c>
      <c r="G456" s="49" t="str">
        <f>Educator!A461 &amp;" " &amp;Educator!B461</f>
        <v xml:space="preserve"> </v>
      </c>
      <c r="J456" s="49">
        <f>Educator!C461</f>
        <v>0</v>
      </c>
      <c r="K456" s="49" t="b">
        <f t="shared" si="17"/>
        <v>0</v>
      </c>
    </row>
    <row r="457" spans="1:11" x14ac:dyDescent="0.2">
      <c r="A45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","#",3))+1,1)&amp;"-"&amp;LEFT(Educator!B462, 3)&amp;"-"&amp;LEFT(Educator!A462, 3)&amp;"-"&amp;"2027"</f>
        <v>UID-FLH---2027</v>
      </c>
      <c r="C457" s="49">
        <f>Educator!C462</f>
        <v>0</v>
      </c>
      <c r="D457" s="49" t="b">
        <f t="shared" si="16"/>
        <v>0</v>
      </c>
      <c r="E457" s="49">
        <f>Educator!A462</f>
        <v>0</v>
      </c>
      <c r="F457" s="49">
        <f>Educator!B462</f>
        <v>0</v>
      </c>
      <c r="G457" s="49" t="str">
        <f>Educator!A462 &amp;" " &amp;Educator!B462</f>
        <v xml:space="preserve"> </v>
      </c>
      <c r="J457" s="49">
        <f>Educator!C462</f>
        <v>0</v>
      </c>
      <c r="K457" s="49" t="b">
        <f t="shared" si="17"/>
        <v>0</v>
      </c>
    </row>
    <row r="458" spans="1:11" x14ac:dyDescent="0.2">
      <c r="A45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","#",3))+1,1)&amp;"-"&amp;LEFT(Educator!B463, 3)&amp;"-"&amp;LEFT(Educator!A463, 3)&amp;"-"&amp;"2027"</f>
        <v>UID-FLH---2027</v>
      </c>
      <c r="C458" s="49">
        <f>Educator!C463</f>
        <v>0</v>
      </c>
      <c r="D458" s="49" t="b">
        <f t="shared" si="16"/>
        <v>0</v>
      </c>
      <c r="E458" s="49">
        <f>Educator!A463</f>
        <v>0</v>
      </c>
      <c r="F458" s="49">
        <f>Educator!B463</f>
        <v>0</v>
      </c>
      <c r="G458" s="49" t="str">
        <f>Educator!A463 &amp;" " &amp;Educator!B463</f>
        <v xml:space="preserve"> </v>
      </c>
      <c r="J458" s="49">
        <f>Educator!C463</f>
        <v>0</v>
      </c>
      <c r="K458" s="49" t="b">
        <f t="shared" si="17"/>
        <v>0</v>
      </c>
    </row>
    <row r="459" spans="1:11" x14ac:dyDescent="0.2">
      <c r="A45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","#",3))+1,1)&amp;"-"&amp;LEFT(Educator!B464, 3)&amp;"-"&amp;LEFT(Educator!A464, 3)&amp;"-"&amp;"2027"</f>
        <v>UID-FLH---2027</v>
      </c>
      <c r="C459" s="49">
        <f>Educator!C464</f>
        <v>0</v>
      </c>
      <c r="D459" s="49" t="b">
        <f t="shared" si="16"/>
        <v>0</v>
      </c>
      <c r="E459" s="49">
        <f>Educator!A464</f>
        <v>0</v>
      </c>
      <c r="F459" s="49">
        <f>Educator!B464</f>
        <v>0</v>
      </c>
      <c r="G459" s="49" t="str">
        <f>Educator!A464 &amp;" " &amp;Educator!B464</f>
        <v xml:space="preserve"> </v>
      </c>
      <c r="J459" s="49">
        <f>Educator!C464</f>
        <v>0</v>
      </c>
      <c r="K459" s="49" t="b">
        <f t="shared" si="17"/>
        <v>0</v>
      </c>
    </row>
    <row r="460" spans="1:11" x14ac:dyDescent="0.2">
      <c r="A46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","#",3))+1,1)&amp;"-"&amp;LEFT(Educator!B465, 3)&amp;"-"&amp;LEFT(Educator!A465, 3)&amp;"-"&amp;"2027"</f>
        <v>UID-FLH---2027</v>
      </c>
      <c r="C460" s="49">
        <f>Educator!C465</f>
        <v>0</v>
      </c>
      <c r="D460" s="49" t="b">
        <f t="shared" si="16"/>
        <v>0</v>
      </c>
      <c r="E460" s="49">
        <f>Educator!A465</f>
        <v>0</v>
      </c>
      <c r="F460" s="49">
        <f>Educator!B465</f>
        <v>0</v>
      </c>
      <c r="G460" s="49" t="str">
        <f>Educator!A465 &amp;" " &amp;Educator!B465</f>
        <v xml:space="preserve"> </v>
      </c>
      <c r="J460" s="49">
        <f>Educator!C465</f>
        <v>0</v>
      </c>
      <c r="K460" s="49" t="b">
        <f t="shared" si="17"/>
        <v>0</v>
      </c>
    </row>
    <row r="461" spans="1:11" x14ac:dyDescent="0.2">
      <c r="A46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","#",3))+1,1)&amp;"-"&amp;LEFT(Educator!B466, 3)&amp;"-"&amp;LEFT(Educator!A466, 3)&amp;"-"&amp;"2027"</f>
        <v>UID-FLH---2027</v>
      </c>
      <c r="C461" s="49">
        <f>Educator!C466</f>
        <v>0</v>
      </c>
      <c r="D461" s="49" t="b">
        <f t="shared" si="16"/>
        <v>0</v>
      </c>
      <c r="E461" s="49">
        <f>Educator!A466</f>
        <v>0</v>
      </c>
      <c r="F461" s="49">
        <f>Educator!B466</f>
        <v>0</v>
      </c>
      <c r="G461" s="49" t="str">
        <f>Educator!A466 &amp;" " &amp;Educator!B466</f>
        <v xml:space="preserve"> </v>
      </c>
      <c r="J461" s="49">
        <f>Educator!C466</f>
        <v>0</v>
      </c>
      <c r="K461" s="49" t="b">
        <f t="shared" si="17"/>
        <v>0</v>
      </c>
    </row>
    <row r="462" spans="1:11" x14ac:dyDescent="0.2">
      <c r="A46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","#",3))+1,1)&amp;"-"&amp;LEFT(Educator!B467, 3)&amp;"-"&amp;LEFT(Educator!A467, 3)&amp;"-"&amp;"2027"</f>
        <v>UID-FLH---2027</v>
      </c>
      <c r="C462" s="49">
        <f>Educator!C467</f>
        <v>0</v>
      </c>
      <c r="D462" s="49" t="b">
        <f t="shared" si="16"/>
        <v>0</v>
      </c>
      <c r="E462" s="49">
        <f>Educator!A467</f>
        <v>0</v>
      </c>
      <c r="F462" s="49">
        <f>Educator!B467</f>
        <v>0</v>
      </c>
      <c r="G462" s="49" t="str">
        <f>Educator!A467 &amp;" " &amp;Educator!B467</f>
        <v xml:space="preserve"> </v>
      </c>
      <c r="J462" s="49">
        <f>Educator!C467</f>
        <v>0</v>
      </c>
      <c r="K462" s="49" t="b">
        <f t="shared" si="17"/>
        <v>0</v>
      </c>
    </row>
    <row r="463" spans="1:11" x14ac:dyDescent="0.2">
      <c r="A46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","#",3))+1,1)&amp;"-"&amp;LEFT(Educator!B468, 3)&amp;"-"&amp;LEFT(Educator!A468, 3)&amp;"-"&amp;"2027"</f>
        <v>UID-FLH---2027</v>
      </c>
      <c r="C463" s="49">
        <f>Educator!C468</f>
        <v>0</v>
      </c>
      <c r="D463" s="49" t="b">
        <f t="shared" si="16"/>
        <v>0</v>
      </c>
      <c r="E463" s="49">
        <f>Educator!A468</f>
        <v>0</v>
      </c>
      <c r="F463" s="49">
        <f>Educator!B468</f>
        <v>0</v>
      </c>
      <c r="G463" s="49" t="str">
        <f>Educator!A468 &amp;" " &amp;Educator!B468</f>
        <v xml:space="preserve"> </v>
      </c>
      <c r="J463" s="49">
        <f>Educator!C468</f>
        <v>0</v>
      </c>
      <c r="K463" s="49" t="b">
        <f t="shared" si="17"/>
        <v>0</v>
      </c>
    </row>
    <row r="464" spans="1:11" x14ac:dyDescent="0.2">
      <c r="A46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","#",3))+1,1)&amp;"-"&amp;LEFT(Educator!B469, 3)&amp;"-"&amp;LEFT(Educator!A469, 3)&amp;"-"&amp;"2027"</f>
        <v>UID-FLH---2027</v>
      </c>
      <c r="C464" s="49">
        <f>Educator!C469</f>
        <v>0</v>
      </c>
      <c r="D464" s="49" t="b">
        <f t="shared" si="16"/>
        <v>0</v>
      </c>
      <c r="E464" s="49">
        <f>Educator!A469</f>
        <v>0</v>
      </c>
      <c r="F464" s="49">
        <f>Educator!B469</f>
        <v>0</v>
      </c>
      <c r="G464" s="49" t="str">
        <f>Educator!A469 &amp;" " &amp;Educator!B469</f>
        <v xml:space="preserve"> </v>
      </c>
      <c r="J464" s="49">
        <f>Educator!C469</f>
        <v>0</v>
      </c>
      <c r="K464" s="49" t="b">
        <f t="shared" si="17"/>
        <v>0</v>
      </c>
    </row>
    <row r="465" spans="1:11" x14ac:dyDescent="0.2">
      <c r="A46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","#",3))+1,1)&amp;"-"&amp;LEFT(Educator!B470, 3)&amp;"-"&amp;LEFT(Educator!A470, 3)&amp;"-"&amp;"2027"</f>
        <v>UID-FLH---2027</v>
      </c>
      <c r="C465" s="49">
        <f>Educator!C470</f>
        <v>0</v>
      </c>
      <c r="D465" s="49" t="b">
        <f t="shared" si="16"/>
        <v>0</v>
      </c>
      <c r="E465" s="49">
        <f>Educator!A470</f>
        <v>0</v>
      </c>
      <c r="F465" s="49">
        <f>Educator!B470</f>
        <v>0</v>
      </c>
      <c r="G465" s="49" t="str">
        <f>Educator!A470 &amp;" " &amp;Educator!B470</f>
        <v xml:space="preserve"> </v>
      </c>
      <c r="J465" s="49">
        <f>Educator!C470</f>
        <v>0</v>
      </c>
      <c r="K465" s="49" t="b">
        <f t="shared" si="17"/>
        <v>0</v>
      </c>
    </row>
    <row r="466" spans="1:11" x14ac:dyDescent="0.2">
      <c r="A46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","#",3))+1,1)&amp;"-"&amp;LEFT(Educator!B471, 3)&amp;"-"&amp;LEFT(Educator!A471, 3)&amp;"-"&amp;"2027"</f>
        <v>UID-FLH---2027</v>
      </c>
      <c r="C466" s="49">
        <f>Educator!C471</f>
        <v>0</v>
      </c>
      <c r="D466" s="49" t="b">
        <f t="shared" ref="D466:D529" si="18">IF(C466&gt;0,"topscore123")</f>
        <v>0</v>
      </c>
      <c r="E466" s="49">
        <f>Educator!A471</f>
        <v>0</v>
      </c>
      <c r="F466" s="49">
        <f>Educator!B471</f>
        <v>0</v>
      </c>
      <c r="G466" s="49" t="str">
        <f>Educator!A471 &amp;" " &amp;Educator!B471</f>
        <v xml:space="preserve"> </v>
      </c>
      <c r="J466" s="49">
        <f>Educator!C471</f>
        <v>0</v>
      </c>
      <c r="K466" s="49" t="b">
        <f t="shared" ref="K466:K529" si="19">IF(C466&gt;0,"active")</f>
        <v>0</v>
      </c>
    </row>
    <row r="467" spans="1:11" x14ac:dyDescent="0.2">
      <c r="A46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","#",3))+1,1)&amp;"-"&amp;LEFT(Educator!B472, 3)&amp;"-"&amp;LEFT(Educator!A472, 3)&amp;"-"&amp;"2027"</f>
        <v>UID-FLH---2027</v>
      </c>
      <c r="C467" s="49">
        <f>Educator!C472</f>
        <v>0</v>
      </c>
      <c r="D467" s="49" t="b">
        <f t="shared" si="18"/>
        <v>0</v>
      </c>
      <c r="E467" s="49">
        <f>Educator!A472</f>
        <v>0</v>
      </c>
      <c r="F467" s="49">
        <f>Educator!B472</f>
        <v>0</v>
      </c>
      <c r="G467" s="49" t="str">
        <f>Educator!A472 &amp;" " &amp;Educator!B472</f>
        <v xml:space="preserve"> </v>
      </c>
      <c r="J467" s="49">
        <f>Educator!C472</f>
        <v>0</v>
      </c>
      <c r="K467" s="49" t="b">
        <f t="shared" si="19"/>
        <v>0</v>
      </c>
    </row>
    <row r="468" spans="1:11" x14ac:dyDescent="0.2">
      <c r="A46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","#",3))+1,1)&amp;"-"&amp;LEFT(Educator!B473, 3)&amp;"-"&amp;LEFT(Educator!A473, 3)&amp;"-"&amp;"2027"</f>
        <v>UID-FLH---2027</v>
      </c>
      <c r="C468" s="49">
        <f>Educator!C473</f>
        <v>0</v>
      </c>
      <c r="D468" s="49" t="b">
        <f t="shared" si="18"/>
        <v>0</v>
      </c>
      <c r="E468" s="49">
        <f>Educator!A473</f>
        <v>0</v>
      </c>
      <c r="F468" s="49">
        <f>Educator!B473</f>
        <v>0</v>
      </c>
      <c r="G468" s="49" t="str">
        <f>Educator!A473 &amp;" " &amp;Educator!B473</f>
        <v xml:space="preserve"> </v>
      </c>
      <c r="J468" s="49">
        <f>Educator!C473</f>
        <v>0</v>
      </c>
      <c r="K468" s="49" t="b">
        <f t="shared" si="19"/>
        <v>0</v>
      </c>
    </row>
    <row r="469" spans="1:11" x14ac:dyDescent="0.2">
      <c r="A46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","#",3))+1,1)&amp;"-"&amp;LEFT(Educator!B474, 3)&amp;"-"&amp;LEFT(Educator!A474, 3)&amp;"-"&amp;"2027"</f>
        <v>UID-FLH---2027</v>
      </c>
      <c r="C469" s="49">
        <f>Educator!C474</f>
        <v>0</v>
      </c>
      <c r="D469" s="49" t="b">
        <f t="shared" si="18"/>
        <v>0</v>
      </c>
      <c r="E469" s="49">
        <f>Educator!A474</f>
        <v>0</v>
      </c>
      <c r="F469" s="49">
        <f>Educator!B474</f>
        <v>0</v>
      </c>
      <c r="G469" s="49" t="str">
        <f>Educator!A474 &amp;" " &amp;Educator!B474</f>
        <v xml:space="preserve"> </v>
      </c>
      <c r="J469" s="49">
        <f>Educator!C474</f>
        <v>0</v>
      </c>
      <c r="K469" s="49" t="b">
        <f t="shared" si="19"/>
        <v>0</v>
      </c>
    </row>
    <row r="470" spans="1:11" x14ac:dyDescent="0.2">
      <c r="A47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","#",3))+1,1)&amp;"-"&amp;LEFT(Educator!B475, 3)&amp;"-"&amp;LEFT(Educator!A475, 3)&amp;"-"&amp;"2027"</f>
        <v>UID-FLH---2027</v>
      </c>
      <c r="C470" s="49">
        <f>Educator!C475</f>
        <v>0</v>
      </c>
      <c r="D470" s="49" t="b">
        <f t="shared" si="18"/>
        <v>0</v>
      </c>
      <c r="E470" s="49">
        <f>Educator!A475</f>
        <v>0</v>
      </c>
      <c r="F470" s="49">
        <f>Educator!B475</f>
        <v>0</v>
      </c>
      <c r="G470" s="49" t="str">
        <f>Educator!A475 &amp;" " &amp;Educator!B475</f>
        <v xml:space="preserve"> </v>
      </c>
      <c r="J470" s="49">
        <f>Educator!C475</f>
        <v>0</v>
      </c>
      <c r="K470" s="49" t="b">
        <f t="shared" si="19"/>
        <v>0</v>
      </c>
    </row>
    <row r="471" spans="1:11" x14ac:dyDescent="0.2">
      <c r="A47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","#",3))+1,1)&amp;"-"&amp;LEFT(Educator!B476, 3)&amp;"-"&amp;LEFT(Educator!A476, 3)&amp;"-"&amp;"2027"</f>
        <v>UID-FLH---2027</v>
      </c>
      <c r="C471" s="49">
        <f>Educator!C476</f>
        <v>0</v>
      </c>
      <c r="D471" s="49" t="b">
        <f t="shared" si="18"/>
        <v>0</v>
      </c>
      <c r="E471" s="49">
        <f>Educator!A476</f>
        <v>0</v>
      </c>
      <c r="F471" s="49">
        <f>Educator!B476</f>
        <v>0</v>
      </c>
      <c r="G471" s="49" t="str">
        <f>Educator!A476 &amp;" " &amp;Educator!B476</f>
        <v xml:space="preserve"> </v>
      </c>
      <c r="J471" s="49">
        <f>Educator!C476</f>
        <v>0</v>
      </c>
      <c r="K471" s="49" t="b">
        <f t="shared" si="19"/>
        <v>0</v>
      </c>
    </row>
    <row r="472" spans="1:11" x14ac:dyDescent="0.2">
      <c r="A47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","#",3))+1,1)&amp;"-"&amp;LEFT(Educator!B477, 3)&amp;"-"&amp;LEFT(Educator!A477, 3)&amp;"-"&amp;"2027"</f>
        <v>UID-FLH---2027</v>
      </c>
      <c r="C472" s="49">
        <f>Educator!C477</f>
        <v>0</v>
      </c>
      <c r="D472" s="49" t="b">
        <f t="shared" si="18"/>
        <v>0</v>
      </c>
      <c r="E472" s="49">
        <f>Educator!A477</f>
        <v>0</v>
      </c>
      <c r="F472" s="49">
        <f>Educator!B477</f>
        <v>0</v>
      </c>
      <c r="G472" s="49" t="str">
        <f>Educator!A477 &amp;" " &amp;Educator!B477</f>
        <v xml:space="preserve"> </v>
      </c>
      <c r="J472" s="49">
        <f>Educator!C477</f>
        <v>0</v>
      </c>
      <c r="K472" s="49" t="b">
        <f t="shared" si="19"/>
        <v>0</v>
      </c>
    </row>
    <row r="473" spans="1:11" x14ac:dyDescent="0.2">
      <c r="A47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","#",3))+1,1)&amp;"-"&amp;LEFT(Educator!B478, 3)&amp;"-"&amp;LEFT(Educator!A478, 3)&amp;"-"&amp;"2027"</f>
        <v>UID-FLH---2027</v>
      </c>
      <c r="C473" s="49">
        <f>Educator!C478</f>
        <v>0</v>
      </c>
      <c r="D473" s="49" t="b">
        <f t="shared" si="18"/>
        <v>0</v>
      </c>
      <c r="E473" s="49">
        <f>Educator!A478</f>
        <v>0</v>
      </c>
      <c r="F473" s="49">
        <f>Educator!B478</f>
        <v>0</v>
      </c>
      <c r="G473" s="49" t="str">
        <f>Educator!A478 &amp;" " &amp;Educator!B478</f>
        <v xml:space="preserve"> </v>
      </c>
      <c r="J473" s="49">
        <f>Educator!C478</f>
        <v>0</v>
      </c>
      <c r="K473" s="49" t="b">
        <f t="shared" si="19"/>
        <v>0</v>
      </c>
    </row>
    <row r="474" spans="1:11" x14ac:dyDescent="0.2">
      <c r="A47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","#",3))+1,1)&amp;"-"&amp;LEFT(Educator!B479, 3)&amp;"-"&amp;LEFT(Educator!A479, 3)&amp;"-"&amp;"2027"</f>
        <v>UID-FLH---2027</v>
      </c>
      <c r="C474" s="49">
        <f>Educator!C479</f>
        <v>0</v>
      </c>
      <c r="D474" s="49" t="b">
        <f t="shared" si="18"/>
        <v>0</v>
      </c>
      <c r="E474" s="49">
        <f>Educator!A479</f>
        <v>0</v>
      </c>
      <c r="F474" s="49">
        <f>Educator!B479</f>
        <v>0</v>
      </c>
      <c r="G474" s="49" t="str">
        <f>Educator!A479 &amp;" " &amp;Educator!B479</f>
        <v xml:space="preserve"> </v>
      </c>
      <c r="J474" s="49">
        <f>Educator!C479</f>
        <v>0</v>
      </c>
      <c r="K474" s="49" t="b">
        <f t="shared" si="19"/>
        <v>0</v>
      </c>
    </row>
    <row r="475" spans="1:11" x14ac:dyDescent="0.2">
      <c r="A47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","#",3))+1,1)&amp;"-"&amp;LEFT(Educator!B480, 3)&amp;"-"&amp;LEFT(Educator!A480, 3)&amp;"-"&amp;"2027"</f>
        <v>UID-FLH---2027</v>
      </c>
      <c r="C475" s="49">
        <f>Educator!C480</f>
        <v>0</v>
      </c>
      <c r="D475" s="49" t="b">
        <f t="shared" si="18"/>
        <v>0</v>
      </c>
      <c r="E475" s="49">
        <f>Educator!A480</f>
        <v>0</v>
      </c>
      <c r="F475" s="49">
        <f>Educator!B480</f>
        <v>0</v>
      </c>
      <c r="G475" s="49" t="str">
        <f>Educator!A480 &amp;" " &amp;Educator!B480</f>
        <v xml:space="preserve"> </v>
      </c>
      <c r="J475" s="49">
        <f>Educator!C480</f>
        <v>0</v>
      </c>
      <c r="K475" s="49" t="b">
        <f t="shared" si="19"/>
        <v>0</v>
      </c>
    </row>
    <row r="476" spans="1:11" x14ac:dyDescent="0.2">
      <c r="A47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","#",3))+1,1)&amp;"-"&amp;LEFT(Educator!B481, 3)&amp;"-"&amp;LEFT(Educator!A481, 3)&amp;"-"&amp;"2027"</f>
        <v>UID-FLH---2027</v>
      </c>
      <c r="C476" s="49">
        <f>Educator!C481</f>
        <v>0</v>
      </c>
      <c r="D476" s="49" t="b">
        <f t="shared" si="18"/>
        <v>0</v>
      </c>
      <c r="E476" s="49">
        <f>Educator!A481</f>
        <v>0</v>
      </c>
      <c r="F476" s="49">
        <f>Educator!B481</f>
        <v>0</v>
      </c>
      <c r="G476" s="49" t="str">
        <f>Educator!A481 &amp;" " &amp;Educator!B481</f>
        <v xml:space="preserve"> </v>
      </c>
      <c r="J476" s="49">
        <f>Educator!C481</f>
        <v>0</v>
      </c>
      <c r="K476" s="49" t="b">
        <f t="shared" si="19"/>
        <v>0</v>
      </c>
    </row>
    <row r="477" spans="1:11" x14ac:dyDescent="0.2">
      <c r="A47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","#",3))+1,1)&amp;"-"&amp;LEFT(Educator!B482, 3)&amp;"-"&amp;LEFT(Educator!A482, 3)&amp;"-"&amp;"2027"</f>
        <v>UID-FLH---2027</v>
      </c>
      <c r="C477" s="49">
        <f>Educator!C482</f>
        <v>0</v>
      </c>
      <c r="D477" s="49" t="b">
        <f t="shared" si="18"/>
        <v>0</v>
      </c>
      <c r="E477" s="49">
        <f>Educator!A482</f>
        <v>0</v>
      </c>
      <c r="F477" s="49">
        <f>Educator!B482</f>
        <v>0</v>
      </c>
      <c r="G477" s="49" t="str">
        <f>Educator!A482 &amp;" " &amp;Educator!B482</f>
        <v xml:space="preserve"> </v>
      </c>
      <c r="J477" s="49">
        <f>Educator!C482</f>
        <v>0</v>
      </c>
      <c r="K477" s="49" t="b">
        <f t="shared" si="19"/>
        <v>0</v>
      </c>
    </row>
    <row r="478" spans="1:11" x14ac:dyDescent="0.2">
      <c r="A47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","#",3))+1,1)&amp;"-"&amp;LEFT(Educator!B483, 3)&amp;"-"&amp;LEFT(Educator!A483, 3)&amp;"-"&amp;"2027"</f>
        <v>UID-FLH---2027</v>
      </c>
      <c r="C478" s="49">
        <f>Educator!C483</f>
        <v>0</v>
      </c>
      <c r="D478" s="49" t="b">
        <f t="shared" si="18"/>
        <v>0</v>
      </c>
      <c r="E478" s="49">
        <f>Educator!A483</f>
        <v>0</v>
      </c>
      <c r="F478" s="49">
        <f>Educator!B483</f>
        <v>0</v>
      </c>
      <c r="G478" s="49" t="str">
        <f>Educator!A483 &amp;" " &amp;Educator!B483</f>
        <v xml:space="preserve"> </v>
      </c>
      <c r="J478" s="49">
        <f>Educator!C483</f>
        <v>0</v>
      </c>
      <c r="K478" s="49" t="b">
        <f t="shared" si="19"/>
        <v>0</v>
      </c>
    </row>
    <row r="479" spans="1:11" x14ac:dyDescent="0.2">
      <c r="A47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","#",3))+1,1)&amp;"-"&amp;LEFT(Educator!B484, 3)&amp;"-"&amp;LEFT(Educator!A484, 3)&amp;"-"&amp;"2027"</f>
        <v>UID-FLH---2027</v>
      </c>
      <c r="C479" s="49">
        <f>Educator!C484</f>
        <v>0</v>
      </c>
      <c r="D479" s="49" t="b">
        <f t="shared" si="18"/>
        <v>0</v>
      </c>
      <c r="E479" s="49">
        <f>Educator!A484</f>
        <v>0</v>
      </c>
      <c r="F479" s="49">
        <f>Educator!B484</f>
        <v>0</v>
      </c>
      <c r="G479" s="49" t="str">
        <f>Educator!A484 &amp;" " &amp;Educator!B484</f>
        <v xml:space="preserve"> </v>
      </c>
      <c r="J479" s="49">
        <f>Educator!C484</f>
        <v>0</v>
      </c>
      <c r="K479" s="49" t="b">
        <f t="shared" si="19"/>
        <v>0</v>
      </c>
    </row>
    <row r="480" spans="1:11" x14ac:dyDescent="0.2">
      <c r="A48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","#",3))+1,1)&amp;"-"&amp;LEFT(Educator!B485, 3)&amp;"-"&amp;LEFT(Educator!A485, 3)&amp;"-"&amp;"2027"</f>
        <v>UID-FLH---2027</v>
      </c>
      <c r="C480" s="49">
        <f>Educator!C485</f>
        <v>0</v>
      </c>
      <c r="D480" s="49" t="b">
        <f t="shared" si="18"/>
        <v>0</v>
      </c>
      <c r="E480" s="49">
        <f>Educator!A485</f>
        <v>0</v>
      </c>
      <c r="F480" s="49">
        <f>Educator!B485</f>
        <v>0</v>
      </c>
      <c r="G480" s="49" t="str">
        <f>Educator!A485 &amp;" " &amp;Educator!B485</f>
        <v xml:space="preserve"> </v>
      </c>
      <c r="J480" s="49">
        <f>Educator!C485</f>
        <v>0</v>
      </c>
      <c r="K480" s="49" t="b">
        <f t="shared" si="19"/>
        <v>0</v>
      </c>
    </row>
    <row r="481" spans="1:11" x14ac:dyDescent="0.2">
      <c r="A48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","#",3))+1,1)&amp;"-"&amp;LEFT(Educator!B486, 3)&amp;"-"&amp;LEFT(Educator!A486, 3)&amp;"-"&amp;"2027"</f>
        <v>UID-FLH---2027</v>
      </c>
      <c r="C481" s="49">
        <f>Educator!C486</f>
        <v>0</v>
      </c>
      <c r="D481" s="49" t="b">
        <f t="shared" si="18"/>
        <v>0</v>
      </c>
      <c r="E481" s="49">
        <f>Educator!A486</f>
        <v>0</v>
      </c>
      <c r="F481" s="49">
        <f>Educator!B486</f>
        <v>0</v>
      </c>
      <c r="G481" s="49" t="str">
        <f>Educator!A486 &amp;" " &amp;Educator!B486</f>
        <v xml:space="preserve"> </v>
      </c>
      <c r="J481" s="49">
        <f>Educator!C486</f>
        <v>0</v>
      </c>
      <c r="K481" s="49" t="b">
        <f t="shared" si="19"/>
        <v>0</v>
      </c>
    </row>
    <row r="482" spans="1:11" x14ac:dyDescent="0.2">
      <c r="A48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","#",3))+1,1)&amp;"-"&amp;LEFT(Educator!B487, 3)&amp;"-"&amp;LEFT(Educator!A487, 3)&amp;"-"&amp;"2027"</f>
        <v>UID-FLH---2027</v>
      </c>
      <c r="C482" s="49">
        <f>Educator!C487</f>
        <v>0</v>
      </c>
      <c r="D482" s="49" t="b">
        <f t="shared" si="18"/>
        <v>0</v>
      </c>
      <c r="E482" s="49">
        <f>Educator!A487</f>
        <v>0</v>
      </c>
      <c r="F482" s="49">
        <f>Educator!B487</f>
        <v>0</v>
      </c>
      <c r="G482" s="49" t="str">
        <f>Educator!A487 &amp;" " &amp;Educator!B487</f>
        <v xml:space="preserve"> </v>
      </c>
      <c r="J482" s="49">
        <f>Educator!C487</f>
        <v>0</v>
      </c>
      <c r="K482" s="49" t="b">
        <f t="shared" si="19"/>
        <v>0</v>
      </c>
    </row>
    <row r="483" spans="1:11" x14ac:dyDescent="0.2">
      <c r="A48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","#",3))+1,1)&amp;"-"&amp;LEFT(Educator!B488, 3)&amp;"-"&amp;LEFT(Educator!A488, 3)&amp;"-"&amp;"2027"</f>
        <v>UID-FLH---2027</v>
      </c>
      <c r="C483" s="49">
        <f>Educator!C488</f>
        <v>0</v>
      </c>
      <c r="D483" s="49" t="b">
        <f t="shared" si="18"/>
        <v>0</v>
      </c>
      <c r="E483" s="49">
        <f>Educator!A488</f>
        <v>0</v>
      </c>
      <c r="F483" s="49">
        <f>Educator!B488</f>
        <v>0</v>
      </c>
      <c r="G483" s="49" t="str">
        <f>Educator!A488 &amp;" " &amp;Educator!B488</f>
        <v xml:space="preserve"> </v>
      </c>
      <c r="J483" s="49">
        <f>Educator!C488</f>
        <v>0</v>
      </c>
      <c r="K483" s="49" t="b">
        <f t="shared" si="19"/>
        <v>0</v>
      </c>
    </row>
    <row r="484" spans="1:11" x14ac:dyDescent="0.2">
      <c r="A48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","#",3))+1,1)&amp;"-"&amp;LEFT(Educator!B489, 3)&amp;"-"&amp;LEFT(Educator!A489, 3)&amp;"-"&amp;"2027"</f>
        <v>UID-FLH---2027</v>
      </c>
      <c r="C484" s="49">
        <f>Educator!C489</f>
        <v>0</v>
      </c>
      <c r="D484" s="49" t="b">
        <f t="shared" si="18"/>
        <v>0</v>
      </c>
      <c r="E484" s="49">
        <f>Educator!A489</f>
        <v>0</v>
      </c>
      <c r="F484" s="49">
        <f>Educator!B489</f>
        <v>0</v>
      </c>
      <c r="G484" s="49" t="str">
        <f>Educator!A489 &amp;" " &amp;Educator!B489</f>
        <v xml:space="preserve"> </v>
      </c>
      <c r="J484" s="49">
        <f>Educator!C489</f>
        <v>0</v>
      </c>
      <c r="K484" s="49" t="b">
        <f t="shared" si="19"/>
        <v>0</v>
      </c>
    </row>
    <row r="485" spans="1:11" x14ac:dyDescent="0.2">
      <c r="A48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","#",3))+1,1)&amp;"-"&amp;LEFT(Educator!B490, 3)&amp;"-"&amp;LEFT(Educator!A490, 3)&amp;"-"&amp;"2027"</f>
        <v>UID-FLH---2027</v>
      </c>
      <c r="C485" s="49">
        <f>Educator!C490</f>
        <v>0</v>
      </c>
      <c r="D485" s="49" t="b">
        <f t="shared" si="18"/>
        <v>0</v>
      </c>
      <c r="E485" s="49">
        <f>Educator!A490</f>
        <v>0</v>
      </c>
      <c r="F485" s="49">
        <f>Educator!B490</f>
        <v>0</v>
      </c>
      <c r="G485" s="49" t="str">
        <f>Educator!A490 &amp;" " &amp;Educator!B490</f>
        <v xml:space="preserve"> </v>
      </c>
      <c r="J485" s="49">
        <f>Educator!C490</f>
        <v>0</v>
      </c>
      <c r="K485" s="49" t="b">
        <f t="shared" si="19"/>
        <v>0</v>
      </c>
    </row>
    <row r="486" spans="1:11" x14ac:dyDescent="0.2">
      <c r="A48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","#",3))+1,1)&amp;"-"&amp;LEFT(Educator!B491, 3)&amp;"-"&amp;LEFT(Educator!A491, 3)&amp;"-"&amp;"2027"</f>
        <v>UID-FLH---2027</v>
      </c>
      <c r="C486" s="49">
        <f>Educator!C491</f>
        <v>0</v>
      </c>
      <c r="D486" s="49" t="b">
        <f t="shared" si="18"/>
        <v>0</v>
      </c>
      <c r="E486" s="49">
        <f>Educator!A491</f>
        <v>0</v>
      </c>
      <c r="F486" s="49">
        <f>Educator!B491</f>
        <v>0</v>
      </c>
      <c r="G486" s="49" t="str">
        <f>Educator!A491 &amp;" " &amp;Educator!B491</f>
        <v xml:space="preserve"> </v>
      </c>
      <c r="J486" s="49">
        <f>Educator!C491</f>
        <v>0</v>
      </c>
      <c r="K486" s="49" t="b">
        <f t="shared" si="19"/>
        <v>0</v>
      </c>
    </row>
    <row r="487" spans="1:11" x14ac:dyDescent="0.2">
      <c r="A48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","#",3))+1,1)&amp;"-"&amp;LEFT(Educator!B492, 3)&amp;"-"&amp;LEFT(Educator!A492, 3)&amp;"-"&amp;"2027"</f>
        <v>UID-FLH---2027</v>
      </c>
      <c r="C487" s="49">
        <f>Educator!C492</f>
        <v>0</v>
      </c>
      <c r="D487" s="49" t="b">
        <f t="shared" si="18"/>
        <v>0</v>
      </c>
      <c r="E487" s="49">
        <f>Educator!A492</f>
        <v>0</v>
      </c>
      <c r="F487" s="49">
        <f>Educator!B492</f>
        <v>0</v>
      </c>
      <c r="G487" s="49" t="str">
        <f>Educator!A492 &amp;" " &amp;Educator!B492</f>
        <v xml:space="preserve"> </v>
      </c>
      <c r="J487" s="49">
        <f>Educator!C492</f>
        <v>0</v>
      </c>
      <c r="K487" s="49" t="b">
        <f t="shared" si="19"/>
        <v>0</v>
      </c>
    </row>
    <row r="488" spans="1:11" x14ac:dyDescent="0.2">
      <c r="A48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","#",3))+1,1)&amp;"-"&amp;LEFT(Educator!B493, 3)&amp;"-"&amp;LEFT(Educator!A493, 3)&amp;"-"&amp;"2027"</f>
        <v>UID-FLH---2027</v>
      </c>
      <c r="C488" s="49">
        <f>Educator!C493</f>
        <v>0</v>
      </c>
      <c r="D488" s="49" t="b">
        <f t="shared" si="18"/>
        <v>0</v>
      </c>
      <c r="E488" s="49">
        <f>Educator!A493</f>
        <v>0</v>
      </c>
      <c r="F488" s="49">
        <f>Educator!B493</f>
        <v>0</v>
      </c>
      <c r="G488" s="49" t="str">
        <f>Educator!A493 &amp;" " &amp;Educator!B493</f>
        <v xml:space="preserve"> </v>
      </c>
      <c r="J488" s="49">
        <f>Educator!C493</f>
        <v>0</v>
      </c>
      <c r="K488" s="49" t="b">
        <f t="shared" si="19"/>
        <v>0</v>
      </c>
    </row>
    <row r="489" spans="1:11" x14ac:dyDescent="0.2">
      <c r="A48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","#",3))+1,1)&amp;"-"&amp;LEFT(Educator!B494, 3)&amp;"-"&amp;LEFT(Educator!A494, 3)&amp;"-"&amp;"2027"</f>
        <v>UID-FLH---2027</v>
      </c>
      <c r="C489" s="49">
        <f>Educator!C494</f>
        <v>0</v>
      </c>
      <c r="D489" s="49" t="b">
        <f t="shared" si="18"/>
        <v>0</v>
      </c>
      <c r="E489" s="49">
        <f>Educator!A494</f>
        <v>0</v>
      </c>
      <c r="F489" s="49">
        <f>Educator!B494</f>
        <v>0</v>
      </c>
      <c r="G489" s="49" t="str">
        <f>Educator!A494 &amp;" " &amp;Educator!B494</f>
        <v xml:space="preserve"> </v>
      </c>
      <c r="J489" s="49">
        <f>Educator!C494</f>
        <v>0</v>
      </c>
      <c r="K489" s="49" t="b">
        <f t="shared" si="19"/>
        <v>0</v>
      </c>
    </row>
    <row r="490" spans="1:11" x14ac:dyDescent="0.2">
      <c r="A49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","#",3))+1,1)&amp;"-"&amp;LEFT(Educator!B495, 3)&amp;"-"&amp;LEFT(Educator!A495, 3)&amp;"-"&amp;"2027"</f>
        <v>UID-FLH---2027</v>
      </c>
      <c r="C490" s="49">
        <f>Educator!C495</f>
        <v>0</v>
      </c>
      <c r="D490" s="49" t="b">
        <f t="shared" si="18"/>
        <v>0</v>
      </c>
      <c r="E490" s="49">
        <f>Educator!A495</f>
        <v>0</v>
      </c>
      <c r="F490" s="49">
        <f>Educator!B495</f>
        <v>0</v>
      </c>
      <c r="G490" s="49" t="str">
        <f>Educator!A495 &amp;" " &amp;Educator!B495</f>
        <v xml:space="preserve"> </v>
      </c>
      <c r="J490" s="49">
        <f>Educator!C495</f>
        <v>0</v>
      </c>
      <c r="K490" s="49" t="b">
        <f t="shared" si="19"/>
        <v>0</v>
      </c>
    </row>
    <row r="491" spans="1:11" x14ac:dyDescent="0.2">
      <c r="A49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","#",3))+1,1)&amp;"-"&amp;LEFT(Educator!B496, 3)&amp;"-"&amp;LEFT(Educator!A496, 3)&amp;"-"&amp;"2027"</f>
        <v>UID-FLH---2027</v>
      </c>
      <c r="C491" s="49">
        <f>Educator!C496</f>
        <v>0</v>
      </c>
      <c r="D491" s="49" t="b">
        <f t="shared" si="18"/>
        <v>0</v>
      </c>
      <c r="E491" s="49">
        <f>Educator!A496</f>
        <v>0</v>
      </c>
      <c r="F491" s="49">
        <f>Educator!B496</f>
        <v>0</v>
      </c>
      <c r="G491" s="49" t="str">
        <f>Educator!A496 &amp;" " &amp;Educator!B496</f>
        <v xml:space="preserve"> </v>
      </c>
      <c r="J491" s="49">
        <f>Educator!C496</f>
        <v>0</v>
      </c>
      <c r="K491" s="49" t="b">
        <f t="shared" si="19"/>
        <v>0</v>
      </c>
    </row>
    <row r="492" spans="1:11" x14ac:dyDescent="0.2">
      <c r="A49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","#",3))+1,1)&amp;"-"&amp;LEFT(Educator!B497, 3)&amp;"-"&amp;LEFT(Educator!A497, 3)&amp;"-"&amp;"2027"</f>
        <v>UID-FLH---2027</v>
      </c>
      <c r="C492" s="49">
        <f>Educator!C497</f>
        <v>0</v>
      </c>
      <c r="D492" s="49" t="b">
        <f t="shared" si="18"/>
        <v>0</v>
      </c>
      <c r="E492" s="49">
        <f>Educator!A497</f>
        <v>0</v>
      </c>
      <c r="F492" s="49">
        <f>Educator!B497</f>
        <v>0</v>
      </c>
      <c r="G492" s="49" t="str">
        <f>Educator!A497 &amp;" " &amp;Educator!B497</f>
        <v xml:space="preserve"> </v>
      </c>
      <c r="J492" s="49">
        <f>Educator!C497</f>
        <v>0</v>
      </c>
      <c r="K492" s="49" t="b">
        <f t="shared" si="19"/>
        <v>0</v>
      </c>
    </row>
    <row r="493" spans="1:11" x14ac:dyDescent="0.2">
      <c r="A49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","#",3))+1,1)&amp;"-"&amp;LEFT(Educator!B498, 3)&amp;"-"&amp;LEFT(Educator!A498, 3)&amp;"-"&amp;"2027"</f>
        <v>UID-FLH---2027</v>
      </c>
      <c r="C493" s="49">
        <f>Educator!C498</f>
        <v>0</v>
      </c>
      <c r="D493" s="49" t="b">
        <f t="shared" si="18"/>
        <v>0</v>
      </c>
      <c r="E493" s="49">
        <f>Educator!A498</f>
        <v>0</v>
      </c>
      <c r="F493" s="49">
        <f>Educator!B498</f>
        <v>0</v>
      </c>
      <c r="G493" s="49" t="str">
        <f>Educator!A498 &amp;" " &amp;Educator!B498</f>
        <v xml:space="preserve"> </v>
      </c>
      <c r="J493" s="49">
        <f>Educator!C498</f>
        <v>0</v>
      </c>
      <c r="K493" s="49" t="b">
        <f t="shared" si="19"/>
        <v>0</v>
      </c>
    </row>
    <row r="494" spans="1:11" x14ac:dyDescent="0.2">
      <c r="A49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","#",3))+1,1)&amp;"-"&amp;LEFT(Educator!B499, 3)&amp;"-"&amp;LEFT(Educator!A499, 3)&amp;"-"&amp;"2027"</f>
        <v>UID-FLH---2027</v>
      </c>
      <c r="C494" s="49">
        <f>Educator!C499</f>
        <v>0</v>
      </c>
      <c r="D494" s="49" t="b">
        <f t="shared" si="18"/>
        <v>0</v>
      </c>
      <c r="E494" s="49">
        <f>Educator!A499</f>
        <v>0</v>
      </c>
      <c r="F494" s="49">
        <f>Educator!B499</f>
        <v>0</v>
      </c>
      <c r="G494" s="49" t="str">
        <f>Educator!A499 &amp;" " &amp;Educator!B499</f>
        <v xml:space="preserve"> </v>
      </c>
      <c r="J494" s="49">
        <f>Educator!C499</f>
        <v>0</v>
      </c>
      <c r="K494" s="49" t="b">
        <f t="shared" si="19"/>
        <v>0</v>
      </c>
    </row>
    <row r="495" spans="1:11" x14ac:dyDescent="0.2">
      <c r="A49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","#",3))+1,1)&amp;"-"&amp;LEFT(Educator!B500, 3)&amp;"-"&amp;LEFT(Educator!A500, 3)&amp;"-"&amp;"2027"</f>
        <v>UID-FLH---2027</v>
      </c>
      <c r="C495" s="49">
        <f>Educator!C500</f>
        <v>0</v>
      </c>
      <c r="D495" s="49" t="b">
        <f t="shared" si="18"/>
        <v>0</v>
      </c>
      <c r="E495" s="49">
        <f>Educator!A500</f>
        <v>0</v>
      </c>
      <c r="F495" s="49">
        <f>Educator!B500</f>
        <v>0</v>
      </c>
      <c r="G495" s="49" t="str">
        <f>Educator!A500 &amp;" " &amp;Educator!B500</f>
        <v xml:space="preserve"> </v>
      </c>
      <c r="J495" s="49">
        <f>Educator!C500</f>
        <v>0</v>
      </c>
      <c r="K495" s="49" t="b">
        <f t="shared" si="19"/>
        <v>0</v>
      </c>
    </row>
    <row r="496" spans="1:11" x14ac:dyDescent="0.2">
      <c r="A49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","#",3))+1,1)&amp;"-"&amp;LEFT(Educator!B501, 3)&amp;"-"&amp;LEFT(Educator!A501, 3)&amp;"-"&amp;"2027"</f>
        <v>UID-FLH---2027</v>
      </c>
      <c r="C496" s="49">
        <f>Educator!C501</f>
        <v>0</v>
      </c>
      <c r="D496" s="49" t="b">
        <f t="shared" si="18"/>
        <v>0</v>
      </c>
      <c r="E496" s="49">
        <f>Educator!A501</f>
        <v>0</v>
      </c>
      <c r="F496" s="49">
        <f>Educator!B501</f>
        <v>0</v>
      </c>
      <c r="G496" s="49" t="str">
        <f>Educator!A501 &amp;" " &amp;Educator!B501</f>
        <v xml:space="preserve"> </v>
      </c>
      <c r="J496" s="49">
        <f>Educator!C501</f>
        <v>0</v>
      </c>
      <c r="K496" s="49" t="b">
        <f t="shared" si="19"/>
        <v>0</v>
      </c>
    </row>
    <row r="497" spans="1:11" x14ac:dyDescent="0.2">
      <c r="A49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","#",3))+1,1)&amp;"-"&amp;LEFT(Educator!B502, 3)&amp;"-"&amp;LEFT(Educator!A502, 3)&amp;"-"&amp;"2027"</f>
        <v>UID-FLH---2027</v>
      </c>
      <c r="C497" s="49">
        <f>Educator!C502</f>
        <v>0</v>
      </c>
      <c r="D497" s="49" t="b">
        <f t="shared" si="18"/>
        <v>0</v>
      </c>
      <c r="E497" s="49">
        <f>Educator!A502</f>
        <v>0</v>
      </c>
      <c r="F497" s="49">
        <f>Educator!B502</f>
        <v>0</v>
      </c>
      <c r="G497" s="49" t="str">
        <f>Educator!A502 &amp;" " &amp;Educator!B502</f>
        <v xml:space="preserve"> </v>
      </c>
      <c r="J497" s="49">
        <f>Educator!C502</f>
        <v>0</v>
      </c>
      <c r="K497" s="49" t="b">
        <f t="shared" si="19"/>
        <v>0</v>
      </c>
    </row>
    <row r="498" spans="1:11" x14ac:dyDescent="0.2">
      <c r="A49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","#",3))+1,1)&amp;"-"&amp;LEFT(Educator!B503, 3)&amp;"-"&amp;LEFT(Educator!A503, 3)&amp;"-"&amp;"2027"</f>
        <v>UID-FLH---2027</v>
      </c>
      <c r="C498" s="49">
        <f>Educator!C503</f>
        <v>0</v>
      </c>
      <c r="D498" s="49" t="b">
        <f t="shared" si="18"/>
        <v>0</v>
      </c>
      <c r="E498" s="49">
        <f>Educator!A503</f>
        <v>0</v>
      </c>
      <c r="F498" s="49">
        <f>Educator!B503</f>
        <v>0</v>
      </c>
      <c r="G498" s="49" t="str">
        <f>Educator!A503 &amp;" " &amp;Educator!B503</f>
        <v xml:space="preserve"> </v>
      </c>
      <c r="J498" s="49">
        <f>Educator!C503</f>
        <v>0</v>
      </c>
      <c r="K498" s="49" t="b">
        <f t="shared" si="19"/>
        <v>0</v>
      </c>
    </row>
    <row r="499" spans="1:11" x14ac:dyDescent="0.2">
      <c r="A49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","#",3))+1,1)&amp;"-"&amp;LEFT(Educator!B504, 3)&amp;"-"&amp;LEFT(Educator!A504, 3)&amp;"-"&amp;"2027"</f>
        <v>UID-FLH---2027</v>
      </c>
      <c r="C499" s="49">
        <f>Educator!C504</f>
        <v>0</v>
      </c>
      <c r="D499" s="49" t="b">
        <f t="shared" si="18"/>
        <v>0</v>
      </c>
      <c r="E499" s="49">
        <f>Educator!A504</f>
        <v>0</v>
      </c>
      <c r="F499" s="49">
        <f>Educator!B504</f>
        <v>0</v>
      </c>
      <c r="G499" s="49" t="str">
        <f>Educator!A504 &amp;" " &amp;Educator!B504</f>
        <v xml:space="preserve"> </v>
      </c>
      <c r="J499" s="49">
        <f>Educator!C504</f>
        <v>0</v>
      </c>
      <c r="K499" s="49" t="b">
        <f t="shared" si="19"/>
        <v>0</v>
      </c>
    </row>
    <row r="500" spans="1:11" x14ac:dyDescent="0.2">
      <c r="A50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","#",3))+1,1)&amp;"-"&amp;LEFT(Educator!B505, 3)&amp;"-"&amp;LEFT(Educator!A505, 3)&amp;"-"&amp;"2027"</f>
        <v>UID-FLH---2027</v>
      </c>
      <c r="C500" s="49">
        <f>Educator!C505</f>
        <v>0</v>
      </c>
      <c r="D500" s="49" t="b">
        <f t="shared" si="18"/>
        <v>0</v>
      </c>
      <c r="E500" s="49">
        <f>Educator!A505</f>
        <v>0</v>
      </c>
      <c r="F500" s="49">
        <f>Educator!B505</f>
        <v>0</v>
      </c>
      <c r="G500" s="49" t="str">
        <f>Educator!A505 &amp;" " &amp;Educator!B505</f>
        <v xml:space="preserve"> </v>
      </c>
      <c r="J500" s="49">
        <f>Educator!C505</f>
        <v>0</v>
      </c>
      <c r="K500" s="49" t="b">
        <f t="shared" si="19"/>
        <v>0</v>
      </c>
    </row>
    <row r="501" spans="1:11" x14ac:dyDescent="0.2">
      <c r="A50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","#",3))+1,1)&amp;"-"&amp;LEFT(Educator!B506, 3)&amp;"-"&amp;LEFT(Educator!A506, 3)&amp;"-"&amp;"2027"</f>
        <v>UID-FLH---2027</v>
      </c>
      <c r="C501" s="49">
        <f>Educator!C506</f>
        <v>0</v>
      </c>
      <c r="D501" s="49" t="b">
        <f t="shared" si="18"/>
        <v>0</v>
      </c>
      <c r="E501" s="49">
        <f>Educator!A506</f>
        <v>0</v>
      </c>
      <c r="F501" s="49">
        <f>Educator!B506</f>
        <v>0</v>
      </c>
      <c r="G501" s="49" t="str">
        <f>Educator!A506 &amp;" " &amp;Educator!B506</f>
        <v xml:space="preserve"> </v>
      </c>
      <c r="J501" s="49">
        <f>Educator!C506</f>
        <v>0</v>
      </c>
      <c r="K501" s="49" t="b">
        <f t="shared" si="19"/>
        <v>0</v>
      </c>
    </row>
    <row r="502" spans="1:11" x14ac:dyDescent="0.2">
      <c r="A50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","#",3))+1,1)&amp;"-"&amp;LEFT(Educator!B507, 3)&amp;"-"&amp;LEFT(Educator!A507, 3)&amp;"-"&amp;"2027"</f>
        <v>UID-FLH---2027</v>
      </c>
      <c r="C502" s="49">
        <f>Educator!C507</f>
        <v>0</v>
      </c>
      <c r="D502" s="49" t="b">
        <f t="shared" si="18"/>
        <v>0</v>
      </c>
      <c r="E502" s="49">
        <f>Educator!A507</f>
        <v>0</v>
      </c>
      <c r="F502" s="49">
        <f>Educator!B507</f>
        <v>0</v>
      </c>
      <c r="G502" s="49" t="str">
        <f>Educator!A507 &amp;" " &amp;Educator!B507</f>
        <v xml:space="preserve"> </v>
      </c>
      <c r="J502" s="49">
        <f>Educator!C507</f>
        <v>0</v>
      </c>
      <c r="K502" s="49" t="b">
        <f t="shared" si="19"/>
        <v>0</v>
      </c>
    </row>
    <row r="503" spans="1:11" x14ac:dyDescent="0.2">
      <c r="A50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","#",3))+1,1)&amp;"-"&amp;LEFT(Educator!B508, 3)&amp;"-"&amp;LEFT(Educator!A508, 3)&amp;"-"&amp;"2027"</f>
        <v>UID-FLH---2027</v>
      </c>
      <c r="C503" s="49">
        <f>Educator!C508</f>
        <v>0</v>
      </c>
      <c r="D503" s="49" t="b">
        <f t="shared" si="18"/>
        <v>0</v>
      </c>
      <c r="E503" s="49">
        <f>Educator!A508</f>
        <v>0</v>
      </c>
      <c r="F503" s="49">
        <f>Educator!B508</f>
        <v>0</v>
      </c>
      <c r="G503" s="49" t="str">
        <f>Educator!A508 &amp;" " &amp;Educator!B508</f>
        <v xml:space="preserve"> </v>
      </c>
      <c r="J503" s="49">
        <f>Educator!C508</f>
        <v>0</v>
      </c>
      <c r="K503" s="49" t="b">
        <f t="shared" si="19"/>
        <v>0</v>
      </c>
    </row>
    <row r="504" spans="1:11" x14ac:dyDescent="0.2">
      <c r="A50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","#",3))+1,1)&amp;"-"&amp;LEFT(Educator!B509, 3)&amp;"-"&amp;LEFT(Educator!A509, 3)&amp;"-"&amp;"2027"</f>
        <v>UID-FLH---2027</v>
      </c>
      <c r="C504" s="49">
        <f>Educator!C509</f>
        <v>0</v>
      </c>
      <c r="D504" s="49" t="b">
        <f t="shared" si="18"/>
        <v>0</v>
      </c>
      <c r="E504" s="49">
        <f>Educator!A509</f>
        <v>0</v>
      </c>
      <c r="F504" s="49">
        <f>Educator!B509</f>
        <v>0</v>
      </c>
      <c r="G504" s="49" t="str">
        <f>Educator!A509 &amp;" " &amp;Educator!B509</f>
        <v xml:space="preserve"> </v>
      </c>
      <c r="J504" s="49">
        <f>Educator!C509</f>
        <v>0</v>
      </c>
      <c r="K504" s="49" t="b">
        <f t="shared" si="19"/>
        <v>0</v>
      </c>
    </row>
    <row r="505" spans="1:11" x14ac:dyDescent="0.2">
      <c r="A50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","#",3))+1,1)&amp;"-"&amp;LEFT(Educator!B510, 3)&amp;"-"&amp;LEFT(Educator!A510, 3)&amp;"-"&amp;"2027"</f>
        <v>UID-FLH---2027</v>
      </c>
      <c r="C505" s="49">
        <f>Educator!C510</f>
        <v>0</v>
      </c>
      <c r="D505" s="49" t="b">
        <f t="shared" si="18"/>
        <v>0</v>
      </c>
      <c r="E505" s="49">
        <f>Educator!A510</f>
        <v>0</v>
      </c>
      <c r="F505" s="49">
        <f>Educator!B510</f>
        <v>0</v>
      </c>
      <c r="G505" s="49" t="str">
        <f>Educator!A510 &amp;" " &amp;Educator!B510</f>
        <v xml:space="preserve"> </v>
      </c>
      <c r="J505" s="49">
        <f>Educator!C510</f>
        <v>0</v>
      </c>
      <c r="K505" s="49" t="b">
        <f t="shared" si="19"/>
        <v>0</v>
      </c>
    </row>
    <row r="506" spans="1:11" x14ac:dyDescent="0.2">
      <c r="A50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","#",3))+1,1)&amp;"-"&amp;LEFT(Educator!B511, 3)&amp;"-"&amp;LEFT(Educator!A511, 3)&amp;"-"&amp;"2027"</f>
        <v>UID-FLH---2027</v>
      </c>
      <c r="C506" s="49">
        <f>Educator!C511</f>
        <v>0</v>
      </c>
      <c r="D506" s="49" t="b">
        <f t="shared" si="18"/>
        <v>0</v>
      </c>
      <c r="E506" s="49">
        <f>Educator!A511</f>
        <v>0</v>
      </c>
      <c r="F506" s="49">
        <f>Educator!B511</f>
        <v>0</v>
      </c>
      <c r="G506" s="49" t="str">
        <f>Educator!A511 &amp;" " &amp;Educator!B511</f>
        <v xml:space="preserve"> </v>
      </c>
      <c r="J506" s="49">
        <f>Educator!C511</f>
        <v>0</v>
      </c>
      <c r="K506" s="49" t="b">
        <f t="shared" si="19"/>
        <v>0</v>
      </c>
    </row>
    <row r="507" spans="1:11" x14ac:dyDescent="0.2">
      <c r="A50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","#",3))+1,1)&amp;"-"&amp;LEFT(Educator!B512, 3)&amp;"-"&amp;LEFT(Educator!A512, 3)&amp;"-"&amp;"2027"</f>
        <v>UID-FLH---2027</v>
      </c>
      <c r="C507" s="49">
        <f>Educator!C512</f>
        <v>0</v>
      </c>
      <c r="D507" s="49" t="b">
        <f t="shared" si="18"/>
        <v>0</v>
      </c>
      <c r="E507" s="49">
        <f>Educator!A512</f>
        <v>0</v>
      </c>
      <c r="F507" s="49">
        <f>Educator!B512</f>
        <v>0</v>
      </c>
      <c r="G507" s="49" t="str">
        <f>Educator!A512 &amp;" " &amp;Educator!B512</f>
        <v xml:space="preserve"> </v>
      </c>
      <c r="J507" s="49">
        <f>Educator!C512</f>
        <v>0</v>
      </c>
      <c r="K507" s="49" t="b">
        <f t="shared" si="19"/>
        <v>0</v>
      </c>
    </row>
    <row r="508" spans="1:11" x14ac:dyDescent="0.2">
      <c r="A50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","#",3))+1,1)&amp;"-"&amp;LEFT(Educator!B513, 3)&amp;"-"&amp;LEFT(Educator!A513, 3)&amp;"-"&amp;"2027"</f>
        <v>UID-FLH---2027</v>
      </c>
      <c r="C508" s="49">
        <f>Educator!C513</f>
        <v>0</v>
      </c>
      <c r="D508" s="49" t="b">
        <f t="shared" si="18"/>
        <v>0</v>
      </c>
      <c r="E508" s="49">
        <f>Educator!A513</f>
        <v>0</v>
      </c>
      <c r="F508" s="49">
        <f>Educator!B513</f>
        <v>0</v>
      </c>
      <c r="G508" s="49" t="str">
        <f>Educator!A513 &amp;" " &amp;Educator!B513</f>
        <v xml:space="preserve"> </v>
      </c>
      <c r="J508" s="49">
        <f>Educator!C513</f>
        <v>0</v>
      </c>
      <c r="K508" s="49" t="b">
        <f t="shared" si="19"/>
        <v>0</v>
      </c>
    </row>
    <row r="509" spans="1:11" x14ac:dyDescent="0.2">
      <c r="A50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","#",3))+1,1)&amp;"-"&amp;LEFT(Educator!B514, 3)&amp;"-"&amp;LEFT(Educator!A514, 3)&amp;"-"&amp;"2027"</f>
        <v>UID-FLH---2027</v>
      </c>
      <c r="C509" s="49">
        <f>Educator!C514</f>
        <v>0</v>
      </c>
      <c r="D509" s="49" t="b">
        <f t="shared" si="18"/>
        <v>0</v>
      </c>
      <c r="E509" s="49">
        <f>Educator!A514</f>
        <v>0</v>
      </c>
      <c r="F509" s="49">
        <f>Educator!B514</f>
        <v>0</v>
      </c>
      <c r="G509" s="49" t="str">
        <f>Educator!A514 &amp;" " &amp;Educator!B514</f>
        <v xml:space="preserve"> </v>
      </c>
      <c r="J509" s="49">
        <f>Educator!C514</f>
        <v>0</v>
      </c>
      <c r="K509" s="49" t="b">
        <f t="shared" si="19"/>
        <v>0</v>
      </c>
    </row>
    <row r="510" spans="1:11" x14ac:dyDescent="0.2">
      <c r="A51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","#",3))+1,1)&amp;"-"&amp;LEFT(Educator!B515, 3)&amp;"-"&amp;LEFT(Educator!A515, 3)&amp;"-"&amp;"2027"</f>
        <v>UID-FLH---2027</v>
      </c>
      <c r="C510" s="49">
        <f>Educator!C515</f>
        <v>0</v>
      </c>
      <c r="D510" s="49" t="b">
        <f t="shared" si="18"/>
        <v>0</v>
      </c>
      <c r="E510" s="49">
        <f>Educator!A515</f>
        <v>0</v>
      </c>
      <c r="F510" s="49">
        <f>Educator!B515</f>
        <v>0</v>
      </c>
      <c r="G510" s="49" t="str">
        <f>Educator!A515 &amp;" " &amp;Educator!B515</f>
        <v xml:space="preserve"> </v>
      </c>
      <c r="J510" s="49">
        <f>Educator!C515</f>
        <v>0</v>
      </c>
      <c r="K510" s="49" t="b">
        <f t="shared" si="19"/>
        <v>0</v>
      </c>
    </row>
    <row r="511" spans="1:11" x14ac:dyDescent="0.2">
      <c r="A51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","#",3))+1,1)&amp;"-"&amp;LEFT(Educator!B516, 3)&amp;"-"&amp;LEFT(Educator!A516, 3)&amp;"-"&amp;"2027"</f>
        <v>UID-FLH---2027</v>
      </c>
      <c r="C511" s="49">
        <f>Educator!C516</f>
        <v>0</v>
      </c>
      <c r="D511" s="49" t="b">
        <f t="shared" si="18"/>
        <v>0</v>
      </c>
      <c r="E511" s="49">
        <f>Educator!A516</f>
        <v>0</v>
      </c>
      <c r="F511" s="49">
        <f>Educator!B516</f>
        <v>0</v>
      </c>
      <c r="G511" s="49" t="str">
        <f>Educator!A516 &amp;" " &amp;Educator!B516</f>
        <v xml:space="preserve"> </v>
      </c>
      <c r="J511" s="49">
        <f>Educator!C516</f>
        <v>0</v>
      </c>
      <c r="K511" s="49" t="b">
        <f t="shared" si="19"/>
        <v>0</v>
      </c>
    </row>
    <row r="512" spans="1:11" x14ac:dyDescent="0.2">
      <c r="A51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","#",3))+1,1)&amp;"-"&amp;LEFT(Educator!B517, 3)&amp;"-"&amp;LEFT(Educator!A517, 3)&amp;"-"&amp;"2027"</f>
        <v>UID-FLH---2027</v>
      </c>
      <c r="C512" s="49">
        <f>Educator!C517</f>
        <v>0</v>
      </c>
      <c r="D512" s="49" t="b">
        <f t="shared" si="18"/>
        <v>0</v>
      </c>
      <c r="E512" s="49">
        <f>Educator!A517</f>
        <v>0</v>
      </c>
      <c r="F512" s="49">
        <f>Educator!B517</f>
        <v>0</v>
      </c>
      <c r="G512" s="49" t="str">
        <f>Educator!A517 &amp;" " &amp;Educator!B517</f>
        <v xml:space="preserve"> </v>
      </c>
      <c r="J512" s="49">
        <f>Educator!C517</f>
        <v>0</v>
      </c>
      <c r="K512" s="49" t="b">
        <f t="shared" si="19"/>
        <v>0</v>
      </c>
    </row>
    <row r="513" spans="1:11" x14ac:dyDescent="0.2">
      <c r="A51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","#",3))+1,1)&amp;"-"&amp;LEFT(Educator!B518, 3)&amp;"-"&amp;LEFT(Educator!A518, 3)&amp;"-"&amp;"2027"</f>
        <v>UID-FLH---2027</v>
      </c>
      <c r="C513" s="49">
        <f>Educator!C518</f>
        <v>0</v>
      </c>
      <c r="D513" s="49" t="b">
        <f t="shared" si="18"/>
        <v>0</v>
      </c>
      <c r="E513" s="49">
        <f>Educator!A518</f>
        <v>0</v>
      </c>
      <c r="F513" s="49">
        <f>Educator!B518</f>
        <v>0</v>
      </c>
      <c r="G513" s="49" t="str">
        <f>Educator!A518 &amp;" " &amp;Educator!B518</f>
        <v xml:space="preserve"> </v>
      </c>
      <c r="J513" s="49">
        <f>Educator!C518</f>
        <v>0</v>
      </c>
      <c r="K513" s="49" t="b">
        <f t="shared" si="19"/>
        <v>0</v>
      </c>
    </row>
    <row r="514" spans="1:11" x14ac:dyDescent="0.2">
      <c r="A51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","#",3))+1,1)&amp;"-"&amp;LEFT(Educator!B519, 3)&amp;"-"&amp;LEFT(Educator!A519, 3)&amp;"-"&amp;"2027"</f>
        <v>UID-FLH---2027</v>
      </c>
      <c r="C514" s="49">
        <f>Educator!C519</f>
        <v>0</v>
      </c>
      <c r="D514" s="49" t="b">
        <f t="shared" si="18"/>
        <v>0</v>
      </c>
      <c r="E514" s="49">
        <f>Educator!A519</f>
        <v>0</v>
      </c>
      <c r="F514" s="49">
        <f>Educator!B519</f>
        <v>0</v>
      </c>
      <c r="G514" s="49" t="str">
        <f>Educator!A519 &amp;" " &amp;Educator!B519</f>
        <v xml:space="preserve"> </v>
      </c>
      <c r="J514" s="49">
        <f>Educator!C519</f>
        <v>0</v>
      </c>
      <c r="K514" s="49" t="b">
        <f t="shared" si="19"/>
        <v>0</v>
      </c>
    </row>
    <row r="515" spans="1:11" x14ac:dyDescent="0.2">
      <c r="A51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","#",3))+1,1)&amp;"-"&amp;LEFT(Educator!B520, 3)&amp;"-"&amp;LEFT(Educator!A520, 3)&amp;"-"&amp;"2027"</f>
        <v>UID-FLH---2027</v>
      </c>
      <c r="C515" s="49">
        <f>Educator!C520</f>
        <v>0</v>
      </c>
      <c r="D515" s="49" t="b">
        <f t="shared" si="18"/>
        <v>0</v>
      </c>
      <c r="E515" s="49">
        <f>Educator!A520</f>
        <v>0</v>
      </c>
      <c r="F515" s="49">
        <f>Educator!B520</f>
        <v>0</v>
      </c>
      <c r="G515" s="49" t="str">
        <f>Educator!A520 &amp;" " &amp;Educator!B520</f>
        <v xml:space="preserve"> </v>
      </c>
      <c r="J515" s="49">
        <f>Educator!C520</f>
        <v>0</v>
      </c>
      <c r="K515" s="49" t="b">
        <f t="shared" si="19"/>
        <v>0</v>
      </c>
    </row>
    <row r="516" spans="1:11" x14ac:dyDescent="0.2">
      <c r="A51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","#",3))+1,1)&amp;"-"&amp;LEFT(Educator!B521, 3)&amp;"-"&amp;LEFT(Educator!A521, 3)&amp;"-"&amp;"2027"</f>
        <v>UID-FLH---2027</v>
      </c>
      <c r="C516" s="49">
        <f>Educator!C521</f>
        <v>0</v>
      </c>
      <c r="D516" s="49" t="b">
        <f t="shared" si="18"/>
        <v>0</v>
      </c>
      <c r="E516" s="49">
        <f>Educator!A521</f>
        <v>0</v>
      </c>
      <c r="F516" s="49">
        <f>Educator!B521</f>
        <v>0</v>
      </c>
      <c r="G516" s="49" t="str">
        <f>Educator!A521 &amp;" " &amp;Educator!B521</f>
        <v xml:space="preserve"> </v>
      </c>
      <c r="J516" s="49">
        <f>Educator!C521</f>
        <v>0</v>
      </c>
      <c r="K516" s="49" t="b">
        <f t="shared" si="19"/>
        <v>0</v>
      </c>
    </row>
    <row r="517" spans="1:11" x14ac:dyDescent="0.2">
      <c r="A51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","#",3))+1,1)&amp;"-"&amp;LEFT(Educator!B522, 3)&amp;"-"&amp;LEFT(Educator!A522, 3)&amp;"-"&amp;"2027"</f>
        <v>UID-FLH---2027</v>
      </c>
      <c r="C517" s="49">
        <f>Educator!C522</f>
        <v>0</v>
      </c>
      <c r="D517" s="49" t="b">
        <f t="shared" si="18"/>
        <v>0</v>
      </c>
      <c r="E517" s="49">
        <f>Educator!A522</f>
        <v>0</v>
      </c>
      <c r="F517" s="49">
        <f>Educator!B522</f>
        <v>0</v>
      </c>
      <c r="G517" s="49" t="str">
        <f>Educator!A522 &amp;" " &amp;Educator!B522</f>
        <v xml:space="preserve"> </v>
      </c>
      <c r="J517" s="49">
        <f>Educator!C522</f>
        <v>0</v>
      </c>
      <c r="K517" s="49" t="b">
        <f t="shared" si="19"/>
        <v>0</v>
      </c>
    </row>
    <row r="518" spans="1:11" x14ac:dyDescent="0.2">
      <c r="A51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","#",3))+1,1)&amp;"-"&amp;LEFT(Educator!B523, 3)&amp;"-"&amp;LEFT(Educator!A523, 3)&amp;"-"&amp;"2027"</f>
        <v>UID-FLH---2027</v>
      </c>
      <c r="C518" s="49">
        <f>Educator!C523</f>
        <v>0</v>
      </c>
      <c r="D518" s="49" t="b">
        <f t="shared" si="18"/>
        <v>0</v>
      </c>
      <c r="E518" s="49">
        <f>Educator!A523</f>
        <v>0</v>
      </c>
      <c r="F518" s="49">
        <f>Educator!B523</f>
        <v>0</v>
      </c>
      <c r="G518" s="49" t="str">
        <f>Educator!A523 &amp;" " &amp;Educator!B523</f>
        <v xml:space="preserve"> </v>
      </c>
      <c r="J518" s="49">
        <f>Educator!C523</f>
        <v>0</v>
      </c>
      <c r="K518" s="49" t="b">
        <f t="shared" si="19"/>
        <v>0</v>
      </c>
    </row>
    <row r="519" spans="1:11" x14ac:dyDescent="0.2">
      <c r="A51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","#",3))+1,1)&amp;"-"&amp;LEFT(Educator!B524, 3)&amp;"-"&amp;LEFT(Educator!A524, 3)&amp;"-"&amp;"2027"</f>
        <v>UID-FLH---2027</v>
      </c>
      <c r="C519" s="49">
        <f>Educator!C524</f>
        <v>0</v>
      </c>
      <c r="D519" s="49" t="b">
        <f t="shared" si="18"/>
        <v>0</v>
      </c>
      <c r="E519" s="49">
        <f>Educator!A524</f>
        <v>0</v>
      </c>
      <c r="F519" s="49">
        <f>Educator!B524</f>
        <v>0</v>
      </c>
      <c r="G519" s="49" t="str">
        <f>Educator!A524 &amp;" " &amp;Educator!B524</f>
        <v xml:space="preserve"> </v>
      </c>
      <c r="J519" s="49">
        <f>Educator!C524</f>
        <v>0</v>
      </c>
      <c r="K519" s="49" t="b">
        <f t="shared" si="19"/>
        <v>0</v>
      </c>
    </row>
    <row r="520" spans="1:11" x14ac:dyDescent="0.2">
      <c r="A52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","#",3))+1,1)&amp;"-"&amp;LEFT(Educator!B525, 3)&amp;"-"&amp;LEFT(Educator!A525, 3)&amp;"-"&amp;"2027"</f>
        <v>UID-FLH---2027</v>
      </c>
      <c r="C520" s="49">
        <f>Educator!C525</f>
        <v>0</v>
      </c>
      <c r="D520" s="49" t="b">
        <f t="shared" si="18"/>
        <v>0</v>
      </c>
      <c r="E520" s="49">
        <f>Educator!A525</f>
        <v>0</v>
      </c>
      <c r="F520" s="49">
        <f>Educator!B525</f>
        <v>0</v>
      </c>
      <c r="G520" s="49" t="str">
        <f>Educator!A525 &amp;" " &amp;Educator!B525</f>
        <v xml:space="preserve"> </v>
      </c>
      <c r="J520" s="49">
        <f>Educator!C525</f>
        <v>0</v>
      </c>
      <c r="K520" s="49" t="b">
        <f t="shared" si="19"/>
        <v>0</v>
      </c>
    </row>
    <row r="521" spans="1:11" x14ac:dyDescent="0.2">
      <c r="A52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","#",3))+1,1)&amp;"-"&amp;LEFT(Educator!B526, 3)&amp;"-"&amp;LEFT(Educator!A526, 3)&amp;"-"&amp;"2027"</f>
        <v>UID-FLH---2027</v>
      </c>
      <c r="C521" s="49">
        <f>Educator!C526</f>
        <v>0</v>
      </c>
      <c r="D521" s="49" t="b">
        <f t="shared" si="18"/>
        <v>0</v>
      </c>
      <c r="E521" s="49">
        <f>Educator!A526</f>
        <v>0</v>
      </c>
      <c r="F521" s="49">
        <f>Educator!B526</f>
        <v>0</v>
      </c>
      <c r="G521" s="49" t="str">
        <f>Educator!A526 &amp;" " &amp;Educator!B526</f>
        <v xml:space="preserve"> </v>
      </c>
      <c r="J521" s="49">
        <f>Educator!C526</f>
        <v>0</v>
      </c>
      <c r="K521" s="49" t="b">
        <f t="shared" si="19"/>
        <v>0</v>
      </c>
    </row>
    <row r="522" spans="1:11" x14ac:dyDescent="0.2">
      <c r="A52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","#",3))+1,1)&amp;"-"&amp;LEFT(Educator!B527, 3)&amp;"-"&amp;LEFT(Educator!A527, 3)&amp;"-"&amp;"2027"</f>
        <v>UID-FLH---2027</v>
      </c>
      <c r="C522" s="49">
        <f>Educator!C527</f>
        <v>0</v>
      </c>
      <c r="D522" s="49" t="b">
        <f t="shared" si="18"/>
        <v>0</v>
      </c>
      <c r="E522" s="49">
        <f>Educator!A527</f>
        <v>0</v>
      </c>
      <c r="F522" s="49">
        <f>Educator!B527</f>
        <v>0</v>
      </c>
      <c r="G522" s="49" t="str">
        <f>Educator!A527 &amp;" " &amp;Educator!B527</f>
        <v xml:space="preserve"> </v>
      </c>
      <c r="J522" s="49">
        <f>Educator!C527</f>
        <v>0</v>
      </c>
      <c r="K522" s="49" t="b">
        <f t="shared" si="19"/>
        <v>0</v>
      </c>
    </row>
    <row r="523" spans="1:11" x14ac:dyDescent="0.2">
      <c r="A52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","#",3))+1,1)&amp;"-"&amp;LEFT(Educator!B528, 3)&amp;"-"&amp;LEFT(Educator!A528, 3)&amp;"-"&amp;"2027"</f>
        <v>UID-FLH---2027</v>
      </c>
      <c r="C523" s="49">
        <f>Educator!C528</f>
        <v>0</v>
      </c>
      <c r="D523" s="49" t="b">
        <f t="shared" si="18"/>
        <v>0</v>
      </c>
      <c r="E523" s="49">
        <f>Educator!A528</f>
        <v>0</v>
      </c>
      <c r="F523" s="49">
        <f>Educator!B528</f>
        <v>0</v>
      </c>
      <c r="G523" s="49" t="str">
        <f>Educator!A528 &amp;" " &amp;Educator!B528</f>
        <v xml:space="preserve"> </v>
      </c>
      <c r="J523" s="49">
        <f>Educator!C528</f>
        <v>0</v>
      </c>
      <c r="K523" s="49" t="b">
        <f t="shared" si="19"/>
        <v>0</v>
      </c>
    </row>
    <row r="524" spans="1:11" x14ac:dyDescent="0.2">
      <c r="A52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","#",3))+1,1)&amp;"-"&amp;LEFT(Educator!B529, 3)&amp;"-"&amp;LEFT(Educator!A529, 3)&amp;"-"&amp;"2027"</f>
        <v>UID-FLH---2027</v>
      </c>
      <c r="C524" s="49">
        <f>Educator!C529</f>
        <v>0</v>
      </c>
      <c r="D524" s="49" t="b">
        <f t="shared" si="18"/>
        <v>0</v>
      </c>
      <c r="E524" s="49">
        <f>Educator!A529</f>
        <v>0</v>
      </c>
      <c r="F524" s="49">
        <f>Educator!B529</f>
        <v>0</v>
      </c>
      <c r="G524" s="49" t="str">
        <f>Educator!A529 &amp;" " &amp;Educator!B529</f>
        <v xml:space="preserve"> </v>
      </c>
      <c r="J524" s="49">
        <f>Educator!C529</f>
        <v>0</v>
      </c>
      <c r="K524" s="49" t="b">
        <f t="shared" si="19"/>
        <v>0</v>
      </c>
    </row>
    <row r="525" spans="1:11" x14ac:dyDescent="0.2">
      <c r="A52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","#",3))+1,1)&amp;"-"&amp;LEFT(Educator!B530, 3)&amp;"-"&amp;LEFT(Educator!A530, 3)&amp;"-"&amp;"2027"</f>
        <v>UID-FLH---2027</v>
      </c>
      <c r="C525" s="49">
        <f>Educator!C530</f>
        <v>0</v>
      </c>
      <c r="D525" s="49" t="b">
        <f t="shared" si="18"/>
        <v>0</v>
      </c>
      <c r="E525" s="49">
        <f>Educator!A530</f>
        <v>0</v>
      </c>
      <c r="F525" s="49">
        <f>Educator!B530</f>
        <v>0</v>
      </c>
      <c r="G525" s="49" t="str">
        <f>Educator!A530 &amp;" " &amp;Educator!B530</f>
        <v xml:space="preserve"> </v>
      </c>
      <c r="J525" s="49">
        <f>Educator!C530</f>
        <v>0</v>
      </c>
      <c r="K525" s="49" t="b">
        <f t="shared" si="19"/>
        <v>0</v>
      </c>
    </row>
    <row r="526" spans="1:11" x14ac:dyDescent="0.2">
      <c r="A52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","#",3))+1,1)&amp;"-"&amp;LEFT(Educator!B531, 3)&amp;"-"&amp;LEFT(Educator!A531, 3)&amp;"-"&amp;"2027"</f>
        <v>UID-FLH---2027</v>
      </c>
      <c r="C526" s="49">
        <f>Educator!C531</f>
        <v>0</v>
      </c>
      <c r="D526" s="49" t="b">
        <f t="shared" si="18"/>
        <v>0</v>
      </c>
      <c r="E526" s="49">
        <f>Educator!A531</f>
        <v>0</v>
      </c>
      <c r="F526" s="49">
        <f>Educator!B531</f>
        <v>0</v>
      </c>
      <c r="G526" s="49" t="str">
        <f>Educator!A531 &amp;" " &amp;Educator!B531</f>
        <v xml:space="preserve"> </v>
      </c>
      <c r="J526" s="49">
        <f>Educator!C531</f>
        <v>0</v>
      </c>
      <c r="K526" s="49" t="b">
        <f t="shared" si="19"/>
        <v>0</v>
      </c>
    </row>
    <row r="527" spans="1:11" x14ac:dyDescent="0.2">
      <c r="A52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","#",3))+1,1)&amp;"-"&amp;LEFT(Educator!B532, 3)&amp;"-"&amp;LEFT(Educator!A532, 3)&amp;"-"&amp;"2027"</f>
        <v>UID-FLH---2027</v>
      </c>
      <c r="C527" s="49">
        <f>Educator!C532</f>
        <v>0</v>
      </c>
      <c r="D527" s="49" t="b">
        <f t="shared" si="18"/>
        <v>0</v>
      </c>
      <c r="E527" s="49">
        <f>Educator!A532</f>
        <v>0</v>
      </c>
      <c r="F527" s="49">
        <f>Educator!B532</f>
        <v>0</v>
      </c>
      <c r="G527" s="49" t="str">
        <f>Educator!A532 &amp;" " &amp;Educator!B532</f>
        <v xml:space="preserve"> </v>
      </c>
      <c r="J527" s="49">
        <f>Educator!C532</f>
        <v>0</v>
      </c>
      <c r="K527" s="49" t="b">
        <f t="shared" si="19"/>
        <v>0</v>
      </c>
    </row>
    <row r="528" spans="1:11" x14ac:dyDescent="0.2">
      <c r="A52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","#",3))+1,1)&amp;"-"&amp;LEFT(Educator!B533, 3)&amp;"-"&amp;LEFT(Educator!A533, 3)&amp;"-"&amp;"2027"</f>
        <v>UID-FLH---2027</v>
      </c>
      <c r="C528" s="49">
        <f>Educator!C533</f>
        <v>0</v>
      </c>
      <c r="D528" s="49" t="b">
        <f t="shared" si="18"/>
        <v>0</v>
      </c>
      <c r="E528" s="49">
        <f>Educator!A533</f>
        <v>0</v>
      </c>
      <c r="F528" s="49">
        <f>Educator!B533</f>
        <v>0</v>
      </c>
      <c r="G528" s="49" t="str">
        <f>Educator!A533 &amp;" " &amp;Educator!B533</f>
        <v xml:space="preserve"> </v>
      </c>
      <c r="J528" s="49">
        <f>Educator!C533</f>
        <v>0</v>
      </c>
      <c r="K528" s="49" t="b">
        <f t="shared" si="19"/>
        <v>0</v>
      </c>
    </row>
    <row r="529" spans="1:11" x14ac:dyDescent="0.2">
      <c r="A52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","#",3))+1,1)&amp;"-"&amp;LEFT(Educator!B534, 3)&amp;"-"&amp;LEFT(Educator!A534, 3)&amp;"-"&amp;"2027"</f>
        <v>UID-FLH---2027</v>
      </c>
      <c r="C529" s="49">
        <f>Educator!C534</f>
        <v>0</v>
      </c>
      <c r="D529" s="49" t="b">
        <f t="shared" si="18"/>
        <v>0</v>
      </c>
      <c r="E529" s="49">
        <f>Educator!A534</f>
        <v>0</v>
      </c>
      <c r="F529" s="49">
        <f>Educator!B534</f>
        <v>0</v>
      </c>
      <c r="G529" s="49" t="str">
        <f>Educator!A534 &amp;" " &amp;Educator!B534</f>
        <v xml:space="preserve"> </v>
      </c>
      <c r="J529" s="49">
        <f>Educator!C534</f>
        <v>0</v>
      </c>
      <c r="K529" s="49" t="b">
        <f t="shared" si="19"/>
        <v>0</v>
      </c>
    </row>
    <row r="530" spans="1:11" x14ac:dyDescent="0.2">
      <c r="A53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","#",3))+1,1)&amp;"-"&amp;LEFT(Educator!B535, 3)&amp;"-"&amp;LEFT(Educator!A535, 3)&amp;"-"&amp;"2027"</f>
        <v>UID-FLH---2027</v>
      </c>
      <c r="C530" s="49">
        <f>Educator!C535</f>
        <v>0</v>
      </c>
      <c r="D530" s="49" t="b">
        <f t="shared" ref="D530:D593" si="20">IF(C530&gt;0,"topscore123")</f>
        <v>0</v>
      </c>
      <c r="E530" s="49">
        <f>Educator!A535</f>
        <v>0</v>
      </c>
      <c r="F530" s="49">
        <f>Educator!B535</f>
        <v>0</v>
      </c>
      <c r="G530" s="49" t="str">
        <f>Educator!A535 &amp;" " &amp;Educator!B535</f>
        <v xml:space="preserve"> </v>
      </c>
      <c r="J530" s="49">
        <f>Educator!C535</f>
        <v>0</v>
      </c>
      <c r="K530" s="49" t="b">
        <f t="shared" ref="K530:K593" si="21">IF(C530&gt;0,"active")</f>
        <v>0</v>
      </c>
    </row>
    <row r="531" spans="1:11" x14ac:dyDescent="0.2">
      <c r="A53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","#",3))+1,1)&amp;"-"&amp;LEFT(Educator!B536, 3)&amp;"-"&amp;LEFT(Educator!A536, 3)&amp;"-"&amp;"2027"</f>
        <v>UID-FLH---2027</v>
      </c>
      <c r="C531" s="49">
        <f>Educator!C536</f>
        <v>0</v>
      </c>
      <c r="D531" s="49" t="b">
        <f t="shared" si="20"/>
        <v>0</v>
      </c>
      <c r="E531" s="49">
        <f>Educator!A536</f>
        <v>0</v>
      </c>
      <c r="F531" s="49">
        <f>Educator!B536</f>
        <v>0</v>
      </c>
      <c r="G531" s="49" t="str">
        <f>Educator!A536 &amp;" " &amp;Educator!B536</f>
        <v xml:space="preserve"> </v>
      </c>
      <c r="J531" s="49">
        <f>Educator!C536</f>
        <v>0</v>
      </c>
      <c r="K531" s="49" t="b">
        <f t="shared" si="21"/>
        <v>0</v>
      </c>
    </row>
    <row r="532" spans="1:11" x14ac:dyDescent="0.2">
      <c r="A53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","#",3))+1,1)&amp;"-"&amp;LEFT(Educator!B537, 3)&amp;"-"&amp;LEFT(Educator!A537, 3)&amp;"-"&amp;"2027"</f>
        <v>UID-FLH---2027</v>
      </c>
      <c r="C532" s="49">
        <f>Educator!C537</f>
        <v>0</v>
      </c>
      <c r="D532" s="49" t="b">
        <f t="shared" si="20"/>
        <v>0</v>
      </c>
      <c r="E532" s="49">
        <f>Educator!A537</f>
        <v>0</v>
      </c>
      <c r="F532" s="49">
        <f>Educator!B537</f>
        <v>0</v>
      </c>
      <c r="G532" s="49" t="str">
        <f>Educator!A537 &amp;" " &amp;Educator!B537</f>
        <v xml:space="preserve"> </v>
      </c>
      <c r="J532" s="49">
        <f>Educator!C537</f>
        <v>0</v>
      </c>
      <c r="K532" s="49" t="b">
        <f t="shared" si="21"/>
        <v>0</v>
      </c>
    </row>
    <row r="533" spans="1:11" x14ac:dyDescent="0.2">
      <c r="A53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","#",3))+1,1)&amp;"-"&amp;LEFT(Educator!B538, 3)&amp;"-"&amp;LEFT(Educator!A538, 3)&amp;"-"&amp;"2027"</f>
        <v>UID-FLH---2027</v>
      </c>
      <c r="C533" s="49">
        <f>Educator!C538</f>
        <v>0</v>
      </c>
      <c r="D533" s="49" t="b">
        <f t="shared" si="20"/>
        <v>0</v>
      </c>
      <c r="E533" s="49">
        <f>Educator!A538</f>
        <v>0</v>
      </c>
      <c r="F533" s="49">
        <f>Educator!B538</f>
        <v>0</v>
      </c>
      <c r="G533" s="49" t="str">
        <f>Educator!A538 &amp;" " &amp;Educator!B538</f>
        <v xml:space="preserve"> </v>
      </c>
      <c r="J533" s="49">
        <f>Educator!C538</f>
        <v>0</v>
      </c>
      <c r="K533" s="49" t="b">
        <f t="shared" si="21"/>
        <v>0</v>
      </c>
    </row>
    <row r="534" spans="1:11" x14ac:dyDescent="0.2">
      <c r="A53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","#",3))+1,1)&amp;"-"&amp;LEFT(Educator!B539, 3)&amp;"-"&amp;LEFT(Educator!A539, 3)&amp;"-"&amp;"2027"</f>
        <v>UID-FLH---2027</v>
      </c>
      <c r="C534" s="49">
        <f>Educator!C539</f>
        <v>0</v>
      </c>
      <c r="D534" s="49" t="b">
        <f t="shared" si="20"/>
        <v>0</v>
      </c>
      <c r="E534" s="49">
        <f>Educator!A539</f>
        <v>0</v>
      </c>
      <c r="F534" s="49">
        <f>Educator!B539</f>
        <v>0</v>
      </c>
      <c r="G534" s="49" t="str">
        <f>Educator!A539 &amp;" " &amp;Educator!B539</f>
        <v xml:space="preserve"> </v>
      </c>
      <c r="J534" s="49">
        <f>Educator!C539</f>
        <v>0</v>
      </c>
      <c r="K534" s="49" t="b">
        <f t="shared" si="21"/>
        <v>0</v>
      </c>
    </row>
    <row r="535" spans="1:11" x14ac:dyDescent="0.2">
      <c r="A53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","#",3))+1,1)&amp;"-"&amp;LEFT(Educator!B540, 3)&amp;"-"&amp;LEFT(Educator!A540, 3)&amp;"-"&amp;"2027"</f>
        <v>UID-FLH---2027</v>
      </c>
      <c r="C535" s="49">
        <f>Educator!C540</f>
        <v>0</v>
      </c>
      <c r="D535" s="49" t="b">
        <f t="shared" si="20"/>
        <v>0</v>
      </c>
      <c r="E535" s="49">
        <f>Educator!A540</f>
        <v>0</v>
      </c>
      <c r="F535" s="49">
        <f>Educator!B540</f>
        <v>0</v>
      </c>
      <c r="G535" s="49" t="str">
        <f>Educator!A540 &amp;" " &amp;Educator!B540</f>
        <v xml:space="preserve"> </v>
      </c>
      <c r="J535" s="49">
        <f>Educator!C540</f>
        <v>0</v>
      </c>
      <c r="K535" s="49" t="b">
        <f t="shared" si="21"/>
        <v>0</v>
      </c>
    </row>
    <row r="536" spans="1:11" x14ac:dyDescent="0.2">
      <c r="A53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","#",3))+1,1)&amp;"-"&amp;LEFT(Educator!B541, 3)&amp;"-"&amp;LEFT(Educator!A541, 3)&amp;"-"&amp;"2027"</f>
        <v>UID-FLH---2027</v>
      </c>
      <c r="C536" s="49">
        <f>Educator!C541</f>
        <v>0</v>
      </c>
      <c r="D536" s="49" t="b">
        <f t="shared" si="20"/>
        <v>0</v>
      </c>
      <c r="E536" s="49">
        <f>Educator!A541</f>
        <v>0</v>
      </c>
      <c r="F536" s="49">
        <f>Educator!B541</f>
        <v>0</v>
      </c>
      <c r="G536" s="49" t="str">
        <f>Educator!A541 &amp;" " &amp;Educator!B541</f>
        <v xml:space="preserve"> </v>
      </c>
      <c r="J536" s="49">
        <f>Educator!C541</f>
        <v>0</v>
      </c>
      <c r="K536" s="49" t="b">
        <f t="shared" si="21"/>
        <v>0</v>
      </c>
    </row>
    <row r="537" spans="1:11" x14ac:dyDescent="0.2">
      <c r="A53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","#",3))+1,1)&amp;"-"&amp;LEFT(Educator!B542, 3)&amp;"-"&amp;LEFT(Educator!A542, 3)&amp;"-"&amp;"2027"</f>
        <v>UID-FLH---2027</v>
      </c>
      <c r="C537" s="49">
        <f>Educator!C542</f>
        <v>0</v>
      </c>
      <c r="D537" s="49" t="b">
        <f t="shared" si="20"/>
        <v>0</v>
      </c>
      <c r="E537" s="49">
        <f>Educator!A542</f>
        <v>0</v>
      </c>
      <c r="F537" s="49">
        <f>Educator!B542</f>
        <v>0</v>
      </c>
      <c r="G537" s="49" t="str">
        <f>Educator!A542 &amp;" " &amp;Educator!B542</f>
        <v xml:space="preserve"> </v>
      </c>
      <c r="J537" s="49">
        <f>Educator!C542</f>
        <v>0</v>
      </c>
      <c r="K537" s="49" t="b">
        <f t="shared" si="21"/>
        <v>0</v>
      </c>
    </row>
    <row r="538" spans="1:11" x14ac:dyDescent="0.2">
      <c r="A53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","#",3))+1,1)&amp;"-"&amp;LEFT(Educator!B543, 3)&amp;"-"&amp;LEFT(Educator!A543, 3)&amp;"-"&amp;"2027"</f>
        <v>UID-FLH---2027</v>
      </c>
      <c r="C538" s="49">
        <f>Educator!C543</f>
        <v>0</v>
      </c>
      <c r="D538" s="49" t="b">
        <f t="shared" si="20"/>
        <v>0</v>
      </c>
      <c r="E538" s="49">
        <f>Educator!A543</f>
        <v>0</v>
      </c>
      <c r="F538" s="49">
        <f>Educator!B543</f>
        <v>0</v>
      </c>
      <c r="G538" s="49" t="str">
        <f>Educator!A543 &amp;" " &amp;Educator!B543</f>
        <v xml:space="preserve"> </v>
      </c>
      <c r="J538" s="49">
        <f>Educator!C543</f>
        <v>0</v>
      </c>
      <c r="K538" s="49" t="b">
        <f t="shared" si="21"/>
        <v>0</v>
      </c>
    </row>
    <row r="539" spans="1:11" x14ac:dyDescent="0.2">
      <c r="A53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","#",3))+1,1)&amp;"-"&amp;LEFT(Educator!B544, 3)&amp;"-"&amp;LEFT(Educator!A544, 3)&amp;"-"&amp;"2027"</f>
        <v>UID-FLH---2027</v>
      </c>
      <c r="C539" s="49">
        <f>Educator!C544</f>
        <v>0</v>
      </c>
      <c r="D539" s="49" t="b">
        <f t="shared" si="20"/>
        <v>0</v>
      </c>
      <c r="E539" s="49">
        <f>Educator!A544</f>
        <v>0</v>
      </c>
      <c r="F539" s="49">
        <f>Educator!B544</f>
        <v>0</v>
      </c>
      <c r="G539" s="49" t="str">
        <f>Educator!A544 &amp;" " &amp;Educator!B544</f>
        <v xml:space="preserve"> </v>
      </c>
      <c r="J539" s="49">
        <f>Educator!C544</f>
        <v>0</v>
      </c>
      <c r="K539" s="49" t="b">
        <f t="shared" si="21"/>
        <v>0</v>
      </c>
    </row>
    <row r="540" spans="1:11" x14ac:dyDescent="0.2">
      <c r="A54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","#",3))+1,1)&amp;"-"&amp;LEFT(Educator!B545, 3)&amp;"-"&amp;LEFT(Educator!A545, 3)&amp;"-"&amp;"2027"</f>
        <v>UID-FLH---2027</v>
      </c>
      <c r="C540" s="49">
        <f>Educator!C545</f>
        <v>0</v>
      </c>
      <c r="D540" s="49" t="b">
        <f t="shared" si="20"/>
        <v>0</v>
      </c>
      <c r="E540" s="49">
        <f>Educator!A545</f>
        <v>0</v>
      </c>
      <c r="F540" s="49">
        <f>Educator!B545</f>
        <v>0</v>
      </c>
      <c r="G540" s="49" t="str">
        <f>Educator!A545 &amp;" " &amp;Educator!B545</f>
        <v xml:space="preserve"> </v>
      </c>
      <c r="J540" s="49">
        <f>Educator!C545</f>
        <v>0</v>
      </c>
      <c r="K540" s="49" t="b">
        <f t="shared" si="21"/>
        <v>0</v>
      </c>
    </row>
    <row r="541" spans="1:11" x14ac:dyDescent="0.2">
      <c r="A54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","#",3))+1,1)&amp;"-"&amp;LEFT(Educator!B546, 3)&amp;"-"&amp;LEFT(Educator!A546, 3)&amp;"-"&amp;"2027"</f>
        <v>UID-FLH---2027</v>
      </c>
      <c r="C541" s="49">
        <f>Educator!C546</f>
        <v>0</v>
      </c>
      <c r="D541" s="49" t="b">
        <f t="shared" si="20"/>
        <v>0</v>
      </c>
      <c r="E541" s="49">
        <f>Educator!A546</f>
        <v>0</v>
      </c>
      <c r="F541" s="49">
        <f>Educator!B546</f>
        <v>0</v>
      </c>
      <c r="G541" s="49" t="str">
        <f>Educator!A546 &amp;" " &amp;Educator!B546</f>
        <v xml:space="preserve"> </v>
      </c>
      <c r="J541" s="49">
        <f>Educator!C546</f>
        <v>0</v>
      </c>
      <c r="K541" s="49" t="b">
        <f t="shared" si="21"/>
        <v>0</v>
      </c>
    </row>
    <row r="542" spans="1:11" x14ac:dyDescent="0.2">
      <c r="A54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","#",3))+1,1)&amp;"-"&amp;LEFT(Educator!B547, 3)&amp;"-"&amp;LEFT(Educator!A547, 3)&amp;"-"&amp;"2027"</f>
        <v>UID-FLH---2027</v>
      </c>
      <c r="C542" s="49">
        <f>Educator!C547</f>
        <v>0</v>
      </c>
      <c r="D542" s="49" t="b">
        <f t="shared" si="20"/>
        <v>0</v>
      </c>
      <c r="E542" s="49">
        <f>Educator!A547</f>
        <v>0</v>
      </c>
      <c r="F542" s="49">
        <f>Educator!B547</f>
        <v>0</v>
      </c>
      <c r="G542" s="49" t="str">
        <f>Educator!A547 &amp;" " &amp;Educator!B547</f>
        <v xml:space="preserve"> </v>
      </c>
      <c r="J542" s="49">
        <f>Educator!C547</f>
        <v>0</v>
      </c>
      <c r="K542" s="49" t="b">
        <f t="shared" si="21"/>
        <v>0</v>
      </c>
    </row>
    <row r="543" spans="1:11" x14ac:dyDescent="0.2">
      <c r="A54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","#",3))+1,1)&amp;"-"&amp;LEFT(Educator!B548, 3)&amp;"-"&amp;LEFT(Educator!A548, 3)&amp;"-"&amp;"2027"</f>
        <v>UID-FLH---2027</v>
      </c>
      <c r="C543" s="49">
        <f>Educator!C548</f>
        <v>0</v>
      </c>
      <c r="D543" s="49" t="b">
        <f t="shared" si="20"/>
        <v>0</v>
      </c>
      <c r="E543" s="49">
        <f>Educator!A548</f>
        <v>0</v>
      </c>
      <c r="F543" s="49">
        <f>Educator!B548</f>
        <v>0</v>
      </c>
      <c r="G543" s="49" t="str">
        <f>Educator!A548 &amp;" " &amp;Educator!B548</f>
        <v xml:space="preserve"> </v>
      </c>
      <c r="J543" s="49">
        <f>Educator!C548</f>
        <v>0</v>
      </c>
      <c r="K543" s="49" t="b">
        <f t="shared" si="21"/>
        <v>0</v>
      </c>
    </row>
    <row r="544" spans="1:11" x14ac:dyDescent="0.2">
      <c r="A54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","#",3))+1,1)&amp;"-"&amp;LEFT(Educator!B549, 3)&amp;"-"&amp;LEFT(Educator!A549, 3)&amp;"-"&amp;"2027"</f>
        <v>UID-FLH---2027</v>
      </c>
      <c r="C544" s="49">
        <f>Educator!C549</f>
        <v>0</v>
      </c>
      <c r="D544" s="49" t="b">
        <f t="shared" si="20"/>
        <v>0</v>
      </c>
      <c r="E544" s="49">
        <f>Educator!A549</f>
        <v>0</v>
      </c>
      <c r="F544" s="49">
        <f>Educator!B549</f>
        <v>0</v>
      </c>
      <c r="G544" s="49" t="str">
        <f>Educator!A549 &amp;" " &amp;Educator!B549</f>
        <v xml:space="preserve"> </v>
      </c>
      <c r="J544" s="49">
        <f>Educator!C549</f>
        <v>0</v>
      </c>
      <c r="K544" s="49" t="b">
        <f t="shared" si="21"/>
        <v>0</v>
      </c>
    </row>
    <row r="545" spans="1:11" x14ac:dyDescent="0.2">
      <c r="A54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","#",3))+1,1)&amp;"-"&amp;LEFT(Educator!B550, 3)&amp;"-"&amp;LEFT(Educator!A550, 3)&amp;"-"&amp;"2027"</f>
        <v>UID-FLH---2027</v>
      </c>
      <c r="C545" s="49">
        <f>Educator!C550</f>
        <v>0</v>
      </c>
      <c r="D545" s="49" t="b">
        <f t="shared" si="20"/>
        <v>0</v>
      </c>
      <c r="E545" s="49">
        <f>Educator!A550</f>
        <v>0</v>
      </c>
      <c r="F545" s="49">
        <f>Educator!B550</f>
        <v>0</v>
      </c>
      <c r="G545" s="49" t="str">
        <f>Educator!A550 &amp;" " &amp;Educator!B550</f>
        <v xml:space="preserve"> </v>
      </c>
      <c r="J545" s="49">
        <f>Educator!C550</f>
        <v>0</v>
      </c>
      <c r="K545" s="49" t="b">
        <f t="shared" si="21"/>
        <v>0</v>
      </c>
    </row>
    <row r="546" spans="1:11" x14ac:dyDescent="0.2">
      <c r="A54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","#",3))+1,1)&amp;"-"&amp;LEFT(Educator!B551, 3)&amp;"-"&amp;LEFT(Educator!A551, 3)&amp;"-"&amp;"2027"</f>
        <v>UID-FLH---2027</v>
      </c>
      <c r="C546" s="49">
        <f>Educator!C551</f>
        <v>0</v>
      </c>
      <c r="D546" s="49" t="b">
        <f t="shared" si="20"/>
        <v>0</v>
      </c>
      <c r="E546" s="49">
        <f>Educator!A551</f>
        <v>0</v>
      </c>
      <c r="F546" s="49">
        <f>Educator!B551</f>
        <v>0</v>
      </c>
      <c r="G546" s="49" t="str">
        <f>Educator!A551 &amp;" " &amp;Educator!B551</f>
        <v xml:space="preserve"> </v>
      </c>
      <c r="J546" s="49">
        <f>Educator!C551</f>
        <v>0</v>
      </c>
      <c r="K546" s="49" t="b">
        <f t="shared" si="21"/>
        <v>0</v>
      </c>
    </row>
    <row r="547" spans="1:11" x14ac:dyDescent="0.2">
      <c r="A54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","#",3))+1,1)&amp;"-"&amp;LEFT(Educator!B552, 3)&amp;"-"&amp;LEFT(Educator!A552, 3)&amp;"-"&amp;"2027"</f>
        <v>UID-FLH---2027</v>
      </c>
      <c r="C547" s="49">
        <f>Educator!C552</f>
        <v>0</v>
      </c>
      <c r="D547" s="49" t="b">
        <f t="shared" si="20"/>
        <v>0</v>
      </c>
      <c r="E547" s="49">
        <f>Educator!A552</f>
        <v>0</v>
      </c>
      <c r="F547" s="49">
        <f>Educator!B552</f>
        <v>0</v>
      </c>
      <c r="G547" s="49" t="str">
        <f>Educator!A552 &amp;" " &amp;Educator!B552</f>
        <v xml:space="preserve"> </v>
      </c>
      <c r="J547" s="49">
        <f>Educator!C552</f>
        <v>0</v>
      </c>
      <c r="K547" s="49" t="b">
        <f t="shared" si="21"/>
        <v>0</v>
      </c>
    </row>
    <row r="548" spans="1:11" x14ac:dyDescent="0.2">
      <c r="A54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","#",3))+1,1)&amp;"-"&amp;LEFT(Educator!B553, 3)&amp;"-"&amp;LEFT(Educator!A553, 3)&amp;"-"&amp;"2027"</f>
        <v>UID-FLH---2027</v>
      </c>
      <c r="C548" s="49">
        <f>Educator!C553</f>
        <v>0</v>
      </c>
      <c r="D548" s="49" t="b">
        <f t="shared" si="20"/>
        <v>0</v>
      </c>
      <c r="E548" s="49">
        <f>Educator!A553</f>
        <v>0</v>
      </c>
      <c r="F548" s="49">
        <f>Educator!B553</f>
        <v>0</v>
      </c>
      <c r="G548" s="49" t="str">
        <f>Educator!A553 &amp;" " &amp;Educator!B553</f>
        <v xml:space="preserve"> </v>
      </c>
      <c r="J548" s="49">
        <f>Educator!C553</f>
        <v>0</v>
      </c>
      <c r="K548" s="49" t="b">
        <f t="shared" si="21"/>
        <v>0</v>
      </c>
    </row>
    <row r="549" spans="1:11" x14ac:dyDescent="0.2">
      <c r="A54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","#",3))+1,1)&amp;"-"&amp;LEFT(Educator!B554, 3)&amp;"-"&amp;LEFT(Educator!A554, 3)&amp;"-"&amp;"2027"</f>
        <v>UID-FLH---2027</v>
      </c>
      <c r="C549" s="49">
        <f>Educator!C554</f>
        <v>0</v>
      </c>
      <c r="D549" s="49" t="b">
        <f t="shared" si="20"/>
        <v>0</v>
      </c>
      <c r="E549" s="49">
        <f>Educator!A554</f>
        <v>0</v>
      </c>
      <c r="F549" s="49">
        <f>Educator!B554</f>
        <v>0</v>
      </c>
      <c r="G549" s="49" t="str">
        <f>Educator!A554 &amp;" " &amp;Educator!B554</f>
        <v xml:space="preserve"> </v>
      </c>
      <c r="J549" s="49">
        <f>Educator!C554</f>
        <v>0</v>
      </c>
      <c r="K549" s="49" t="b">
        <f t="shared" si="21"/>
        <v>0</v>
      </c>
    </row>
    <row r="550" spans="1:11" x14ac:dyDescent="0.2">
      <c r="A55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","#",3))+1,1)&amp;"-"&amp;LEFT(Educator!B555, 3)&amp;"-"&amp;LEFT(Educator!A555, 3)&amp;"-"&amp;"2027"</f>
        <v>UID-FLH---2027</v>
      </c>
      <c r="C550" s="49">
        <f>Educator!C555</f>
        <v>0</v>
      </c>
      <c r="D550" s="49" t="b">
        <f t="shared" si="20"/>
        <v>0</v>
      </c>
      <c r="E550" s="49">
        <f>Educator!A555</f>
        <v>0</v>
      </c>
      <c r="F550" s="49">
        <f>Educator!B555</f>
        <v>0</v>
      </c>
      <c r="G550" s="49" t="str">
        <f>Educator!A555 &amp;" " &amp;Educator!B555</f>
        <v xml:space="preserve"> </v>
      </c>
      <c r="J550" s="49">
        <f>Educator!C555</f>
        <v>0</v>
      </c>
      <c r="K550" s="49" t="b">
        <f t="shared" si="21"/>
        <v>0</v>
      </c>
    </row>
    <row r="551" spans="1:11" x14ac:dyDescent="0.2">
      <c r="A55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","#",3))+1,1)&amp;"-"&amp;LEFT(Educator!B556, 3)&amp;"-"&amp;LEFT(Educator!A556, 3)&amp;"-"&amp;"2027"</f>
        <v>UID-FLH---2027</v>
      </c>
      <c r="C551" s="49">
        <f>Educator!C556</f>
        <v>0</v>
      </c>
      <c r="D551" s="49" t="b">
        <f t="shared" si="20"/>
        <v>0</v>
      </c>
      <c r="E551" s="49">
        <f>Educator!A556</f>
        <v>0</v>
      </c>
      <c r="F551" s="49">
        <f>Educator!B556</f>
        <v>0</v>
      </c>
      <c r="G551" s="49" t="str">
        <f>Educator!A556 &amp;" " &amp;Educator!B556</f>
        <v xml:space="preserve"> </v>
      </c>
      <c r="J551" s="49">
        <f>Educator!C556</f>
        <v>0</v>
      </c>
      <c r="K551" s="49" t="b">
        <f t="shared" si="21"/>
        <v>0</v>
      </c>
    </row>
    <row r="552" spans="1:11" x14ac:dyDescent="0.2">
      <c r="A55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","#",3))+1,1)&amp;"-"&amp;LEFT(Educator!B557, 3)&amp;"-"&amp;LEFT(Educator!A557, 3)&amp;"-"&amp;"2027"</f>
        <v>UID-FLH---2027</v>
      </c>
      <c r="C552" s="49">
        <f>Educator!C557</f>
        <v>0</v>
      </c>
      <c r="D552" s="49" t="b">
        <f t="shared" si="20"/>
        <v>0</v>
      </c>
      <c r="E552" s="49">
        <f>Educator!A557</f>
        <v>0</v>
      </c>
      <c r="F552" s="49">
        <f>Educator!B557</f>
        <v>0</v>
      </c>
      <c r="G552" s="49" t="str">
        <f>Educator!A557 &amp;" " &amp;Educator!B557</f>
        <v xml:space="preserve"> </v>
      </c>
      <c r="J552" s="49">
        <f>Educator!C557</f>
        <v>0</v>
      </c>
      <c r="K552" s="49" t="b">
        <f t="shared" si="21"/>
        <v>0</v>
      </c>
    </row>
    <row r="553" spans="1:11" x14ac:dyDescent="0.2">
      <c r="A55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","#",3))+1,1)&amp;"-"&amp;LEFT(Educator!B558, 3)&amp;"-"&amp;LEFT(Educator!A558, 3)&amp;"-"&amp;"2027"</f>
        <v>UID-FLH---2027</v>
      </c>
      <c r="C553" s="49">
        <f>Educator!C558</f>
        <v>0</v>
      </c>
      <c r="D553" s="49" t="b">
        <f t="shared" si="20"/>
        <v>0</v>
      </c>
      <c r="E553" s="49">
        <f>Educator!A558</f>
        <v>0</v>
      </c>
      <c r="F553" s="49">
        <f>Educator!B558</f>
        <v>0</v>
      </c>
      <c r="G553" s="49" t="str">
        <f>Educator!A558 &amp;" " &amp;Educator!B558</f>
        <v xml:space="preserve"> </v>
      </c>
      <c r="J553" s="49">
        <f>Educator!C558</f>
        <v>0</v>
      </c>
      <c r="K553" s="49" t="b">
        <f t="shared" si="21"/>
        <v>0</v>
      </c>
    </row>
    <row r="554" spans="1:11" x14ac:dyDescent="0.2">
      <c r="A55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","#",3))+1,1)&amp;"-"&amp;LEFT(Educator!B559, 3)&amp;"-"&amp;LEFT(Educator!A559, 3)&amp;"-"&amp;"2027"</f>
        <v>UID-FLH---2027</v>
      </c>
      <c r="C554" s="49">
        <f>Educator!C559</f>
        <v>0</v>
      </c>
      <c r="D554" s="49" t="b">
        <f t="shared" si="20"/>
        <v>0</v>
      </c>
      <c r="E554" s="49">
        <f>Educator!A559</f>
        <v>0</v>
      </c>
      <c r="F554" s="49">
        <f>Educator!B559</f>
        <v>0</v>
      </c>
      <c r="G554" s="49" t="str">
        <f>Educator!A559 &amp;" " &amp;Educator!B559</f>
        <v xml:space="preserve"> </v>
      </c>
      <c r="J554" s="49">
        <f>Educator!C559</f>
        <v>0</v>
      </c>
      <c r="K554" s="49" t="b">
        <f t="shared" si="21"/>
        <v>0</v>
      </c>
    </row>
    <row r="555" spans="1:11" x14ac:dyDescent="0.2">
      <c r="A55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","#",3))+1,1)&amp;"-"&amp;LEFT(Educator!B560, 3)&amp;"-"&amp;LEFT(Educator!A560, 3)&amp;"-"&amp;"2027"</f>
        <v>UID-FLH---2027</v>
      </c>
      <c r="C555" s="49">
        <f>Educator!C560</f>
        <v>0</v>
      </c>
      <c r="D555" s="49" t="b">
        <f t="shared" si="20"/>
        <v>0</v>
      </c>
      <c r="E555" s="49">
        <f>Educator!A560</f>
        <v>0</v>
      </c>
      <c r="F555" s="49">
        <f>Educator!B560</f>
        <v>0</v>
      </c>
      <c r="G555" s="49" t="str">
        <f>Educator!A560 &amp;" " &amp;Educator!B560</f>
        <v xml:space="preserve"> </v>
      </c>
      <c r="J555" s="49">
        <f>Educator!C560</f>
        <v>0</v>
      </c>
      <c r="K555" s="49" t="b">
        <f t="shared" si="21"/>
        <v>0</v>
      </c>
    </row>
    <row r="556" spans="1:11" x14ac:dyDescent="0.2">
      <c r="A55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","#",3))+1,1)&amp;"-"&amp;LEFT(Educator!B561, 3)&amp;"-"&amp;LEFT(Educator!A561, 3)&amp;"-"&amp;"2027"</f>
        <v>UID-FLH---2027</v>
      </c>
      <c r="C556" s="49">
        <f>Educator!C561</f>
        <v>0</v>
      </c>
      <c r="D556" s="49" t="b">
        <f t="shared" si="20"/>
        <v>0</v>
      </c>
      <c r="E556" s="49">
        <f>Educator!A561</f>
        <v>0</v>
      </c>
      <c r="F556" s="49">
        <f>Educator!B561</f>
        <v>0</v>
      </c>
      <c r="G556" s="49" t="str">
        <f>Educator!A561 &amp;" " &amp;Educator!B561</f>
        <v xml:space="preserve"> </v>
      </c>
      <c r="J556" s="49">
        <f>Educator!C561</f>
        <v>0</v>
      </c>
      <c r="K556" s="49" t="b">
        <f t="shared" si="21"/>
        <v>0</v>
      </c>
    </row>
    <row r="557" spans="1:11" x14ac:dyDescent="0.2">
      <c r="A55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","#",3))+1,1)&amp;"-"&amp;LEFT(Educator!B562, 3)&amp;"-"&amp;LEFT(Educator!A562, 3)&amp;"-"&amp;"2027"</f>
        <v>UID-FLH---2027</v>
      </c>
      <c r="C557" s="49">
        <f>Educator!C562</f>
        <v>0</v>
      </c>
      <c r="D557" s="49" t="b">
        <f t="shared" si="20"/>
        <v>0</v>
      </c>
      <c r="E557" s="49">
        <f>Educator!A562</f>
        <v>0</v>
      </c>
      <c r="F557" s="49">
        <f>Educator!B562</f>
        <v>0</v>
      </c>
      <c r="G557" s="49" t="str">
        <f>Educator!A562 &amp;" " &amp;Educator!B562</f>
        <v xml:space="preserve"> </v>
      </c>
      <c r="J557" s="49">
        <f>Educator!C562</f>
        <v>0</v>
      </c>
      <c r="K557" s="49" t="b">
        <f t="shared" si="21"/>
        <v>0</v>
      </c>
    </row>
    <row r="558" spans="1:11" x14ac:dyDescent="0.2">
      <c r="A55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","#",3))+1,1)&amp;"-"&amp;LEFT(Educator!B563, 3)&amp;"-"&amp;LEFT(Educator!A563, 3)&amp;"-"&amp;"2027"</f>
        <v>UID-FLH---2027</v>
      </c>
      <c r="C558" s="49">
        <f>Educator!C563</f>
        <v>0</v>
      </c>
      <c r="D558" s="49" t="b">
        <f t="shared" si="20"/>
        <v>0</v>
      </c>
      <c r="E558" s="49">
        <f>Educator!A563</f>
        <v>0</v>
      </c>
      <c r="F558" s="49">
        <f>Educator!B563</f>
        <v>0</v>
      </c>
      <c r="G558" s="49" t="str">
        <f>Educator!A563 &amp;" " &amp;Educator!B563</f>
        <v xml:space="preserve"> </v>
      </c>
      <c r="J558" s="49">
        <f>Educator!C563</f>
        <v>0</v>
      </c>
      <c r="K558" s="49" t="b">
        <f t="shared" si="21"/>
        <v>0</v>
      </c>
    </row>
    <row r="559" spans="1:11" x14ac:dyDescent="0.2">
      <c r="A55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","#",3))+1,1)&amp;"-"&amp;LEFT(Educator!B564, 3)&amp;"-"&amp;LEFT(Educator!A564, 3)&amp;"-"&amp;"2027"</f>
        <v>UID-FLH---2027</v>
      </c>
      <c r="C559" s="49">
        <f>Educator!C564</f>
        <v>0</v>
      </c>
      <c r="D559" s="49" t="b">
        <f t="shared" si="20"/>
        <v>0</v>
      </c>
      <c r="E559" s="49">
        <f>Educator!A564</f>
        <v>0</v>
      </c>
      <c r="F559" s="49">
        <f>Educator!B564</f>
        <v>0</v>
      </c>
      <c r="G559" s="49" t="str">
        <f>Educator!A564 &amp;" " &amp;Educator!B564</f>
        <v xml:space="preserve"> </v>
      </c>
      <c r="J559" s="49">
        <f>Educator!C564</f>
        <v>0</v>
      </c>
      <c r="K559" s="49" t="b">
        <f t="shared" si="21"/>
        <v>0</v>
      </c>
    </row>
    <row r="560" spans="1:11" x14ac:dyDescent="0.2">
      <c r="A56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","#",3))+1,1)&amp;"-"&amp;LEFT(Educator!B565, 3)&amp;"-"&amp;LEFT(Educator!A565, 3)&amp;"-"&amp;"2027"</f>
        <v>UID-FLH---2027</v>
      </c>
      <c r="C560" s="49">
        <f>Educator!C565</f>
        <v>0</v>
      </c>
      <c r="D560" s="49" t="b">
        <f t="shared" si="20"/>
        <v>0</v>
      </c>
      <c r="E560" s="49">
        <f>Educator!A565</f>
        <v>0</v>
      </c>
      <c r="F560" s="49">
        <f>Educator!B565</f>
        <v>0</v>
      </c>
      <c r="G560" s="49" t="str">
        <f>Educator!A565 &amp;" " &amp;Educator!B565</f>
        <v xml:space="preserve"> </v>
      </c>
      <c r="J560" s="49">
        <f>Educator!C565</f>
        <v>0</v>
      </c>
      <c r="K560" s="49" t="b">
        <f t="shared" si="21"/>
        <v>0</v>
      </c>
    </row>
    <row r="561" spans="1:11" x14ac:dyDescent="0.2">
      <c r="A56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","#",3))+1,1)&amp;"-"&amp;LEFT(Educator!B566, 3)&amp;"-"&amp;LEFT(Educator!A566, 3)&amp;"-"&amp;"2027"</f>
        <v>UID-FLH---2027</v>
      </c>
      <c r="C561" s="49">
        <f>Educator!C566</f>
        <v>0</v>
      </c>
      <c r="D561" s="49" t="b">
        <f t="shared" si="20"/>
        <v>0</v>
      </c>
      <c r="E561" s="49">
        <f>Educator!A566</f>
        <v>0</v>
      </c>
      <c r="F561" s="49">
        <f>Educator!B566</f>
        <v>0</v>
      </c>
      <c r="G561" s="49" t="str">
        <f>Educator!A566 &amp;" " &amp;Educator!B566</f>
        <v xml:space="preserve"> </v>
      </c>
      <c r="J561" s="49">
        <f>Educator!C566</f>
        <v>0</v>
      </c>
      <c r="K561" s="49" t="b">
        <f t="shared" si="21"/>
        <v>0</v>
      </c>
    </row>
    <row r="562" spans="1:11" x14ac:dyDescent="0.2">
      <c r="A56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","#",3))+1,1)&amp;"-"&amp;LEFT(Educator!B567, 3)&amp;"-"&amp;LEFT(Educator!A567, 3)&amp;"-"&amp;"2027"</f>
        <v>UID-FLH---2027</v>
      </c>
      <c r="C562" s="49">
        <f>Educator!C567</f>
        <v>0</v>
      </c>
      <c r="D562" s="49" t="b">
        <f t="shared" si="20"/>
        <v>0</v>
      </c>
      <c r="E562" s="49">
        <f>Educator!A567</f>
        <v>0</v>
      </c>
      <c r="F562" s="49">
        <f>Educator!B567</f>
        <v>0</v>
      </c>
      <c r="G562" s="49" t="str">
        <f>Educator!A567 &amp;" " &amp;Educator!B567</f>
        <v xml:space="preserve"> </v>
      </c>
      <c r="J562" s="49">
        <f>Educator!C567</f>
        <v>0</v>
      </c>
      <c r="K562" s="49" t="b">
        <f t="shared" si="21"/>
        <v>0</v>
      </c>
    </row>
    <row r="563" spans="1:11" x14ac:dyDescent="0.2">
      <c r="A56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","#",3))+1,1)&amp;"-"&amp;LEFT(Educator!B568, 3)&amp;"-"&amp;LEFT(Educator!A568, 3)&amp;"-"&amp;"2027"</f>
        <v>UID-FLH---2027</v>
      </c>
      <c r="C563" s="49">
        <f>Educator!C568</f>
        <v>0</v>
      </c>
      <c r="D563" s="49" t="b">
        <f t="shared" si="20"/>
        <v>0</v>
      </c>
      <c r="E563" s="49">
        <f>Educator!A568</f>
        <v>0</v>
      </c>
      <c r="F563" s="49">
        <f>Educator!B568</f>
        <v>0</v>
      </c>
      <c r="G563" s="49" t="str">
        <f>Educator!A568 &amp;" " &amp;Educator!B568</f>
        <v xml:space="preserve"> </v>
      </c>
      <c r="J563" s="49">
        <f>Educator!C568</f>
        <v>0</v>
      </c>
      <c r="K563" s="49" t="b">
        <f t="shared" si="21"/>
        <v>0</v>
      </c>
    </row>
    <row r="564" spans="1:11" x14ac:dyDescent="0.2">
      <c r="A56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","#",3))+1,1)&amp;"-"&amp;LEFT(Educator!B569, 3)&amp;"-"&amp;LEFT(Educator!A569, 3)&amp;"-"&amp;"2027"</f>
        <v>UID-FLH---2027</v>
      </c>
      <c r="C564" s="49">
        <f>Educator!C569</f>
        <v>0</v>
      </c>
      <c r="D564" s="49" t="b">
        <f t="shared" si="20"/>
        <v>0</v>
      </c>
      <c r="E564" s="49">
        <f>Educator!A569</f>
        <v>0</v>
      </c>
      <c r="F564" s="49">
        <f>Educator!B569</f>
        <v>0</v>
      </c>
      <c r="G564" s="49" t="str">
        <f>Educator!A569 &amp;" " &amp;Educator!B569</f>
        <v xml:space="preserve"> </v>
      </c>
      <c r="J564" s="49">
        <f>Educator!C569</f>
        <v>0</v>
      </c>
      <c r="K564" s="49" t="b">
        <f t="shared" si="21"/>
        <v>0</v>
      </c>
    </row>
    <row r="565" spans="1:11" x14ac:dyDescent="0.2">
      <c r="A56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","#",3))+1,1)&amp;"-"&amp;LEFT(Educator!B570, 3)&amp;"-"&amp;LEFT(Educator!A570, 3)&amp;"-"&amp;"2027"</f>
        <v>UID-FLH---2027</v>
      </c>
      <c r="C565" s="49">
        <f>Educator!C570</f>
        <v>0</v>
      </c>
      <c r="D565" s="49" t="b">
        <f t="shared" si="20"/>
        <v>0</v>
      </c>
      <c r="E565" s="49">
        <f>Educator!A570</f>
        <v>0</v>
      </c>
      <c r="F565" s="49">
        <f>Educator!B570</f>
        <v>0</v>
      </c>
      <c r="G565" s="49" t="str">
        <f>Educator!A570 &amp;" " &amp;Educator!B570</f>
        <v xml:space="preserve"> </v>
      </c>
      <c r="J565" s="49">
        <f>Educator!C570</f>
        <v>0</v>
      </c>
      <c r="K565" s="49" t="b">
        <f t="shared" si="21"/>
        <v>0</v>
      </c>
    </row>
    <row r="566" spans="1:11" x14ac:dyDescent="0.2">
      <c r="A56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","#",3))+1,1)&amp;"-"&amp;LEFT(Educator!B571, 3)&amp;"-"&amp;LEFT(Educator!A571, 3)&amp;"-"&amp;"2027"</f>
        <v>UID-FLH---2027</v>
      </c>
      <c r="C566" s="49">
        <f>Educator!C571</f>
        <v>0</v>
      </c>
      <c r="D566" s="49" t="b">
        <f t="shared" si="20"/>
        <v>0</v>
      </c>
      <c r="E566" s="49">
        <f>Educator!A571</f>
        <v>0</v>
      </c>
      <c r="F566" s="49">
        <f>Educator!B571</f>
        <v>0</v>
      </c>
      <c r="G566" s="49" t="str">
        <f>Educator!A571 &amp;" " &amp;Educator!B571</f>
        <v xml:space="preserve"> </v>
      </c>
      <c r="J566" s="49">
        <f>Educator!C571</f>
        <v>0</v>
      </c>
      <c r="K566" s="49" t="b">
        <f t="shared" si="21"/>
        <v>0</v>
      </c>
    </row>
    <row r="567" spans="1:11" x14ac:dyDescent="0.2">
      <c r="A56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","#",3))+1,1)&amp;"-"&amp;LEFT(Educator!B572, 3)&amp;"-"&amp;LEFT(Educator!A572, 3)&amp;"-"&amp;"2027"</f>
        <v>UID-FLH---2027</v>
      </c>
      <c r="C567" s="49">
        <f>Educator!C572</f>
        <v>0</v>
      </c>
      <c r="D567" s="49" t="b">
        <f t="shared" si="20"/>
        <v>0</v>
      </c>
      <c r="E567" s="49">
        <f>Educator!A572</f>
        <v>0</v>
      </c>
      <c r="F567" s="49">
        <f>Educator!B572</f>
        <v>0</v>
      </c>
      <c r="G567" s="49" t="str">
        <f>Educator!A572 &amp;" " &amp;Educator!B572</f>
        <v xml:space="preserve"> </v>
      </c>
      <c r="J567" s="49">
        <f>Educator!C572</f>
        <v>0</v>
      </c>
      <c r="K567" s="49" t="b">
        <f t="shared" si="21"/>
        <v>0</v>
      </c>
    </row>
    <row r="568" spans="1:11" x14ac:dyDescent="0.2">
      <c r="A56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","#",3))+1,1)&amp;"-"&amp;LEFT(Educator!B573, 3)&amp;"-"&amp;LEFT(Educator!A573, 3)&amp;"-"&amp;"2027"</f>
        <v>UID-FLH---2027</v>
      </c>
      <c r="C568" s="49">
        <f>Educator!C573</f>
        <v>0</v>
      </c>
      <c r="D568" s="49" t="b">
        <f t="shared" si="20"/>
        <v>0</v>
      </c>
      <c r="E568" s="49">
        <f>Educator!A573</f>
        <v>0</v>
      </c>
      <c r="F568" s="49">
        <f>Educator!B573</f>
        <v>0</v>
      </c>
      <c r="G568" s="49" t="str">
        <f>Educator!A573 &amp;" " &amp;Educator!B573</f>
        <v xml:space="preserve"> </v>
      </c>
      <c r="J568" s="49">
        <f>Educator!C573</f>
        <v>0</v>
      </c>
      <c r="K568" s="49" t="b">
        <f t="shared" si="21"/>
        <v>0</v>
      </c>
    </row>
    <row r="569" spans="1:11" x14ac:dyDescent="0.2">
      <c r="A56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","#",3))+1,1)&amp;"-"&amp;LEFT(Educator!B574, 3)&amp;"-"&amp;LEFT(Educator!A574, 3)&amp;"-"&amp;"2027"</f>
        <v>UID-FLH---2027</v>
      </c>
      <c r="C569" s="49">
        <f>Educator!C574</f>
        <v>0</v>
      </c>
      <c r="D569" s="49" t="b">
        <f t="shared" si="20"/>
        <v>0</v>
      </c>
      <c r="E569" s="49">
        <f>Educator!A574</f>
        <v>0</v>
      </c>
      <c r="F569" s="49">
        <f>Educator!B574</f>
        <v>0</v>
      </c>
      <c r="G569" s="49" t="str">
        <f>Educator!A574 &amp;" " &amp;Educator!B574</f>
        <v xml:space="preserve"> </v>
      </c>
      <c r="J569" s="49">
        <f>Educator!C574</f>
        <v>0</v>
      </c>
      <c r="K569" s="49" t="b">
        <f t="shared" si="21"/>
        <v>0</v>
      </c>
    </row>
    <row r="570" spans="1:11" x14ac:dyDescent="0.2">
      <c r="A57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","#",3))+1,1)&amp;"-"&amp;LEFT(Educator!B575, 3)&amp;"-"&amp;LEFT(Educator!A575, 3)&amp;"-"&amp;"2027"</f>
        <v>UID-FLH---2027</v>
      </c>
      <c r="C570" s="49">
        <f>Educator!C575</f>
        <v>0</v>
      </c>
      <c r="D570" s="49" t="b">
        <f t="shared" si="20"/>
        <v>0</v>
      </c>
      <c r="E570" s="49">
        <f>Educator!A575</f>
        <v>0</v>
      </c>
      <c r="F570" s="49">
        <f>Educator!B575</f>
        <v>0</v>
      </c>
      <c r="G570" s="49" t="str">
        <f>Educator!A575 &amp;" " &amp;Educator!B575</f>
        <v xml:space="preserve"> </v>
      </c>
      <c r="J570" s="49">
        <f>Educator!C575</f>
        <v>0</v>
      </c>
      <c r="K570" s="49" t="b">
        <f t="shared" si="21"/>
        <v>0</v>
      </c>
    </row>
    <row r="571" spans="1:11" x14ac:dyDescent="0.2">
      <c r="A57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","#",3))+1,1)&amp;"-"&amp;LEFT(Educator!B576, 3)&amp;"-"&amp;LEFT(Educator!A576, 3)&amp;"-"&amp;"2027"</f>
        <v>UID-FLH---2027</v>
      </c>
      <c r="C571" s="49">
        <f>Educator!C576</f>
        <v>0</v>
      </c>
      <c r="D571" s="49" t="b">
        <f t="shared" si="20"/>
        <v>0</v>
      </c>
      <c r="E571" s="49">
        <f>Educator!A576</f>
        <v>0</v>
      </c>
      <c r="F571" s="49">
        <f>Educator!B576</f>
        <v>0</v>
      </c>
      <c r="G571" s="49" t="str">
        <f>Educator!A576 &amp;" " &amp;Educator!B576</f>
        <v xml:space="preserve"> </v>
      </c>
      <c r="J571" s="49">
        <f>Educator!C576</f>
        <v>0</v>
      </c>
      <c r="K571" s="49" t="b">
        <f t="shared" si="21"/>
        <v>0</v>
      </c>
    </row>
    <row r="572" spans="1:11" x14ac:dyDescent="0.2">
      <c r="A57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","#",3))+1,1)&amp;"-"&amp;LEFT(Educator!B577, 3)&amp;"-"&amp;LEFT(Educator!A577, 3)&amp;"-"&amp;"2027"</f>
        <v>UID-FLH---2027</v>
      </c>
      <c r="C572" s="49">
        <f>Educator!C577</f>
        <v>0</v>
      </c>
      <c r="D572" s="49" t="b">
        <f t="shared" si="20"/>
        <v>0</v>
      </c>
      <c r="E572" s="49">
        <f>Educator!A577</f>
        <v>0</v>
      </c>
      <c r="F572" s="49">
        <f>Educator!B577</f>
        <v>0</v>
      </c>
      <c r="G572" s="49" t="str">
        <f>Educator!A577 &amp;" " &amp;Educator!B577</f>
        <v xml:space="preserve"> </v>
      </c>
      <c r="J572" s="49">
        <f>Educator!C577</f>
        <v>0</v>
      </c>
      <c r="K572" s="49" t="b">
        <f t="shared" si="21"/>
        <v>0</v>
      </c>
    </row>
    <row r="573" spans="1:11" x14ac:dyDescent="0.2">
      <c r="A57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","#",3))+1,1)&amp;"-"&amp;LEFT(Educator!B578, 3)&amp;"-"&amp;LEFT(Educator!A578, 3)&amp;"-"&amp;"2027"</f>
        <v>UID-FLH---2027</v>
      </c>
      <c r="C573" s="49">
        <f>Educator!C578</f>
        <v>0</v>
      </c>
      <c r="D573" s="49" t="b">
        <f t="shared" si="20"/>
        <v>0</v>
      </c>
      <c r="E573" s="49">
        <f>Educator!A578</f>
        <v>0</v>
      </c>
      <c r="F573" s="49">
        <f>Educator!B578</f>
        <v>0</v>
      </c>
      <c r="G573" s="49" t="str">
        <f>Educator!A578 &amp;" " &amp;Educator!B578</f>
        <v xml:space="preserve"> </v>
      </c>
      <c r="J573" s="49">
        <f>Educator!C578</f>
        <v>0</v>
      </c>
      <c r="K573" s="49" t="b">
        <f t="shared" si="21"/>
        <v>0</v>
      </c>
    </row>
    <row r="574" spans="1:11" x14ac:dyDescent="0.2">
      <c r="A57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","#",3))+1,1)&amp;"-"&amp;LEFT(Educator!B579, 3)&amp;"-"&amp;LEFT(Educator!A579, 3)&amp;"-"&amp;"2027"</f>
        <v>UID-FLH---2027</v>
      </c>
      <c r="C574" s="49">
        <f>Educator!C579</f>
        <v>0</v>
      </c>
      <c r="D574" s="49" t="b">
        <f t="shared" si="20"/>
        <v>0</v>
      </c>
      <c r="E574" s="49">
        <f>Educator!A579</f>
        <v>0</v>
      </c>
      <c r="F574" s="49">
        <f>Educator!B579</f>
        <v>0</v>
      </c>
      <c r="G574" s="49" t="str">
        <f>Educator!A579 &amp;" " &amp;Educator!B579</f>
        <v xml:space="preserve"> </v>
      </c>
      <c r="J574" s="49">
        <f>Educator!C579</f>
        <v>0</v>
      </c>
      <c r="K574" s="49" t="b">
        <f t="shared" si="21"/>
        <v>0</v>
      </c>
    </row>
    <row r="575" spans="1:11" x14ac:dyDescent="0.2">
      <c r="A57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","#",3))+1,1)&amp;"-"&amp;LEFT(Educator!B580, 3)&amp;"-"&amp;LEFT(Educator!A580, 3)&amp;"-"&amp;"2027"</f>
        <v>UID-FLH---2027</v>
      </c>
      <c r="C575" s="49">
        <f>Educator!C580</f>
        <v>0</v>
      </c>
      <c r="D575" s="49" t="b">
        <f t="shared" si="20"/>
        <v>0</v>
      </c>
      <c r="E575" s="49">
        <f>Educator!A580</f>
        <v>0</v>
      </c>
      <c r="F575" s="49">
        <f>Educator!B580</f>
        <v>0</v>
      </c>
      <c r="G575" s="49" t="str">
        <f>Educator!A580 &amp;" " &amp;Educator!B580</f>
        <v xml:space="preserve"> </v>
      </c>
      <c r="J575" s="49">
        <f>Educator!C580</f>
        <v>0</v>
      </c>
      <c r="K575" s="49" t="b">
        <f t="shared" si="21"/>
        <v>0</v>
      </c>
    </row>
    <row r="576" spans="1:11" x14ac:dyDescent="0.2">
      <c r="A57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","#",3))+1,1)&amp;"-"&amp;LEFT(Educator!B581, 3)&amp;"-"&amp;LEFT(Educator!A581, 3)&amp;"-"&amp;"2027"</f>
        <v>UID-FLH---2027</v>
      </c>
      <c r="C576" s="49">
        <f>Educator!C581</f>
        <v>0</v>
      </c>
      <c r="D576" s="49" t="b">
        <f t="shared" si="20"/>
        <v>0</v>
      </c>
      <c r="E576" s="49">
        <f>Educator!A581</f>
        <v>0</v>
      </c>
      <c r="F576" s="49">
        <f>Educator!B581</f>
        <v>0</v>
      </c>
      <c r="G576" s="49" t="str">
        <f>Educator!A581 &amp;" " &amp;Educator!B581</f>
        <v xml:space="preserve"> </v>
      </c>
      <c r="J576" s="49">
        <f>Educator!C581</f>
        <v>0</v>
      </c>
      <c r="K576" s="49" t="b">
        <f t="shared" si="21"/>
        <v>0</v>
      </c>
    </row>
    <row r="577" spans="1:11" x14ac:dyDescent="0.2">
      <c r="A57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","#",3))+1,1)&amp;"-"&amp;LEFT(Educator!B582, 3)&amp;"-"&amp;LEFT(Educator!A582, 3)&amp;"-"&amp;"2027"</f>
        <v>UID-FLH---2027</v>
      </c>
      <c r="C577" s="49">
        <f>Educator!C582</f>
        <v>0</v>
      </c>
      <c r="D577" s="49" t="b">
        <f t="shared" si="20"/>
        <v>0</v>
      </c>
      <c r="E577" s="49">
        <f>Educator!A582</f>
        <v>0</v>
      </c>
      <c r="F577" s="49">
        <f>Educator!B582</f>
        <v>0</v>
      </c>
      <c r="G577" s="49" t="str">
        <f>Educator!A582 &amp;" " &amp;Educator!B582</f>
        <v xml:space="preserve"> </v>
      </c>
      <c r="J577" s="49">
        <f>Educator!C582</f>
        <v>0</v>
      </c>
      <c r="K577" s="49" t="b">
        <f t="shared" si="21"/>
        <v>0</v>
      </c>
    </row>
    <row r="578" spans="1:11" x14ac:dyDescent="0.2">
      <c r="A57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","#",3))+1,1)&amp;"-"&amp;LEFT(Educator!B583, 3)&amp;"-"&amp;LEFT(Educator!A583, 3)&amp;"-"&amp;"2027"</f>
        <v>UID-FLH---2027</v>
      </c>
      <c r="C578" s="49">
        <f>Educator!C583</f>
        <v>0</v>
      </c>
      <c r="D578" s="49" t="b">
        <f t="shared" si="20"/>
        <v>0</v>
      </c>
      <c r="E578" s="49">
        <f>Educator!A583</f>
        <v>0</v>
      </c>
      <c r="F578" s="49">
        <f>Educator!B583</f>
        <v>0</v>
      </c>
      <c r="G578" s="49" t="str">
        <f>Educator!A583 &amp;" " &amp;Educator!B583</f>
        <v xml:space="preserve"> </v>
      </c>
      <c r="J578" s="49">
        <f>Educator!C583</f>
        <v>0</v>
      </c>
      <c r="K578" s="49" t="b">
        <f t="shared" si="21"/>
        <v>0</v>
      </c>
    </row>
    <row r="579" spans="1:11" x14ac:dyDescent="0.2">
      <c r="A57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","#",3))+1,1)&amp;"-"&amp;LEFT(Educator!B584, 3)&amp;"-"&amp;LEFT(Educator!A584, 3)&amp;"-"&amp;"2027"</f>
        <v>UID-FLH---2027</v>
      </c>
      <c r="C579" s="49">
        <f>Educator!C584</f>
        <v>0</v>
      </c>
      <c r="D579" s="49" t="b">
        <f t="shared" si="20"/>
        <v>0</v>
      </c>
      <c r="E579" s="49">
        <f>Educator!A584</f>
        <v>0</v>
      </c>
      <c r="F579" s="49">
        <f>Educator!B584</f>
        <v>0</v>
      </c>
      <c r="G579" s="49" t="str">
        <f>Educator!A584 &amp;" " &amp;Educator!B584</f>
        <v xml:space="preserve"> </v>
      </c>
      <c r="J579" s="49">
        <f>Educator!C584</f>
        <v>0</v>
      </c>
      <c r="K579" s="49" t="b">
        <f t="shared" si="21"/>
        <v>0</v>
      </c>
    </row>
    <row r="580" spans="1:11" x14ac:dyDescent="0.2">
      <c r="A58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","#",3))+1,1)&amp;"-"&amp;LEFT(Educator!B585, 3)&amp;"-"&amp;LEFT(Educator!A585, 3)&amp;"-"&amp;"2027"</f>
        <v>UID-FLH---2027</v>
      </c>
      <c r="C580" s="49">
        <f>Educator!C585</f>
        <v>0</v>
      </c>
      <c r="D580" s="49" t="b">
        <f t="shared" si="20"/>
        <v>0</v>
      </c>
      <c r="E580" s="49">
        <f>Educator!A585</f>
        <v>0</v>
      </c>
      <c r="F580" s="49">
        <f>Educator!B585</f>
        <v>0</v>
      </c>
      <c r="G580" s="49" t="str">
        <f>Educator!A585 &amp;" " &amp;Educator!B585</f>
        <v xml:space="preserve"> </v>
      </c>
      <c r="J580" s="49">
        <f>Educator!C585</f>
        <v>0</v>
      </c>
      <c r="K580" s="49" t="b">
        <f t="shared" si="21"/>
        <v>0</v>
      </c>
    </row>
    <row r="581" spans="1:11" x14ac:dyDescent="0.2">
      <c r="A58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","#",3))+1,1)&amp;"-"&amp;LEFT(Educator!B586, 3)&amp;"-"&amp;LEFT(Educator!A586, 3)&amp;"-"&amp;"2027"</f>
        <v>UID-FLH---2027</v>
      </c>
      <c r="C581" s="49">
        <f>Educator!C586</f>
        <v>0</v>
      </c>
      <c r="D581" s="49" t="b">
        <f t="shared" si="20"/>
        <v>0</v>
      </c>
      <c r="E581" s="49">
        <f>Educator!A586</f>
        <v>0</v>
      </c>
      <c r="F581" s="49">
        <f>Educator!B586</f>
        <v>0</v>
      </c>
      <c r="G581" s="49" t="str">
        <f>Educator!A586 &amp;" " &amp;Educator!B586</f>
        <v xml:space="preserve"> </v>
      </c>
      <c r="J581" s="49">
        <f>Educator!C586</f>
        <v>0</v>
      </c>
      <c r="K581" s="49" t="b">
        <f t="shared" si="21"/>
        <v>0</v>
      </c>
    </row>
    <row r="582" spans="1:11" x14ac:dyDescent="0.2">
      <c r="A58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","#",3))+1,1)&amp;"-"&amp;LEFT(Educator!B587, 3)&amp;"-"&amp;LEFT(Educator!A587, 3)&amp;"-"&amp;"2027"</f>
        <v>UID-FLH---2027</v>
      </c>
      <c r="C582" s="49">
        <f>Educator!C587</f>
        <v>0</v>
      </c>
      <c r="D582" s="49" t="b">
        <f t="shared" si="20"/>
        <v>0</v>
      </c>
      <c r="E582" s="49">
        <f>Educator!A587</f>
        <v>0</v>
      </c>
      <c r="F582" s="49">
        <f>Educator!B587</f>
        <v>0</v>
      </c>
      <c r="G582" s="49" t="str">
        <f>Educator!A587 &amp;" " &amp;Educator!B587</f>
        <v xml:space="preserve"> </v>
      </c>
      <c r="J582" s="49">
        <f>Educator!C587</f>
        <v>0</v>
      </c>
      <c r="K582" s="49" t="b">
        <f t="shared" si="21"/>
        <v>0</v>
      </c>
    </row>
    <row r="583" spans="1:11" x14ac:dyDescent="0.2">
      <c r="A58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","#",3))+1,1)&amp;"-"&amp;LEFT(Educator!B588, 3)&amp;"-"&amp;LEFT(Educator!A588, 3)&amp;"-"&amp;"2027"</f>
        <v>UID-FLH---2027</v>
      </c>
      <c r="C583" s="49">
        <f>Educator!C588</f>
        <v>0</v>
      </c>
      <c r="D583" s="49" t="b">
        <f t="shared" si="20"/>
        <v>0</v>
      </c>
      <c r="E583" s="49">
        <f>Educator!A588</f>
        <v>0</v>
      </c>
      <c r="F583" s="49">
        <f>Educator!B588</f>
        <v>0</v>
      </c>
      <c r="G583" s="49" t="str">
        <f>Educator!A588 &amp;" " &amp;Educator!B588</f>
        <v xml:space="preserve"> </v>
      </c>
      <c r="J583" s="49">
        <f>Educator!C588</f>
        <v>0</v>
      </c>
      <c r="K583" s="49" t="b">
        <f t="shared" si="21"/>
        <v>0</v>
      </c>
    </row>
    <row r="584" spans="1:11" x14ac:dyDescent="0.2">
      <c r="A58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","#",3))+1,1)&amp;"-"&amp;LEFT(Educator!B589, 3)&amp;"-"&amp;LEFT(Educator!A589, 3)&amp;"-"&amp;"2027"</f>
        <v>UID-FLH---2027</v>
      </c>
      <c r="C584" s="49">
        <f>Educator!C589</f>
        <v>0</v>
      </c>
      <c r="D584" s="49" t="b">
        <f t="shared" si="20"/>
        <v>0</v>
      </c>
      <c r="E584" s="49">
        <f>Educator!A589</f>
        <v>0</v>
      </c>
      <c r="F584" s="49">
        <f>Educator!B589</f>
        <v>0</v>
      </c>
      <c r="G584" s="49" t="str">
        <f>Educator!A589 &amp;" " &amp;Educator!B589</f>
        <v xml:space="preserve"> </v>
      </c>
      <c r="J584" s="49">
        <f>Educator!C589</f>
        <v>0</v>
      </c>
      <c r="K584" s="49" t="b">
        <f t="shared" si="21"/>
        <v>0</v>
      </c>
    </row>
    <row r="585" spans="1:11" x14ac:dyDescent="0.2">
      <c r="A58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","#",3))+1,1)&amp;"-"&amp;LEFT(Educator!B590, 3)&amp;"-"&amp;LEFT(Educator!A590, 3)&amp;"-"&amp;"2027"</f>
        <v>UID-FLH---2027</v>
      </c>
      <c r="C585" s="49">
        <f>Educator!C590</f>
        <v>0</v>
      </c>
      <c r="D585" s="49" t="b">
        <f t="shared" si="20"/>
        <v>0</v>
      </c>
      <c r="E585" s="49">
        <f>Educator!A590</f>
        <v>0</v>
      </c>
      <c r="F585" s="49">
        <f>Educator!B590</f>
        <v>0</v>
      </c>
      <c r="G585" s="49" t="str">
        <f>Educator!A590 &amp;" " &amp;Educator!B590</f>
        <v xml:space="preserve"> </v>
      </c>
      <c r="J585" s="49">
        <f>Educator!C590</f>
        <v>0</v>
      </c>
      <c r="K585" s="49" t="b">
        <f t="shared" si="21"/>
        <v>0</v>
      </c>
    </row>
    <row r="586" spans="1:11" x14ac:dyDescent="0.2">
      <c r="A58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","#",3))+1,1)&amp;"-"&amp;LEFT(Educator!B591, 3)&amp;"-"&amp;LEFT(Educator!A591, 3)&amp;"-"&amp;"2027"</f>
        <v>UID-FLH---2027</v>
      </c>
      <c r="C586" s="49">
        <f>Educator!C591</f>
        <v>0</v>
      </c>
      <c r="D586" s="49" t="b">
        <f t="shared" si="20"/>
        <v>0</v>
      </c>
      <c r="E586" s="49">
        <f>Educator!A591</f>
        <v>0</v>
      </c>
      <c r="F586" s="49">
        <f>Educator!B591</f>
        <v>0</v>
      </c>
      <c r="G586" s="49" t="str">
        <f>Educator!A591 &amp;" " &amp;Educator!B591</f>
        <v xml:space="preserve"> </v>
      </c>
      <c r="J586" s="49">
        <f>Educator!C591</f>
        <v>0</v>
      </c>
      <c r="K586" s="49" t="b">
        <f t="shared" si="21"/>
        <v>0</v>
      </c>
    </row>
    <row r="587" spans="1:11" x14ac:dyDescent="0.2">
      <c r="A58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","#",3))+1,1)&amp;"-"&amp;LEFT(Educator!B592, 3)&amp;"-"&amp;LEFT(Educator!A592, 3)&amp;"-"&amp;"2027"</f>
        <v>UID-FLH---2027</v>
      </c>
      <c r="C587" s="49">
        <f>Educator!C592</f>
        <v>0</v>
      </c>
      <c r="D587" s="49" t="b">
        <f t="shared" si="20"/>
        <v>0</v>
      </c>
      <c r="E587" s="49">
        <f>Educator!A592</f>
        <v>0</v>
      </c>
      <c r="F587" s="49">
        <f>Educator!B592</f>
        <v>0</v>
      </c>
      <c r="G587" s="49" t="str">
        <f>Educator!A592 &amp;" " &amp;Educator!B592</f>
        <v xml:space="preserve"> </v>
      </c>
      <c r="J587" s="49">
        <f>Educator!C592</f>
        <v>0</v>
      </c>
      <c r="K587" s="49" t="b">
        <f t="shared" si="21"/>
        <v>0</v>
      </c>
    </row>
    <row r="588" spans="1:11" x14ac:dyDescent="0.2">
      <c r="A58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","#",3))+1,1)&amp;"-"&amp;LEFT(Educator!B593, 3)&amp;"-"&amp;LEFT(Educator!A593, 3)&amp;"-"&amp;"2027"</f>
        <v>UID-FLH---2027</v>
      </c>
      <c r="C588" s="49">
        <f>Educator!C593</f>
        <v>0</v>
      </c>
      <c r="D588" s="49" t="b">
        <f t="shared" si="20"/>
        <v>0</v>
      </c>
      <c r="E588" s="49">
        <f>Educator!A593</f>
        <v>0</v>
      </c>
      <c r="F588" s="49">
        <f>Educator!B593</f>
        <v>0</v>
      </c>
      <c r="G588" s="49" t="str">
        <f>Educator!A593 &amp;" " &amp;Educator!B593</f>
        <v xml:space="preserve"> </v>
      </c>
      <c r="J588" s="49">
        <f>Educator!C593</f>
        <v>0</v>
      </c>
      <c r="K588" s="49" t="b">
        <f t="shared" si="21"/>
        <v>0</v>
      </c>
    </row>
    <row r="589" spans="1:11" x14ac:dyDescent="0.2">
      <c r="A58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","#",3))+1,1)&amp;"-"&amp;LEFT(Educator!B594, 3)&amp;"-"&amp;LEFT(Educator!A594, 3)&amp;"-"&amp;"2027"</f>
        <v>UID-FLH---2027</v>
      </c>
      <c r="C589" s="49">
        <f>Educator!C594</f>
        <v>0</v>
      </c>
      <c r="D589" s="49" t="b">
        <f t="shared" si="20"/>
        <v>0</v>
      </c>
      <c r="E589" s="49">
        <f>Educator!A594</f>
        <v>0</v>
      </c>
      <c r="F589" s="49">
        <f>Educator!B594</f>
        <v>0</v>
      </c>
      <c r="G589" s="49" t="str">
        <f>Educator!A594 &amp;" " &amp;Educator!B594</f>
        <v xml:space="preserve"> </v>
      </c>
      <c r="J589" s="49">
        <f>Educator!C594</f>
        <v>0</v>
      </c>
      <c r="K589" s="49" t="b">
        <f t="shared" si="21"/>
        <v>0</v>
      </c>
    </row>
    <row r="590" spans="1:11" x14ac:dyDescent="0.2">
      <c r="A59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","#",3))+1,1)&amp;"-"&amp;LEFT(Educator!B595, 3)&amp;"-"&amp;LEFT(Educator!A595, 3)&amp;"-"&amp;"2027"</f>
        <v>UID-FLH---2027</v>
      </c>
      <c r="C590" s="49">
        <f>Educator!C595</f>
        <v>0</v>
      </c>
      <c r="D590" s="49" t="b">
        <f t="shared" si="20"/>
        <v>0</v>
      </c>
      <c r="E590" s="49">
        <f>Educator!A595</f>
        <v>0</v>
      </c>
      <c r="F590" s="49">
        <f>Educator!B595</f>
        <v>0</v>
      </c>
      <c r="G590" s="49" t="str">
        <f>Educator!A595 &amp;" " &amp;Educator!B595</f>
        <v xml:space="preserve"> </v>
      </c>
      <c r="J590" s="49">
        <f>Educator!C595</f>
        <v>0</v>
      </c>
      <c r="K590" s="49" t="b">
        <f t="shared" si="21"/>
        <v>0</v>
      </c>
    </row>
    <row r="591" spans="1:11" x14ac:dyDescent="0.2">
      <c r="A59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","#",3))+1,1)&amp;"-"&amp;LEFT(Educator!B596, 3)&amp;"-"&amp;LEFT(Educator!A596, 3)&amp;"-"&amp;"2027"</f>
        <v>UID-FLH---2027</v>
      </c>
      <c r="C591" s="49">
        <f>Educator!C596</f>
        <v>0</v>
      </c>
      <c r="D591" s="49" t="b">
        <f t="shared" si="20"/>
        <v>0</v>
      </c>
      <c r="E591" s="49">
        <f>Educator!A596</f>
        <v>0</v>
      </c>
      <c r="F591" s="49">
        <f>Educator!B596</f>
        <v>0</v>
      </c>
      <c r="G591" s="49" t="str">
        <f>Educator!A596 &amp;" " &amp;Educator!B596</f>
        <v xml:space="preserve"> </v>
      </c>
      <c r="J591" s="49">
        <f>Educator!C596</f>
        <v>0</v>
      </c>
      <c r="K591" s="49" t="b">
        <f t="shared" si="21"/>
        <v>0</v>
      </c>
    </row>
    <row r="592" spans="1:11" x14ac:dyDescent="0.2">
      <c r="A59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","#",3))+1,1)&amp;"-"&amp;LEFT(Educator!B597, 3)&amp;"-"&amp;LEFT(Educator!A597, 3)&amp;"-"&amp;"2027"</f>
        <v>UID-FLH---2027</v>
      </c>
      <c r="C592" s="49">
        <f>Educator!C597</f>
        <v>0</v>
      </c>
      <c r="D592" s="49" t="b">
        <f t="shared" si="20"/>
        <v>0</v>
      </c>
      <c r="E592" s="49">
        <f>Educator!A597</f>
        <v>0</v>
      </c>
      <c r="F592" s="49">
        <f>Educator!B597</f>
        <v>0</v>
      </c>
      <c r="G592" s="49" t="str">
        <f>Educator!A597 &amp;" " &amp;Educator!B597</f>
        <v xml:space="preserve"> </v>
      </c>
      <c r="J592" s="49">
        <f>Educator!C597</f>
        <v>0</v>
      </c>
      <c r="K592" s="49" t="b">
        <f t="shared" si="21"/>
        <v>0</v>
      </c>
    </row>
    <row r="593" spans="1:11" x14ac:dyDescent="0.2">
      <c r="A59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","#",3))+1,1)&amp;"-"&amp;LEFT(Educator!B598, 3)&amp;"-"&amp;LEFT(Educator!A598, 3)&amp;"-"&amp;"2027"</f>
        <v>UID-FLH---2027</v>
      </c>
      <c r="C593" s="49">
        <f>Educator!C598</f>
        <v>0</v>
      </c>
      <c r="D593" s="49" t="b">
        <f t="shared" si="20"/>
        <v>0</v>
      </c>
      <c r="E593" s="49">
        <f>Educator!A598</f>
        <v>0</v>
      </c>
      <c r="F593" s="49">
        <f>Educator!B598</f>
        <v>0</v>
      </c>
      <c r="G593" s="49" t="str">
        <f>Educator!A598 &amp;" " &amp;Educator!B598</f>
        <v xml:space="preserve"> </v>
      </c>
      <c r="J593" s="49">
        <f>Educator!C598</f>
        <v>0</v>
      </c>
      <c r="K593" s="49" t="b">
        <f t="shared" si="21"/>
        <v>0</v>
      </c>
    </row>
    <row r="594" spans="1:11" x14ac:dyDescent="0.2">
      <c r="A59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","#",3))+1,1)&amp;"-"&amp;LEFT(Educator!B599, 3)&amp;"-"&amp;LEFT(Educator!A599, 3)&amp;"-"&amp;"2027"</f>
        <v>UID-FLH---2027</v>
      </c>
      <c r="C594" s="49">
        <f>Educator!C599</f>
        <v>0</v>
      </c>
      <c r="D594" s="49" t="b">
        <f t="shared" ref="D594:D649" si="22">IF(C594&gt;0,"topscore123")</f>
        <v>0</v>
      </c>
      <c r="E594" s="49">
        <f>Educator!A599</f>
        <v>0</v>
      </c>
      <c r="F594" s="49">
        <f>Educator!B599</f>
        <v>0</v>
      </c>
      <c r="G594" s="49" t="str">
        <f>Educator!A599 &amp;" " &amp;Educator!B599</f>
        <v xml:space="preserve"> </v>
      </c>
      <c r="J594" s="49">
        <f>Educator!C599</f>
        <v>0</v>
      </c>
      <c r="K594" s="49" t="b">
        <f t="shared" ref="K594:K649" si="23">IF(C594&gt;0,"active")</f>
        <v>0</v>
      </c>
    </row>
    <row r="595" spans="1:11" x14ac:dyDescent="0.2">
      <c r="A59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","#",3))+1,1)&amp;"-"&amp;LEFT(Educator!B600, 3)&amp;"-"&amp;LEFT(Educator!A600, 3)&amp;"-"&amp;"2027"</f>
        <v>UID-FLH---2027</v>
      </c>
      <c r="C595" s="49">
        <f>Educator!C600</f>
        <v>0</v>
      </c>
      <c r="D595" s="49" t="b">
        <f t="shared" si="22"/>
        <v>0</v>
      </c>
      <c r="E595" s="49">
        <f>Educator!A600</f>
        <v>0</v>
      </c>
      <c r="F595" s="49">
        <f>Educator!B600</f>
        <v>0</v>
      </c>
      <c r="G595" s="49" t="str">
        <f>Educator!A600 &amp;" " &amp;Educator!B600</f>
        <v xml:space="preserve"> </v>
      </c>
      <c r="J595" s="49">
        <f>Educator!C600</f>
        <v>0</v>
      </c>
      <c r="K595" s="49" t="b">
        <f t="shared" si="23"/>
        <v>0</v>
      </c>
    </row>
    <row r="596" spans="1:11" x14ac:dyDescent="0.2">
      <c r="A59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","#",3))+1,1)&amp;"-"&amp;LEFT(Educator!B601, 3)&amp;"-"&amp;LEFT(Educator!A601, 3)&amp;"-"&amp;"2027"</f>
        <v>UID-FLH---2027</v>
      </c>
      <c r="C596" s="49">
        <f>Educator!C601</f>
        <v>0</v>
      </c>
      <c r="D596" s="49" t="b">
        <f t="shared" si="22"/>
        <v>0</v>
      </c>
      <c r="E596" s="49">
        <f>Educator!A601</f>
        <v>0</v>
      </c>
      <c r="F596" s="49">
        <f>Educator!B601</f>
        <v>0</v>
      </c>
      <c r="G596" s="49" t="str">
        <f>Educator!A601 &amp;" " &amp;Educator!B601</f>
        <v xml:space="preserve"> </v>
      </c>
      <c r="J596" s="49">
        <f>Educator!C601</f>
        <v>0</v>
      </c>
      <c r="K596" s="49" t="b">
        <f t="shared" si="23"/>
        <v>0</v>
      </c>
    </row>
    <row r="597" spans="1:11" x14ac:dyDescent="0.2">
      <c r="A59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","#",3))+1,1)&amp;"-"&amp;LEFT(Educator!B602, 3)&amp;"-"&amp;LEFT(Educator!A602, 3)&amp;"-"&amp;"2027"</f>
        <v>UID-FLH---2027</v>
      </c>
      <c r="C597" s="49">
        <f>Educator!C602</f>
        <v>0</v>
      </c>
      <c r="D597" s="49" t="b">
        <f t="shared" si="22"/>
        <v>0</v>
      </c>
      <c r="E597" s="49">
        <f>Educator!A602</f>
        <v>0</v>
      </c>
      <c r="F597" s="49">
        <f>Educator!B602</f>
        <v>0</v>
      </c>
      <c r="G597" s="49" t="str">
        <f>Educator!A602 &amp;" " &amp;Educator!B602</f>
        <v xml:space="preserve"> </v>
      </c>
      <c r="J597" s="49">
        <f>Educator!C602</f>
        <v>0</v>
      </c>
      <c r="K597" s="49" t="b">
        <f t="shared" si="23"/>
        <v>0</v>
      </c>
    </row>
    <row r="598" spans="1:11" x14ac:dyDescent="0.2">
      <c r="A59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","#",3))+1,1)&amp;"-"&amp;LEFT(Educator!B603, 3)&amp;"-"&amp;LEFT(Educator!A603, 3)&amp;"-"&amp;"2027"</f>
        <v>UID-FLH---2027</v>
      </c>
      <c r="C598" s="49">
        <f>Educator!C603</f>
        <v>0</v>
      </c>
      <c r="D598" s="49" t="b">
        <f t="shared" si="22"/>
        <v>0</v>
      </c>
      <c r="E598" s="49">
        <f>Educator!A603</f>
        <v>0</v>
      </c>
      <c r="F598" s="49">
        <f>Educator!B603</f>
        <v>0</v>
      </c>
      <c r="G598" s="49" t="str">
        <f>Educator!A603 &amp;" " &amp;Educator!B603</f>
        <v xml:space="preserve"> </v>
      </c>
      <c r="J598" s="49">
        <f>Educator!C603</f>
        <v>0</v>
      </c>
      <c r="K598" s="49" t="b">
        <f t="shared" si="23"/>
        <v>0</v>
      </c>
    </row>
    <row r="599" spans="1:11" x14ac:dyDescent="0.2">
      <c r="A59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","#",3))+1,1)&amp;"-"&amp;LEFT(Educator!B604, 3)&amp;"-"&amp;LEFT(Educator!A604, 3)&amp;"-"&amp;"2027"</f>
        <v>UID-FLH---2027</v>
      </c>
      <c r="C599" s="49">
        <f>Educator!C604</f>
        <v>0</v>
      </c>
      <c r="D599" s="49" t="b">
        <f t="shared" si="22"/>
        <v>0</v>
      </c>
      <c r="E599" s="49">
        <f>Educator!A604</f>
        <v>0</v>
      </c>
      <c r="F599" s="49">
        <f>Educator!B604</f>
        <v>0</v>
      </c>
      <c r="G599" s="49" t="str">
        <f>Educator!A604 &amp;" " &amp;Educator!B604</f>
        <v xml:space="preserve"> </v>
      </c>
      <c r="J599" s="49">
        <f>Educator!C604</f>
        <v>0</v>
      </c>
      <c r="K599" s="49" t="b">
        <f t="shared" si="23"/>
        <v>0</v>
      </c>
    </row>
    <row r="600" spans="1:11" x14ac:dyDescent="0.2">
      <c r="A60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","#",3))+1,1)&amp;"-"&amp;LEFT(Educator!B605, 3)&amp;"-"&amp;LEFT(Educator!A605, 3)&amp;"-"&amp;"2027"</f>
        <v>UID-FLH---2027</v>
      </c>
      <c r="C600" s="49">
        <f>Educator!C605</f>
        <v>0</v>
      </c>
      <c r="D600" s="49" t="b">
        <f t="shared" si="22"/>
        <v>0</v>
      </c>
      <c r="E600" s="49">
        <f>Educator!A605</f>
        <v>0</v>
      </c>
      <c r="F600" s="49">
        <f>Educator!B605</f>
        <v>0</v>
      </c>
      <c r="G600" s="49" t="str">
        <f>Educator!A605 &amp;" " &amp;Educator!B605</f>
        <v xml:space="preserve"> </v>
      </c>
      <c r="J600" s="49">
        <f>Educator!C605</f>
        <v>0</v>
      </c>
      <c r="K600" s="49" t="b">
        <f t="shared" si="23"/>
        <v>0</v>
      </c>
    </row>
    <row r="601" spans="1:11" x14ac:dyDescent="0.2">
      <c r="A60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","#",3))+1,1)&amp;"-"&amp;LEFT(Educator!B606, 3)&amp;"-"&amp;LEFT(Educator!A606, 3)&amp;"-"&amp;"2027"</f>
        <v>UID-FLH---2027</v>
      </c>
      <c r="C601" s="49">
        <f>Educator!C606</f>
        <v>0</v>
      </c>
      <c r="D601" s="49" t="b">
        <f t="shared" si="22"/>
        <v>0</v>
      </c>
      <c r="E601" s="49">
        <f>Educator!A606</f>
        <v>0</v>
      </c>
      <c r="F601" s="49">
        <f>Educator!B606</f>
        <v>0</v>
      </c>
      <c r="G601" s="49" t="str">
        <f>Educator!A606 &amp;" " &amp;Educator!B606</f>
        <v xml:space="preserve"> </v>
      </c>
      <c r="J601" s="49">
        <f>Educator!C606</f>
        <v>0</v>
      </c>
      <c r="K601" s="49" t="b">
        <f t="shared" si="23"/>
        <v>0</v>
      </c>
    </row>
    <row r="602" spans="1:11" x14ac:dyDescent="0.2">
      <c r="A60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","#",3))+1,1)&amp;"-"&amp;LEFT(Educator!B607, 3)&amp;"-"&amp;LEFT(Educator!A607, 3)&amp;"-"&amp;"2027"</f>
        <v>UID-FLH---2027</v>
      </c>
      <c r="C602" s="49">
        <f>Educator!C607</f>
        <v>0</v>
      </c>
      <c r="D602" s="49" t="b">
        <f t="shared" si="22"/>
        <v>0</v>
      </c>
      <c r="E602" s="49">
        <f>Educator!A607</f>
        <v>0</v>
      </c>
      <c r="F602" s="49">
        <f>Educator!B607</f>
        <v>0</v>
      </c>
      <c r="G602" s="49" t="str">
        <f>Educator!A607 &amp;" " &amp;Educator!B607</f>
        <v xml:space="preserve"> </v>
      </c>
      <c r="J602" s="49">
        <f>Educator!C607</f>
        <v>0</v>
      </c>
      <c r="K602" s="49" t="b">
        <f t="shared" si="23"/>
        <v>0</v>
      </c>
    </row>
    <row r="603" spans="1:11" x14ac:dyDescent="0.2">
      <c r="A60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","#",3))+1,1)&amp;"-"&amp;LEFT(Educator!B608, 3)&amp;"-"&amp;LEFT(Educator!A608, 3)&amp;"-"&amp;"2027"</f>
        <v>UID-FLH---2027</v>
      </c>
      <c r="C603" s="49">
        <f>Educator!C608</f>
        <v>0</v>
      </c>
      <c r="D603" s="49" t="b">
        <f t="shared" si="22"/>
        <v>0</v>
      </c>
      <c r="E603" s="49">
        <f>Educator!A608</f>
        <v>0</v>
      </c>
      <c r="F603" s="49">
        <f>Educator!B608</f>
        <v>0</v>
      </c>
      <c r="G603" s="49" t="str">
        <f>Educator!A608 &amp;" " &amp;Educator!B608</f>
        <v xml:space="preserve"> </v>
      </c>
      <c r="J603" s="49">
        <f>Educator!C608</f>
        <v>0</v>
      </c>
      <c r="K603" s="49" t="b">
        <f t="shared" si="23"/>
        <v>0</v>
      </c>
    </row>
    <row r="604" spans="1:11" x14ac:dyDescent="0.2">
      <c r="A60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","#",3))+1,1)&amp;"-"&amp;LEFT(Educator!B609, 3)&amp;"-"&amp;LEFT(Educator!A609, 3)&amp;"-"&amp;"2027"</f>
        <v>UID-FLH---2027</v>
      </c>
      <c r="C604" s="49">
        <f>Educator!C609</f>
        <v>0</v>
      </c>
      <c r="D604" s="49" t="b">
        <f t="shared" si="22"/>
        <v>0</v>
      </c>
      <c r="E604" s="49">
        <f>Educator!A609</f>
        <v>0</v>
      </c>
      <c r="F604" s="49">
        <f>Educator!B609</f>
        <v>0</v>
      </c>
      <c r="G604" s="49" t="str">
        <f>Educator!A609 &amp;" " &amp;Educator!B609</f>
        <v xml:space="preserve"> </v>
      </c>
      <c r="J604" s="49">
        <f>Educator!C609</f>
        <v>0</v>
      </c>
      <c r="K604" s="49" t="b">
        <f t="shared" si="23"/>
        <v>0</v>
      </c>
    </row>
    <row r="605" spans="1:11" x14ac:dyDescent="0.2">
      <c r="A60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","#",3))+1,1)&amp;"-"&amp;LEFT(Educator!B610, 3)&amp;"-"&amp;LEFT(Educator!A610, 3)&amp;"-"&amp;"2027"</f>
        <v>UID-FLH---2027</v>
      </c>
      <c r="C605" s="49">
        <f>Educator!C610</f>
        <v>0</v>
      </c>
      <c r="D605" s="49" t="b">
        <f t="shared" si="22"/>
        <v>0</v>
      </c>
      <c r="E605" s="49">
        <f>Educator!A610</f>
        <v>0</v>
      </c>
      <c r="F605" s="49">
        <f>Educator!B610</f>
        <v>0</v>
      </c>
      <c r="G605" s="49" t="str">
        <f>Educator!A610 &amp;" " &amp;Educator!B610</f>
        <v xml:space="preserve"> </v>
      </c>
      <c r="J605" s="49">
        <f>Educator!C610</f>
        <v>0</v>
      </c>
      <c r="K605" s="49" t="b">
        <f t="shared" si="23"/>
        <v>0</v>
      </c>
    </row>
    <row r="606" spans="1:11" x14ac:dyDescent="0.2">
      <c r="A60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","#",3))+1,1)&amp;"-"&amp;LEFT(Educator!B611, 3)&amp;"-"&amp;LEFT(Educator!A611, 3)&amp;"-"&amp;"2027"</f>
        <v>UID-FLH---2027</v>
      </c>
      <c r="C606" s="49">
        <f>Educator!C611</f>
        <v>0</v>
      </c>
      <c r="D606" s="49" t="b">
        <f t="shared" si="22"/>
        <v>0</v>
      </c>
      <c r="E606" s="49">
        <f>Educator!A611</f>
        <v>0</v>
      </c>
      <c r="F606" s="49">
        <f>Educator!B611</f>
        <v>0</v>
      </c>
      <c r="G606" s="49" t="str">
        <f>Educator!A611 &amp;" " &amp;Educator!B611</f>
        <v xml:space="preserve"> </v>
      </c>
      <c r="J606" s="49">
        <f>Educator!C611</f>
        <v>0</v>
      </c>
      <c r="K606" s="49" t="b">
        <f t="shared" si="23"/>
        <v>0</v>
      </c>
    </row>
    <row r="607" spans="1:11" x14ac:dyDescent="0.2">
      <c r="A60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","#",3))+1,1)&amp;"-"&amp;LEFT(Educator!B612, 3)&amp;"-"&amp;LEFT(Educator!A612, 3)&amp;"-"&amp;"2027"</f>
        <v>UID-FLH---2027</v>
      </c>
      <c r="C607" s="49">
        <f>Educator!C612</f>
        <v>0</v>
      </c>
      <c r="D607" s="49" t="b">
        <f t="shared" si="22"/>
        <v>0</v>
      </c>
      <c r="E607" s="49">
        <f>Educator!A612</f>
        <v>0</v>
      </c>
      <c r="F607" s="49">
        <f>Educator!B612</f>
        <v>0</v>
      </c>
      <c r="G607" s="49" t="str">
        <f>Educator!A612 &amp;" " &amp;Educator!B612</f>
        <v xml:space="preserve"> </v>
      </c>
      <c r="J607" s="49">
        <f>Educator!C612</f>
        <v>0</v>
      </c>
      <c r="K607" s="49" t="b">
        <f t="shared" si="23"/>
        <v>0</v>
      </c>
    </row>
    <row r="608" spans="1:11" x14ac:dyDescent="0.2">
      <c r="A60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","#",3))+1,1)&amp;"-"&amp;LEFT(Educator!B613, 3)&amp;"-"&amp;LEFT(Educator!A613, 3)&amp;"-"&amp;"2027"</f>
        <v>UID-FLH---2027</v>
      </c>
      <c r="C608" s="49">
        <f>Educator!C613</f>
        <v>0</v>
      </c>
      <c r="D608" s="49" t="b">
        <f t="shared" si="22"/>
        <v>0</v>
      </c>
      <c r="E608" s="49">
        <f>Educator!A613</f>
        <v>0</v>
      </c>
      <c r="F608" s="49">
        <f>Educator!B613</f>
        <v>0</v>
      </c>
      <c r="G608" s="49" t="str">
        <f>Educator!A613 &amp;" " &amp;Educator!B613</f>
        <v xml:space="preserve"> </v>
      </c>
      <c r="J608" s="49">
        <f>Educator!C613</f>
        <v>0</v>
      </c>
      <c r="K608" s="49" t="b">
        <f t="shared" si="23"/>
        <v>0</v>
      </c>
    </row>
    <row r="609" spans="1:11" x14ac:dyDescent="0.2">
      <c r="A60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","#",3))+1,1)&amp;"-"&amp;LEFT(Educator!B614, 3)&amp;"-"&amp;LEFT(Educator!A614, 3)&amp;"-"&amp;"2027"</f>
        <v>UID-FLH---2027</v>
      </c>
      <c r="C609" s="49">
        <f>Educator!C614</f>
        <v>0</v>
      </c>
      <c r="D609" s="49" t="b">
        <f t="shared" si="22"/>
        <v>0</v>
      </c>
      <c r="E609" s="49">
        <f>Educator!A614</f>
        <v>0</v>
      </c>
      <c r="F609" s="49">
        <f>Educator!B614</f>
        <v>0</v>
      </c>
      <c r="G609" s="49" t="str">
        <f>Educator!A614 &amp;" " &amp;Educator!B614</f>
        <v xml:space="preserve"> </v>
      </c>
      <c r="J609" s="49">
        <f>Educator!C614</f>
        <v>0</v>
      </c>
      <c r="K609" s="49" t="b">
        <f t="shared" si="23"/>
        <v>0</v>
      </c>
    </row>
    <row r="610" spans="1:11" x14ac:dyDescent="0.2">
      <c r="A61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","#",3))+1,1)&amp;"-"&amp;LEFT(Educator!B615, 3)&amp;"-"&amp;LEFT(Educator!A615, 3)&amp;"-"&amp;"2027"</f>
        <v>UID-FLH---2027</v>
      </c>
      <c r="C610" s="49">
        <f>Educator!C615</f>
        <v>0</v>
      </c>
      <c r="D610" s="49" t="b">
        <f t="shared" si="22"/>
        <v>0</v>
      </c>
      <c r="E610" s="49">
        <f>Educator!A615</f>
        <v>0</v>
      </c>
      <c r="F610" s="49">
        <f>Educator!B615</f>
        <v>0</v>
      </c>
      <c r="G610" s="49" t="str">
        <f>Educator!A615 &amp;" " &amp;Educator!B615</f>
        <v xml:space="preserve"> </v>
      </c>
      <c r="J610" s="49">
        <f>Educator!C615</f>
        <v>0</v>
      </c>
      <c r="K610" s="49" t="b">
        <f t="shared" si="23"/>
        <v>0</v>
      </c>
    </row>
    <row r="611" spans="1:11" x14ac:dyDescent="0.2">
      <c r="A61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","#",3))+1,1)&amp;"-"&amp;LEFT(Educator!B616, 3)&amp;"-"&amp;LEFT(Educator!A616, 3)&amp;"-"&amp;"2027"</f>
        <v>UID-FLH---2027</v>
      </c>
      <c r="C611" s="49">
        <f>Educator!C616</f>
        <v>0</v>
      </c>
      <c r="D611" s="49" t="b">
        <f t="shared" si="22"/>
        <v>0</v>
      </c>
      <c r="E611" s="49">
        <f>Educator!A616</f>
        <v>0</v>
      </c>
      <c r="F611" s="49">
        <f>Educator!B616</f>
        <v>0</v>
      </c>
      <c r="G611" s="49" t="str">
        <f>Educator!A616 &amp;" " &amp;Educator!B616</f>
        <v xml:space="preserve"> </v>
      </c>
      <c r="J611" s="49">
        <f>Educator!C616</f>
        <v>0</v>
      </c>
      <c r="K611" s="49" t="b">
        <f t="shared" si="23"/>
        <v>0</v>
      </c>
    </row>
    <row r="612" spans="1:11" x14ac:dyDescent="0.2">
      <c r="A61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","#",3))+1,1)&amp;"-"&amp;LEFT(Educator!B617, 3)&amp;"-"&amp;LEFT(Educator!A617, 3)&amp;"-"&amp;"2027"</f>
        <v>UID-FLH---2027</v>
      </c>
      <c r="C612" s="49">
        <f>Educator!C617</f>
        <v>0</v>
      </c>
      <c r="D612" s="49" t="b">
        <f t="shared" si="22"/>
        <v>0</v>
      </c>
      <c r="E612" s="49">
        <f>Educator!A617</f>
        <v>0</v>
      </c>
      <c r="F612" s="49">
        <f>Educator!B617</f>
        <v>0</v>
      </c>
      <c r="G612" s="49" t="str">
        <f>Educator!A617 &amp;" " &amp;Educator!B617</f>
        <v xml:space="preserve"> </v>
      </c>
      <c r="J612" s="49">
        <f>Educator!C617</f>
        <v>0</v>
      </c>
      <c r="K612" s="49" t="b">
        <f t="shared" si="23"/>
        <v>0</v>
      </c>
    </row>
    <row r="613" spans="1:11" x14ac:dyDescent="0.2">
      <c r="A61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","#",3))+1,1)&amp;"-"&amp;LEFT(Educator!B618, 3)&amp;"-"&amp;LEFT(Educator!A618, 3)&amp;"-"&amp;"2027"</f>
        <v>UID-FLH---2027</v>
      </c>
      <c r="C613" s="49">
        <f>Educator!C618</f>
        <v>0</v>
      </c>
      <c r="D613" s="49" t="b">
        <f t="shared" si="22"/>
        <v>0</v>
      </c>
      <c r="E613" s="49">
        <f>Educator!A618</f>
        <v>0</v>
      </c>
      <c r="F613" s="49">
        <f>Educator!B618</f>
        <v>0</v>
      </c>
      <c r="G613" s="49" t="str">
        <f>Educator!A618 &amp;" " &amp;Educator!B618</f>
        <v xml:space="preserve"> </v>
      </c>
      <c r="J613" s="49">
        <f>Educator!C618</f>
        <v>0</v>
      </c>
      <c r="K613" s="49" t="b">
        <f t="shared" si="23"/>
        <v>0</v>
      </c>
    </row>
    <row r="614" spans="1:11" x14ac:dyDescent="0.2">
      <c r="A61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","#",3))+1,1)&amp;"-"&amp;LEFT(Educator!B619, 3)&amp;"-"&amp;LEFT(Educator!A619, 3)&amp;"-"&amp;"2027"</f>
        <v>UID-FLH---2027</v>
      </c>
      <c r="C614" s="49">
        <f>Educator!C619</f>
        <v>0</v>
      </c>
      <c r="D614" s="49" t="b">
        <f t="shared" si="22"/>
        <v>0</v>
      </c>
      <c r="E614" s="49">
        <f>Educator!A619</f>
        <v>0</v>
      </c>
      <c r="F614" s="49">
        <f>Educator!B619</f>
        <v>0</v>
      </c>
      <c r="G614" s="49" t="str">
        <f>Educator!A619 &amp;" " &amp;Educator!B619</f>
        <v xml:space="preserve"> </v>
      </c>
      <c r="J614" s="49">
        <f>Educator!C619</f>
        <v>0</v>
      </c>
      <c r="K614" s="49" t="b">
        <f t="shared" si="23"/>
        <v>0</v>
      </c>
    </row>
    <row r="615" spans="1:11" x14ac:dyDescent="0.2">
      <c r="A61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","#",3))+1,1)&amp;"-"&amp;LEFT(Educator!B620, 3)&amp;"-"&amp;LEFT(Educator!A620, 3)&amp;"-"&amp;"2027"</f>
        <v>UID-FLH---2027</v>
      </c>
      <c r="C615" s="49">
        <f>Educator!C620</f>
        <v>0</v>
      </c>
      <c r="D615" s="49" t="b">
        <f t="shared" si="22"/>
        <v>0</v>
      </c>
      <c r="E615" s="49">
        <f>Educator!A620</f>
        <v>0</v>
      </c>
      <c r="F615" s="49">
        <f>Educator!B620</f>
        <v>0</v>
      </c>
      <c r="G615" s="49" t="str">
        <f>Educator!A620 &amp;" " &amp;Educator!B620</f>
        <v xml:space="preserve"> </v>
      </c>
      <c r="J615" s="49">
        <f>Educator!C620</f>
        <v>0</v>
      </c>
      <c r="K615" s="49" t="b">
        <f t="shared" si="23"/>
        <v>0</v>
      </c>
    </row>
    <row r="616" spans="1:11" x14ac:dyDescent="0.2">
      <c r="A61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","#",3))+1,1)&amp;"-"&amp;LEFT(Educator!B621, 3)&amp;"-"&amp;LEFT(Educator!A621, 3)&amp;"-"&amp;"2027"</f>
        <v>UID-FLH---2027</v>
      </c>
      <c r="C616" s="49">
        <f>Educator!C621</f>
        <v>0</v>
      </c>
      <c r="D616" s="49" t="b">
        <f t="shared" si="22"/>
        <v>0</v>
      </c>
      <c r="E616" s="49">
        <f>Educator!A621</f>
        <v>0</v>
      </c>
      <c r="F616" s="49">
        <f>Educator!B621</f>
        <v>0</v>
      </c>
      <c r="G616" s="49" t="str">
        <f>Educator!A621 &amp;" " &amp;Educator!B621</f>
        <v xml:space="preserve"> </v>
      </c>
      <c r="J616" s="49">
        <f>Educator!C621</f>
        <v>0</v>
      </c>
      <c r="K616" s="49" t="b">
        <f t="shared" si="23"/>
        <v>0</v>
      </c>
    </row>
    <row r="617" spans="1:11" x14ac:dyDescent="0.2">
      <c r="A61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","#",3))+1,1)&amp;"-"&amp;LEFT(Educator!B622, 3)&amp;"-"&amp;LEFT(Educator!A622, 3)&amp;"-"&amp;"2027"</f>
        <v>UID-FLH---2027</v>
      </c>
      <c r="C617" s="49">
        <f>Educator!C622</f>
        <v>0</v>
      </c>
      <c r="D617" s="49" t="b">
        <f t="shared" si="22"/>
        <v>0</v>
      </c>
      <c r="E617" s="49">
        <f>Educator!A622</f>
        <v>0</v>
      </c>
      <c r="F617" s="49">
        <f>Educator!B622</f>
        <v>0</v>
      </c>
      <c r="G617" s="49" t="str">
        <f>Educator!A622 &amp;" " &amp;Educator!B622</f>
        <v xml:space="preserve"> </v>
      </c>
      <c r="J617" s="49">
        <f>Educator!C622</f>
        <v>0</v>
      </c>
      <c r="K617" s="49" t="b">
        <f t="shared" si="23"/>
        <v>0</v>
      </c>
    </row>
    <row r="618" spans="1:11" x14ac:dyDescent="0.2">
      <c r="A61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","#",3))+1,1)&amp;"-"&amp;LEFT(Educator!B623, 3)&amp;"-"&amp;LEFT(Educator!A623, 3)&amp;"-"&amp;"2027"</f>
        <v>UID-FLH---2027</v>
      </c>
      <c r="C618" s="49">
        <f>Educator!C623</f>
        <v>0</v>
      </c>
      <c r="D618" s="49" t="b">
        <f t="shared" si="22"/>
        <v>0</v>
      </c>
      <c r="E618" s="49">
        <f>Educator!A623</f>
        <v>0</v>
      </c>
      <c r="F618" s="49">
        <f>Educator!B623</f>
        <v>0</v>
      </c>
      <c r="G618" s="49" t="str">
        <f>Educator!A623 &amp;" " &amp;Educator!B623</f>
        <v xml:space="preserve"> </v>
      </c>
      <c r="J618" s="49">
        <f>Educator!C623</f>
        <v>0</v>
      </c>
      <c r="K618" s="49" t="b">
        <f t="shared" si="23"/>
        <v>0</v>
      </c>
    </row>
    <row r="619" spans="1:11" x14ac:dyDescent="0.2">
      <c r="A61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","#",3))+1,1)&amp;"-"&amp;LEFT(Educator!B624, 3)&amp;"-"&amp;LEFT(Educator!A624, 3)&amp;"-"&amp;"2027"</f>
        <v>UID-FLH---2027</v>
      </c>
      <c r="C619" s="49">
        <f>Educator!C624</f>
        <v>0</v>
      </c>
      <c r="D619" s="49" t="b">
        <f t="shared" si="22"/>
        <v>0</v>
      </c>
      <c r="E619" s="49">
        <f>Educator!A624</f>
        <v>0</v>
      </c>
      <c r="F619" s="49">
        <f>Educator!B624</f>
        <v>0</v>
      </c>
      <c r="G619" s="49" t="str">
        <f>Educator!A624 &amp;" " &amp;Educator!B624</f>
        <v xml:space="preserve"> </v>
      </c>
      <c r="J619" s="49">
        <f>Educator!C624</f>
        <v>0</v>
      </c>
      <c r="K619" s="49" t="b">
        <f t="shared" si="23"/>
        <v>0</v>
      </c>
    </row>
    <row r="620" spans="1:11" x14ac:dyDescent="0.2">
      <c r="A62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","#",3))+1,1)&amp;"-"&amp;LEFT(Educator!B625, 3)&amp;"-"&amp;LEFT(Educator!A625, 3)&amp;"-"&amp;"2027"</f>
        <v>UID-FLH---2027</v>
      </c>
      <c r="C620" s="49">
        <f>Educator!C625</f>
        <v>0</v>
      </c>
      <c r="D620" s="49" t="b">
        <f t="shared" si="22"/>
        <v>0</v>
      </c>
      <c r="E620" s="49">
        <f>Educator!A625</f>
        <v>0</v>
      </c>
      <c r="F620" s="49">
        <f>Educator!B625</f>
        <v>0</v>
      </c>
      <c r="G620" s="49" t="str">
        <f>Educator!A625 &amp;" " &amp;Educator!B625</f>
        <v xml:space="preserve"> </v>
      </c>
      <c r="J620" s="49">
        <f>Educator!C625</f>
        <v>0</v>
      </c>
      <c r="K620" s="49" t="b">
        <f t="shared" si="23"/>
        <v>0</v>
      </c>
    </row>
    <row r="621" spans="1:11" x14ac:dyDescent="0.2">
      <c r="A62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","#",3))+1,1)&amp;"-"&amp;LEFT(Educator!B626, 3)&amp;"-"&amp;LEFT(Educator!A626, 3)&amp;"-"&amp;"2027"</f>
        <v>UID-FLH---2027</v>
      </c>
      <c r="C621" s="49">
        <f>Educator!C626</f>
        <v>0</v>
      </c>
      <c r="D621" s="49" t="b">
        <f t="shared" si="22"/>
        <v>0</v>
      </c>
      <c r="E621" s="49">
        <f>Educator!A626</f>
        <v>0</v>
      </c>
      <c r="F621" s="49">
        <f>Educator!B626</f>
        <v>0</v>
      </c>
      <c r="G621" s="49" t="str">
        <f>Educator!A626 &amp;" " &amp;Educator!B626</f>
        <v xml:space="preserve"> </v>
      </c>
      <c r="J621" s="49">
        <f>Educator!C626</f>
        <v>0</v>
      </c>
      <c r="K621" s="49" t="b">
        <f t="shared" si="23"/>
        <v>0</v>
      </c>
    </row>
    <row r="622" spans="1:11" x14ac:dyDescent="0.2">
      <c r="A62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","#",3))+1,1)&amp;"-"&amp;LEFT(Educator!B627, 3)&amp;"-"&amp;LEFT(Educator!A627, 3)&amp;"-"&amp;"2027"</f>
        <v>UID-FLH---2027</v>
      </c>
      <c r="C622" s="49">
        <f>Educator!C627</f>
        <v>0</v>
      </c>
      <c r="D622" s="49" t="b">
        <f t="shared" si="22"/>
        <v>0</v>
      </c>
      <c r="E622" s="49">
        <f>Educator!A627</f>
        <v>0</v>
      </c>
      <c r="F622" s="49">
        <f>Educator!B627</f>
        <v>0</v>
      </c>
      <c r="G622" s="49" t="str">
        <f>Educator!A627 &amp;" " &amp;Educator!B627</f>
        <v xml:space="preserve"> </v>
      </c>
      <c r="J622" s="49">
        <f>Educator!C627</f>
        <v>0</v>
      </c>
      <c r="K622" s="49" t="b">
        <f t="shared" si="23"/>
        <v>0</v>
      </c>
    </row>
    <row r="623" spans="1:11" x14ac:dyDescent="0.2">
      <c r="A62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","#",3))+1,1)&amp;"-"&amp;LEFT(Educator!B628, 3)&amp;"-"&amp;LEFT(Educator!A628, 3)&amp;"-"&amp;"2027"</f>
        <v>UID-FLH---2027</v>
      </c>
      <c r="C623" s="49">
        <f>Educator!C628</f>
        <v>0</v>
      </c>
      <c r="D623" s="49" t="b">
        <f t="shared" si="22"/>
        <v>0</v>
      </c>
      <c r="E623" s="49">
        <f>Educator!A628</f>
        <v>0</v>
      </c>
      <c r="F623" s="49">
        <f>Educator!B628</f>
        <v>0</v>
      </c>
      <c r="G623" s="49" t="str">
        <f>Educator!A628 &amp;" " &amp;Educator!B628</f>
        <v xml:space="preserve"> </v>
      </c>
      <c r="J623" s="49">
        <f>Educator!C628</f>
        <v>0</v>
      </c>
      <c r="K623" s="49" t="b">
        <f t="shared" si="23"/>
        <v>0</v>
      </c>
    </row>
    <row r="624" spans="1:11" x14ac:dyDescent="0.2">
      <c r="A62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","#",3))+1,1)&amp;"-"&amp;LEFT(Educator!B629, 3)&amp;"-"&amp;LEFT(Educator!A629, 3)&amp;"-"&amp;"2027"</f>
        <v>UID-FLH---2027</v>
      </c>
      <c r="C624" s="49">
        <f>Educator!C629</f>
        <v>0</v>
      </c>
      <c r="D624" s="49" t="b">
        <f t="shared" si="22"/>
        <v>0</v>
      </c>
      <c r="E624" s="49">
        <f>Educator!A629</f>
        <v>0</v>
      </c>
      <c r="F624" s="49">
        <f>Educator!B629</f>
        <v>0</v>
      </c>
      <c r="G624" s="49" t="str">
        <f>Educator!A629 &amp;" " &amp;Educator!B629</f>
        <v xml:space="preserve"> </v>
      </c>
      <c r="J624" s="49">
        <f>Educator!C629</f>
        <v>0</v>
      </c>
      <c r="K624" s="49" t="b">
        <f t="shared" si="23"/>
        <v>0</v>
      </c>
    </row>
    <row r="625" spans="1:11" x14ac:dyDescent="0.2">
      <c r="A62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","#",3))+1,1)&amp;"-"&amp;LEFT(Educator!B630, 3)&amp;"-"&amp;LEFT(Educator!A630, 3)&amp;"-"&amp;"2027"</f>
        <v>UID-FLH---2027</v>
      </c>
      <c r="C625" s="49">
        <f>Educator!C630</f>
        <v>0</v>
      </c>
      <c r="D625" s="49" t="b">
        <f t="shared" si="22"/>
        <v>0</v>
      </c>
      <c r="E625" s="49">
        <f>Educator!A630</f>
        <v>0</v>
      </c>
      <c r="F625" s="49">
        <f>Educator!B630</f>
        <v>0</v>
      </c>
      <c r="G625" s="49" t="str">
        <f>Educator!A630 &amp;" " &amp;Educator!B630</f>
        <v xml:space="preserve"> </v>
      </c>
      <c r="J625" s="49">
        <f>Educator!C630</f>
        <v>0</v>
      </c>
      <c r="K625" s="49" t="b">
        <f t="shared" si="23"/>
        <v>0</v>
      </c>
    </row>
    <row r="626" spans="1:11" x14ac:dyDescent="0.2">
      <c r="A62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","#",3))+1,1)&amp;"-"&amp;LEFT(Educator!B631, 3)&amp;"-"&amp;LEFT(Educator!A631, 3)&amp;"-"&amp;"2027"</f>
        <v>UID-FLH---2027</v>
      </c>
      <c r="C626" s="49">
        <f>Educator!C631</f>
        <v>0</v>
      </c>
      <c r="D626" s="49" t="b">
        <f t="shared" si="22"/>
        <v>0</v>
      </c>
      <c r="E626" s="49">
        <f>Educator!A631</f>
        <v>0</v>
      </c>
      <c r="F626" s="49">
        <f>Educator!B631</f>
        <v>0</v>
      </c>
      <c r="G626" s="49" t="str">
        <f>Educator!A631 &amp;" " &amp;Educator!B631</f>
        <v xml:space="preserve"> </v>
      </c>
      <c r="J626" s="49">
        <f>Educator!C631</f>
        <v>0</v>
      </c>
      <c r="K626" s="49" t="b">
        <f t="shared" si="23"/>
        <v>0</v>
      </c>
    </row>
    <row r="627" spans="1:11" x14ac:dyDescent="0.2">
      <c r="A62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","#",3))+1,1)&amp;"-"&amp;LEFT(Educator!B632, 3)&amp;"-"&amp;LEFT(Educator!A632, 3)&amp;"-"&amp;"2027"</f>
        <v>UID-FLH---2027</v>
      </c>
      <c r="C627" s="49">
        <f>Educator!C632</f>
        <v>0</v>
      </c>
      <c r="D627" s="49" t="b">
        <f t="shared" si="22"/>
        <v>0</v>
      </c>
      <c r="E627" s="49">
        <f>Educator!A632</f>
        <v>0</v>
      </c>
      <c r="F627" s="49">
        <f>Educator!B632</f>
        <v>0</v>
      </c>
      <c r="G627" s="49" t="str">
        <f>Educator!A632 &amp;" " &amp;Educator!B632</f>
        <v xml:space="preserve"> </v>
      </c>
      <c r="J627" s="49">
        <f>Educator!C632</f>
        <v>0</v>
      </c>
      <c r="K627" s="49" t="b">
        <f t="shared" si="23"/>
        <v>0</v>
      </c>
    </row>
    <row r="628" spans="1:11" x14ac:dyDescent="0.2">
      <c r="A62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","#",3))+1,1)&amp;"-"&amp;LEFT(Educator!B633, 3)&amp;"-"&amp;LEFT(Educator!A633, 3)&amp;"-"&amp;"2027"</f>
        <v>UID-FLH---2027</v>
      </c>
      <c r="C628" s="49">
        <f>Educator!C633</f>
        <v>0</v>
      </c>
      <c r="D628" s="49" t="b">
        <f t="shared" si="22"/>
        <v>0</v>
      </c>
      <c r="E628" s="49">
        <f>Educator!A633</f>
        <v>0</v>
      </c>
      <c r="F628" s="49">
        <f>Educator!B633</f>
        <v>0</v>
      </c>
      <c r="G628" s="49" t="str">
        <f>Educator!A633 &amp;" " &amp;Educator!B633</f>
        <v xml:space="preserve"> </v>
      </c>
      <c r="J628" s="49">
        <f>Educator!C633</f>
        <v>0</v>
      </c>
      <c r="K628" s="49" t="b">
        <f t="shared" si="23"/>
        <v>0</v>
      </c>
    </row>
    <row r="629" spans="1:11" x14ac:dyDescent="0.2">
      <c r="A62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","#",3))+1,1)&amp;"-"&amp;LEFT(Educator!B634, 3)&amp;"-"&amp;LEFT(Educator!A634, 3)&amp;"-"&amp;"2027"</f>
        <v>UID-FLH---2027</v>
      </c>
      <c r="C629" s="49">
        <f>Educator!C634</f>
        <v>0</v>
      </c>
      <c r="D629" s="49" t="b">
        <f t="shared" si="22"/>
        <v>0</v>
      </c>
      <c r="E629" s="49">
        <f>Educator!A634</f>
        <v>0</v>
      </c>
      <c r="F629" s="49">
        <f>Educator!B634</f>
        <v>0</v>
      </c>
      <c r="G629" s="49" t="str">
        <f>Educator!A634 &amp;" " &amp;Educator!B634</f>
        <v xml:space="preserve"> </v>
      </c>
      <c r="J629" s="49">
        <f>Educator!C634</f>
        <v>0</v>
      </c>
      <c r="K629" s="49" t="b">
        <f t="shared" si="23"/>
        <v>0</v>
      </c>
    </row>
    <row r="630" spans="1:11" x14ac:dyDescent="0.2">
      <c r="A63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","#",3))+1,1)&amp;"-"&amp;LEFT(Educator!B635, 3)&amp;"-"&amp;LEFT(Educator!A635, 3)&amp;"-"&amp;"2027"</f>
        <v>UID-FLH---2027</v>
      </c>
      <c r="C630" s="49">
        <f>Educator!C635</f>
        <v>0</v>
      </c>
      <c r="D630" s="49" t="b">
        <f t="shared" si="22"/>
        <v>0</v>
      </c>
      <c r="E630" s="49">
        <f>Educator!A635</f>
        <v>0</v>
      </c>
      <c r="F630" s="49">
        <f>Educator!B635</f>
        <v>0</v>
      </c>
      <c r="G630" s="49" t="str">
        <f>Educator!A635 &amp;" " &amp;Educator!B635</f>
        <v xml:space="preserve"> </v>
      </c>
      <c r="J630" s="49">
        <f>Educator!C635</f>
        <v>0</v>
      </c>
      <c r="K630" s="49" t="b">
        <f t="shared" si="23"/>
        <v>0</v>
      </c>
    </row>
    <row r="631" spans="1:11" x14ac:dyDescent="0.2">
      <c r="A63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","#",3))+1,1)&amp;"-"&amp;LEFT(Educator!B636, 3)&amp;"-"&amp;LEFT(Educator!A636, 3)&amp;"-"&amp;"2027"</f>
        <v>UID-FLH---2027</v>
      </c>
      <c r="C631" s="49">
        <f>Educator!C636</f>
        <v>0</v>
      </c>
      <c r="D631" s="49" t="b">
        <f t="shared" si="22"/>
        <v>0</v>
      </c>
      <c r="E631" s="49">
        <f>Educator!A636</f>
        <v>0</v>
      </c>
      <c r="F631" s="49">
        <f>Educator!B636</f>
        <v>0</v>
      </c>
      <c r="G631" s="49" t="str">
        <f>Educator!A636 &amp;" " &amp;Educator!B636</f>
        <v xml:space="preserve"> </v>
      </c>
      <c r="J631" s="49">
        <f>Educator!C636</f>
        <v>0</v>
      </c>
      <c r="K631" s="49" t="b">
        <f t="shared" si="23"/>
        <v>0</v>
      </c>
    </row>
    <row r="632" spans="1:11" x14ac:dyDescent="0.2">
      <c r="A63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","#",3))+1,1)&amp;"-"&amp;LEFT(Educator!B637, 3)&amp;"-"&amp;LEFT(Educator!A637, 3)&amp;"-"&amp;"2027"</f>
        <v>UID-FLH---2027</v>
      </c>
      <c r="C632" s="49">
        <f>Educator!C637</f>
        <v>0</v>
      </c>
      <c r="D632" s="49" t="b">
        <f t="shared" si="22"/>
        <v>0</v>
      </c>
      <c r="E632" s="49">
        <f>Educator!A637</f>
        <v>0</v>
      </c>
      <c r="F632" s="49">
        <f>Educator!B637</f>
        <v>0</v>
      </c>
      <c r="G632" s="49" t="str">
        <f>Educator!A637 &amp;" " &amp;Educator!B637</f>
        <v xml:space="preserve"> </v>
      </c>
      <c r="J632" s="49">
        <f>Educator!C637</f>
        <v>0</v>
      </c>
      <c r="K632" s="49" t="b">
        <f t="shared" si="23"/>
        <v>0</v>
      </c>
    </row>
    <row r="633" spans="1:11" x14ac:dyDescent="0.2">
      <c r="A63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","#",3))+1,1)&amp;"-"&amp;LEFT(Educator!B638, 3)&amp;"-"&amp;LEFT(Educator!A638, 3)&amp;"-"&amp;"2027"</f>
        <v>UID-FLH---2027</v>
      </c>
      <c r="C633" s="49">
        <f>Educator!C638</f>
        <v>0</v>
      </c>
      <c r="D633" s="49" t="b">
        <f t="shared" si="22"/>
        <v>0</v>
      </c>
      <c r="E633" s="49">
        <f>Educator!A638</f>
        <v>0</v>
      </c>
      <c r="F633" s="49">
        <f>Educator!B638</f>
        <v>0</v>
      </c>
      <c r="G633" s="49" t="str">
        <f>Educator!A638 &amp;" " &amp;Educator!B638</f>
        <v xml:space="preserve"> </v>
      </c>
      <c r="J633" s="49">
        <f>Educator!C638</f>
        <v>0</v>
      </c>
      <c r="K633" s="49" t="b">
        <f t="shared" si="23"/>
        <v>0</v>
      </c>
    </row>
    <row r="634" spans="1:11" x14ac:dyDescent="0.2">
      <c r="A63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","#",3))+1,1)&amp;"-"&amp;LEFT(Educator!B639, 3)&amp;"-"&amp;LEFT(Educator!A639, 3)&amp;"-"&amp;"2027"</f>
        <v>UID-FLH---2027</v>
      </c>
      <c r="C634" s="49">
        <f>Educator!C639</f>
        <v>0</v>
      </c>
      <c r="D634" s="49" t="b">
        <f t="shared" si="22"/>
        <v>0</v>
      </c>
      <c r="E634" s="49">
        <f>Educator!A639</f>
        <v>0</v>
      </c>
      <c r="F634" s="49">
        <f>Educator!B639</f>
        <v>0</v>
      </c>
      <c r="G634" s="49" t="str">
        <f>Educator!A639 &amp;" " &amp;Educator!B639</f>
        <v xml:space="preserve"> </v>
      </c>
      <c r="J634" s="49">
        <f>Educator!C639</f>
        <v>0</v>
      </c>
      <c r="K634" s="49" t="b">
        <f t="shared" si="23"/>
        <v>0</v>
      </c>
    </row>
    <row r="635" spans="1:11" x14ac:dyDescent="0.2">
      <c r="A63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","#",3))+1,1)&amp;"-"&amp;LEFT(Educator!B640, 3)&amp;"-"&amp;LEFT(Educator!A640, 3)&amp;"-"&amp;"2027"</f>
        <v>UID-FLH---2027</v>
      </c>
      <c r="C635" s="49">
        <f>Educator!C640</f>
        <v>0</v>
      </c>
      <c r="D635" s="49" t="b">
        <f t="shared" si="22"/>
        <v>0</v>
      </c>
      <c r="E635" s="49">
        <f>Educator!A640</f>
        <v>0</v>
      </c>
      <c r="F635" s="49">
        <f>Educator!B640</f>
        <v>0</v>
      </c>
      <c r="G635" s="49" t="str">
        <f>Educator!A640 &amp;" " &amp;Educator!B640</f>
        <v xml:space="preserve"> </v>
      </c>
      <c r="J635" s="49">
        <f>Educator!C640</f>
        <v>0</v>
      </c>
      <c r="K635" s="49" t="b">
        <f t="shared" si="23"/>
        <v>0</v>
      </c>
    </row>
    <row r="636" spans="1:11" x14ac:dyDescent="0.2">
      <c r="A63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","#",3))+1,1)&amp;"-"&amp;LEFT(Educator!B641, 3)&amp;"-"&amp;LEFT(Educator!A641, 3)&amp;"-"&amp;"2027"</f>
        <v>UID-FLH---2027</v>
      </c>
      <c r="C636" s="49">
        <f>Educator!C641</f>
        <v>0</v>
      </c>
      <c r="D636" s="49" t="b">
        <f t="shared" si="22"/>
        <v>0</v>
      </c>
      <c r="E636" s="49">
        <f>Educator!A641</f>
        <v>0</v>
      </c>
      <c r="F636" s="49">
        <f>Educator!B641</f>
        <v>0</v>
      </c>
      <c r="G636" s="49" t="str">
        <f>Educator!A641 &amp;" " &amp;Educator!B641</f>
        <v xml:space="preserve"> </v>
      </c>
      <c r="J636" s="49">
        <f>Educator!C641</f>
        <v>0</v>
      </c>
      <c r="K636" s="49" t="b">
        <f t="shared" si="23"/>
        <v>0</v>
      </c>
    </row>
    <row r="637" spans="1:11" x14ac:dyDescent="0.2">
      <c r="A63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","#",3))+1,1)&amp;"-"&amp;LEFT(Educator!B642, 3)&amp;"-"&amp;LEFT(Educator!A642, 3)&amp;"-"&amp;"2027"</f>
        <v>UID-FLH---2027</v>
      </c>
      <c r="C637" s="49">
        <f>Educator!C642</f>
        <v>0</v>
      </c>
      <c r="D637" s="49" t="b">
        <f t="shared" si="22"/>
        <v>0</v>
      </c>
      <c r="E637" s="49">
        <f>Educator!A642</f>
        <v>0</v>
      </c>
      <c r="F637" s="49">
        <f>Educator!B642</f>
        <v>0</v>
      </c>
      <c r="G637" s="49" t="str">
        <f>Educator!A642 &amp;" " &amp;Educator!B642</f>
        <v xml:space="preserve"> </v>
      </c>
      <c r="J637" s="49">
        <f>Educator!C642</f>
        <v>0</v>
      </c>
      <c r="K637" s="49" t="b">
        <f t="shared" si="23"/>
        <v>0</v>
      </c>
    </row>
    <row r="638" spans="1:11" x14ac:dyDescent="0.2">
      <c r="A63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","#",3))+1,1)&amp;"-"&amp;LEFT(Educator!B643, 3)&amp;"-"&amp;LEFT(Educator!A643, 3)&amp;"-"&amp;"2027"</f>
        <v>UID-FLH---2027</v>
      </c>
      <c r="C638" s="49">
        <f>Educator!C643</f>
        <v>0</v>
      </c>
      <c r="D638" s="49" t="b">
        <f t="shared" si="22"/>
        <v>0</v>
      </c>
      <c r="E638" s="49">
        <f>Educator!A643</f>
        <v>0</v>
      </c>
      <c r="F638" s="49">
        <f>Educator!B643</f>
        <v>0</v>
      </c>
      <c r="G638" s="49" t="str">
        <f>Educator!A643 &amp;" " &amp;Educator!B643</f>
        <v xml:space="preserve"> </v>
      </c>
      <c r="J638" s="49">
        <f>Educator!C643</f>
        <v>0</v>
      </c>
      <c r="K638" s="49" t="b">
        <f t="shared" si="23"/>
        <v>0</v>
      </c>
    </row>
    <row r="639" spans="1:11" x14ac:dyDescent="0.2">
      <c r="A63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","#",3))+1,1)&amp;"-"&amp;LEFT(Educator!B644, 3)&amp;"-"&amp;LEFT(Educator!A644, 3)&amp;"-"&amp;"2027"</f>
        <v>UID-FLH---2027</v>
      </c>
      <c r="C639" s="49">
        <f>Educator!C644</f>
        <v>0</v>
      </c>
      <c r="D639" s="49" t="b">
        <f t="shared" si="22"/>
        <v>0</v>
      </c>
      <c r="E639" s="49">
        <f>Educator!A644</f>
        <v>0</v>
      </c>
      <c r="F639" s="49">
        <f>Educator!B644</f>
        <v>0</v>
      </c>
      <c r="G639" s="49" t="str">
        <f>Educator!A644 &amp;" " &amp;Educator!B644</f>
        <v xml:space="preserve"> </v>
      </c>
      <c r="J639" s="49">
        <f>Educator!C644</f>
        <v>0</v>
      </c>
      <c r="K639" s="49" t="b">
        <f t="shared" si="23"/>
        <v>0</v>
      </c>
    </row>
    <row r="640" spans="1:11" x14ac:dyDescent="0.2">
      <c r="A640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","#",3))+1,1)&amp;"-"&amp;LEFT(Educator!B645, 3)&amp;"-"&amp;LEFT(Educator!A645, 3)&amp;"-"&amp;"2027"</f>
        <v>UID-FLH---2027</v>
      </c>
      <c r="C640" s="49">
        <f>Educator!C645</f>
        <v>0</v>
      </c>
      <c r="D640" s="49" t="b">
        <f t="shared" si="22"/>
        <v>0</v>
      </c>
      <c r="E640" s="49">
        <f>Educator!A645</f>
        <v>0</v>
      </c>
      <c r="F640" s="49">
        <f>Educator!B645</f>
        <v>0</v>
      </c>
      <c r="G640" s="49" t="str">
        <f>Educator!A645 &amp;" " &amp;Educator!B645</f>
        <v xml:space="preserve"> </v>
      </c>
      <c r="J640" s="49">
        <f>Educator!C645</f>
        <v>0</v>
      </c>
      <c r="K640" s="49" t="b">
        <f t="shared" si="23"/>
        <v>0</v>
      </c>
    </row>
    <row r="641" spans="1:11" x14ac:dyDescent="0.2">
      <c r="A641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","#",3))+1,1)&amp;"-"&amp;LEFT(Educator!B646, 3)&amp;"-"&amp;LEFT(Educator!A646, 3)&amp;"-"&amp;"2027"</f>
        <v>UID-FLH---2027</v>
      </c>
      <c r="C641" s="49">
        <f>Educator!C646</f>
        <v>0</v>
      </c>
      <c r="D641" s="49" t="b">
        <f t="shared" si="22"/>
        <v>0</v>
      </c>
      <c r="E641" s="49">
        <f>Educator!A646</f>
        <v>0</v>
      </c>
      <c r="F641" s="49">
        <f>Educator!B646</f>
        <v>0</v>
      </c>
      <c r="G641" s="49" t="str">
        <f>Educator!A646 &amp;" " &amp;Educator!B646</f>
        <v xml:space="preserve"> </v>
      </c>
      <c r="J641" s="49">
        <f>Educator!C646</f>
        <v>0</v>
      </c>
      <c r="K641" s="49" t="b">
        <f t="shared" si="23"/>
        <v>0</v>
      </c>
    </row>
    <row r="642" spans="1:11" x14ac:dyDescent="0.2">
      <c r="A642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","#",3))+1,1)&amp;"-"&amp;LEFT(Educator!B647, 3)&amp;"-"&amp;LEFT(Educator!A647, 3)&amp;"-"&amp;"2027"</f>
        <v>UID-FLH---2027</v>
      </c>
      <c r="C642" s="49">
        <f>Educator!C647</f>
        <v>0</v>
      </c>
      <c r="D642" s="49" t="b">
        <f t="shared" si="22"/>
        <v>0</v>
      </c>
      <c r="E642" s="49">
        <f>Educator!A647</f>
        <v>0</v>
      </c>
      <c r="F642" s="49">
        <f>Educator!B647</f>
        <v>0</v>
      </c>
      <c r="G642" s="49" t="str">
        <f>Educator!A647 &amp;" " &amp;Educator!B647</f>
        <v xml:space="preserve"> </v>
      </c>
      <c r="J642" s="49">
        <f>Educator!C647</f>
        <v>0</v>
      </c>
      <c r="K642" s="49" t="b">
        <f t="shared" si="23"/>
        <v>0</v>
      </c>
    </row>
    <row r="643" spans="1:11" x14ac:dyDescent="0.2">
      <c r="A643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","#",3))+1,1)&amp;"-"&amp;LEFT(Educator!B648, 3)&amp;"-"&amp;LEFT(Educator!A648, 3)&amp;"-"&amp;"2027"</f>
        <v>UID-FLH---2027</v>
      </c>
      <c r="C643" s="49">
        <f>Educator!C648</f>
        <v>0</v>
      </c>
      <c r="D643" s="49" t="b">
        <f t="shared" si="22"/>
        <v>0</v>
      </c>
      <c r="E643" s="49">
        <f>Educator!A648</f>
        <v>0</v>
      </c>
      <c r="F643" s="49">
        <f>Educator!B648</f>
        <v>0</v>
      </c>
      <c r="G643" s="49" t="str">
        <f>Educator!A648 &amp;" " &amp;Educator!B648</f>
        <v xml:space="preserve"> </v>
      </c>
      <c r="J643" s="49">
        <f>Educator!C648</f>
        <v>0</v>
      </c>
      <c r="K643" s="49" t="b">
        <f t="shared" si="23"/>
        <v>0</v>
      </c>
    </row>
    <row r="644" spans="1:11" x14ac:dyDescent="0.2">
      <c r="A644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","#",3))+1,1)&amp;"-"&amp;LEFT(Educator!B649, 3)&amp;"-"&amp;LEFT(Educator!A649, 3)&amp;"-"&amp;"2027"</f>
        <v>UID-FLH---2027</v>
      </c>
      <c r="C644" s="49">
        <f>Educator!C649</f>
        <v>0</v>
      </c>
      <c r="D644" s="49" t="b">
        <f t="shared" si="22"/>
        <v>0</v>
      </c>
      <c r="E644" s="49">
        <f>Educator!A649</f>
        <v>0</v>
      </c>
      <c r="F644" s="49">
        <f>Educator!B649</f>
        <v>0</v>
      </c>
      <c r="G644" s="49" t="str">
        <f>Educator!A649 &amp;" " &amp;Educator!B649</f>
        <v xml:space="preserve"> </v>
      </c>
      <c r="J644" s="49">
        <f>Educator!C649</f>
        <v>0</v>
      </c>
      <c r="K644" s="49" t="b">
        <f t="shared" si="23"/>
        <v>0</v>
      </c>
    </row>
    <row r="645" spans="1:11" x14ac:dyDescent="0.2">
      <c r="A645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","#",3))+1,1)&amp;"-"&amp;LEFT(Educator!B650, 3)&amp;"-"&amp;LEFT(Educator!A650, 3)&amp;"-"&amp;"2027"</f>
        <v>UID-FLH---2027</v>
      </c>
      <c r="C645" s="49">
        <f>Educator!C650</f>
        <v>0</v>
      </c>
      <c r="D645" s="49" t="b">
        <f t="shared" si="22"/>
        <v>0</v>
      </c>
      <c r="E645" s="49">
        <f>Educator!A650</f>
        <v>0</v>
      </c>
      <c r="F645" s="49">
        <f>Educator!B650</f>
        <v>0</v>
      </c>
      <c r="G645" s="49" t="str">
        <f>Educator!A650 &amp;" " &amp;Educator!B650</f>
        <v xml:space="preserve"> </v>
      </c>
      <c r="J645" s="49">
        <f>Educator!C650</f>
        <v>0</v>
      </c>
      <c r="K645" s="49" t="b">
        <f t="shared" si="23"/>
        <v>0</v>
      </c>
    </row>
    <row r="646" spans="1:11" x14ac:dyDescent="0.2">
      <c r="A646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","#",3))+1,1)&amp;"-"&amp;LEFT(Educator!B651, 3)&amp;"-"&amp;LEFT(Educator!A651, 3)&amp;"-"&amp;"2027"</f>
        <v>UID-FLH---2027</v>
      </c>
      <c r="C646" s="49">
        <f>Educator!C651</f>
        <v>0</v>
      </c>
      <c r="D646" s="49" t="b">
        <f t="shared" si="22"/>
        <v>0</v>
      </c>
      <c r="E646" s="49">
        <f>Educator!A651</f>
        <v>0</v>
      </c>
      <c r="F646" s="49">
        <f>Educator!B651</f>
        <v>0</v>
      </c>
      <c r="G646" s="49" t="str">
        <f>Educator!A651 &amp;" " &amp;Educator!B651</f>
        <v xml:space="preserve"> </v>
      </c>
      <c r="J646" s="49">
        <f>Educator!C651</f>
        <v>0</v>
      </c>
      <c r="K646" s="49" t="b">
        <f t="shared" si="23"/>
        <v>0</v>
      </c>
    </row>
    <row r="647" spans="1:11" x14ac:dyDescent="0.2">
      <c r="A647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","#",3))+1,1)&amp;"-"&amp;LEFT(Educator!B652, 3)&amp;"-"&amp;LEFT(Educator!A652, 3)&amp;"-"&amp;"2027"</f>
        <v>UID-FLH---2027</v>
      </c>
      <c r="C647" s="49">
        <f>Educator!C652</f>
        <v>0</v>
      </c>
      <c r="D647" s="49" t="b">
        <f t="shared" si="22"/>
        <v>0</v>
      </c>
      <c r="E647" s="49">
        <f>Educator!A652</f>
        <v>0</v>
      </c>
      <c r="F647" s="49">
        <f>Educator!B652</f>
        <v>0</v>
      </c>
      <c r="G647" s="49" t="str">
        <f>Educator!A652 &amp;" " &amp;Educator!B652</f>
        <v xml:space="preserve"> </v>
      </c>
      <c r="J647" s="49">
        <f>Educator!C652</f>
        <v>0</v>
      </c>
      <c r="K647" s="49" t="b">
        <f t="shared" si="23"/>
        <v>0</v>
      </c>
    </row>
    <row r="648" spans="1:11" x14ac:dyDescent="0.2">
      <c r="A648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","#",3))+1,1)&amp;"-"&amp;LEFT(Educator!B653, 3)&amp;"-"&amp;LEFT(Educator!A653, 3)&amp;"-"&amp;"2027"</f>
        <v>UID-FLH---2027</v>
      </c>
      <c r="C648" s="49">
        <f>Educator!C653</f>
        <v>0</v>
      </c>
      <c r="D648" s="49" t="b">
        <f t="shared" si="22"/>
        <v>0</v>
      </c>
      <c r="E648" s="49">
        <f>Educator!A653</f>
        <v>0</v>
      </c>
      <c r="F648" s="49">
        <f>Educator!B653</f>
        <v>0</v>
      </c>
      <c r="G648" s="49" t="str">
        <f>Educator!A653 &amp;" " &amp;Educator!B653</f>
        <v xml:space="preserve"> </v>
      </c>
      <c r="J648" s="49">
        <f>Educator!C653</f>
        <v>0</v>
      </c>
      <c r="K648" s="49" t="b">
        <f t="shared" si="23"/>
        <v>0</v>
      </c>
    </row>
    <row r="649" spans="1:11" x14ac:dyDescent="0.2">
      <c r="A649" s="49" t="str">
        <f>Educator!$K$1&amp;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","#",3))+1,1)&amp;"-"&amp;LEFT(Educator!B654, 3)&amp;"-"&amp;LEFT(Educator!A654, 3)&amp;"-"&amp;"2027"</f>
        <v>UID-FLH---2027</v>
      </c>
      <c r="C649" s="49">
        <f>Educator!C654</f>
        <v>0</v>
      </c>
      <c r="D649" s="49" t="b">
        <f t="shared" si="22"/>
        <v>0</v>
      </c>
      <c r="E649" s="49">
        <f>Educator!A654</f>
        <v>0</v>
      </c>
      <c r="F649" s="49">
        <f>Educator!B654</f>
        <v>0</v>
      </c>
      <c r="G649" s="49" t="str">
        <f>Educator!A654 &amp;" " &amp;Educator!B654</f>
        <v xml:space="preserve"> </v>
      </c>
      <c r="J649" s="49">
        <f>Educator!C654</f>
        <v>0</v>
      </c>
      <c r="K649" s="49" t="b">
        <f t="shared" si="23"/>
        <v>0</v>
      </c>
    </row>
  </sheetData>
  <autoFilter ref="A1:K649" xr:uid="{A9A6A523-00C0-4404-8F3A-6670368ABE51}"/>
  <phoneticPr fontId="24" type="noConversion"/>
  <conditionalFormatting sqref="K1:K1048576">
    <cfRule type="cellIs" dxfId="2" priority="1" operator="equal">
      <formula>"active"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BB84-E52C-4225-AF72-2E5C5380578E}">
  <dimension ref="A1:AA649"/>
  <sheetViews>
    <sheetView zoomScale="90" workbookViewId="0">
      <selection activeCell="J3" sqref="J3"/>
    </sheetView>
  </sheetViews>
  <sheetFormatPr baseColWidth="10" defaultColWidth="9" defaultRowHeight="16" x14ac:dyDescent="0.2"/>
  <cols>
    <col min="1" max="1" width="38.6640625" style="49" customWidth="1"/>
    <col min="2" max="2" width="35.5" style="49" customWidth="1"/>
    <col min="3" max="3" width="32.5" style="49" customWidth="1"/>
    <col min="4" max="4" width="10.33203125" style="49" bestFit="1" customWidth="1"/>
    <col min="5" max="5" width="29.5" style="49" customWidth="1"/>
    <col min="6" max="6" width="6" style="49" bestFit="1" customWidth="1"/>
    <col min="7" max="7" width="9.6640625" style="49" bestFit="1" customWidth="1"/>
    <col min="8" max="8" width="9" style="49" bestFit="1" customWidth="1"/>
    <col min="9" max="9" width="13.5" style="49" bestFit="1" customWidth="1"/>
    <col min="10" max="10" width="18.33203125" style="49" bestFit="1" customWidth="1"/>
    <col min="11" max="14" width="9" style="49"/>
    <col min="15" max="15" width="115.6640625" style="49" bestFit="1" customWidth="1"/>
    <col min="16" max="16384" width="9" style="49"/>
  </cols>
  <sheetData>
    <row r="1" spans="1:27" s="48" customFormat="1" x14ac:dyDescent="0.2">
      <c r="A1" s="48" t="s">
        <v>61</v>
      </c>
      <c r="B1" s="48" t="s">
        <v>58</v>
      </c>
      <c r="C1" s="48" t="s">
        <v>62</v>
      </c>
      <c r="D1" s="48" t="s">
        <v>63</v>
      </c>
      <c r="E1" s="48" t="s">
        <v>64</v>
      </c>
      <c r="F1" s="48" t="s">
        <v>60</v>
      </c>
      <c r="G1" s="48" t="s">
        <v>65</v>
      </c>
      <c r="H1" s="48" t="s">
        <v>66</v>
      </c>
      <c r="I1" s="48" t="s">
        <v>67</v>
      </c>
      <c r="J1" s="48" t="s">
        <v>68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x14ac:dyDescent="0.2">
      <c r="A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","#",3))+1,1)&amp;"-"&amp;LEFT(Educator!B7, 3)&amp;"-"&amp;LEFT(Educator!A7, 3)&amp;"-"&amp;IF(ISNUMBER(Educator!D7),"G"&amp;Educator!D7,Educator!D7)&amp;"-"&amp;"2027"</f>
        <v>CID-FLH---G1-2027</v>
      </c>
      <c r="B2" s="49" t="str" cm="1">
        <f t="array" ref="B2">Educator!B7&amp;" "&amp;_xlfn.IFS(AND(ISNUMBER(Educator!D7),Educator!D7&lt;&gt;9),"Grade "&amp;Educator!D7,Educator!D7=9,"Grade 9-12",ISTEXT(Educator!D7),Educator!D7)&amp;" "&amp;"Florida"&amp;" "&amp;"26-27"</f>
        <v xml:space="preserve"> Grade 1 Florida 26-27</v>
      </c>
      <c r="C2" s="49" t="str">
        <f>B2</f>
        <v xml:space="preserve"> Grade 1 Florida 26-27</v>
      </c>
      <c r="E2" s="51" t="s">
        <v>102</v>
      </c>
      <c r="F2" s="49" t="b">
        <f>IF(Educator!B7&gt;0,"active")</f>
        <v>0</v>
      </c>
      <c r="J2" s="49" t="str">
        <f>"BP-"&amp;"TSWFL-"&amp;IF(ISNUMBER(Educator!D7),"G"&amp;Educator!D7,Educator!D7)&amp;"-"&amp;"2027"</f>
        <v>BP-TSWFL-G1-2027</v>
      </c>
      <c r="O2" s="50" t="s">
        <v>77</v>
      </c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7" customHeight="1" x14ac:dyDescent="0.2">
      <c r="A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","#",3))+1,1)&amp;"-"&amp;LEFT(Educator!B8, 3)&amp;"-"&amp;LEFT(Educator!A8, 3)&amp;"-"&amp;IF(ISNUMBER(Educator!D8),"G"&amp;Educator!D8,Educator!D8)&amp;"-"&amp;"2027"</f>
        <v>CID-FLH---G2-2027</v>
      </c>
      <c r="B3" s="49" t="str" cm="1">
        <f t="array" ref="B3">Educator!B8&amp;" "&amp;_xlfn.IFS(AND(ISNUMBER(Educator!D8),Educator!D8&lt;&gt;9),"Grade "&amp;Educator!D8,Educator!D8=9,"Grade 9-12",ISTEXT(Educator!D8),Educator!D8)&amp;" "&amp;"Florida"&amp;" "&amp;"26-27"</f>
        <v xml:space="preserve"> Grade 2 Florida 26-27</v>
      </c>
      <c r="C3" s="49" t="str">
        <f t="shared" ref="C3:C66" si="0">B3</f>
        <v xml:space="preserve"> Grade 2 Florida 26-27</v>
      </c>
      <c r="E3" s="51" t="s">
        <v>102</v>
      </c>
      <c r="F3" s="49" t="b">
        <f>IF(Educator!B8&gt;0,"active")</f>
        <v>0</v>
      </c>
      <c r="J3" s="49" t="str">
        <f>"BP-"&amp;"TSWFL-"&amp;IF(ISNUMBER(Educator!D8),""&amp;Educator!D8,Educator!D8)&amp;"-"&amp;"2027"</f>
        <v>BP-TSWFL-2-2027</v>
      </c>
      <c r="O3" s="50" t="s">
        <v>78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x14ac:dyDescent="0.2">
      <c r="A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","#",3))+1,1)&amp;"-"&amp;LEFT(Educator!B9, 3)&amp;"-"&amp;LEFT(Educator!A9, 3)&amp;"-"&amp;IF(ISNUMBER(Educator!D9),"G"&amp;Educator!D9,Educator!D9)&amp;"-"&amp;"2027"</f>
        <v>CID-FLH---G3-2027</v>
      </c>
      <c r="B4" s="49" t="str" cm="1">
        <f t="array" ref="B4">Educator!B9&amp;" "&amp;_xlfn.IFS(AND(ISNUMBER(Educator!D9),Educator!D9&lt;&gt;9),"Grade "&amp;Educator!D9,Educator!D9=9,"Grade 9-12",ISTEXT(Educator!D9),Educator!D9)&amp;" "&amp;"Florida"&amp;" "&amp;"26-27"</f>
        <v xml:space="preserve"> Grade 3 Florida 26-27</v>
      </c>
      <c r="C4" s="49" t="str">
        <f t="shared" si="0"/>
        <v xml:space="preserve"> Grade 3 Florida 26-27</v>
      </c>
      <c r="E4" s="51" t="s">
        <v>102</v>
      </c>
      <c r="F4" s="49" t="b">
        <f>IF(Educator!B9&gt;0,"active")</f>
        <v>0</v>
      </c>
      <c r="J4" s="49" t="str">
        <f>"BP-"&amp;"TSWFL-"&amp;IF(ISNUMBER(Educator!D9),""&amp;Educator!D9,Educator!D9)&amp;"-"&amp;"2027"</f>
        <v>BP-TSWFL-3-2027</v>
      </c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x14ac:dyDescent="0.2">
      <c r="A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","#",3))+1,1)&amp;"-"&amp;LEFT(Educator!B10, 3)&amp;"-"&amp;LEFT(Educator!A10, 3)&amp;"-"&amp;IF(ISNUMBER(Educator!D10),"G"&amp;Educator!D10,Educator!D10)&amp;"-"&amp;"2027"</f>
        <v>CID-FLH---G4-2027</v>
      </c>
      <c r="B5" s="49" t="str" cm="1">
        <f t="array" ref="B5">Educator!B10&amp;" "&amp;_xlfn.IFS(AND(ISNUMBER(Educator!D10),Educator!D10&lt;&gt;9),"Grade "&amp;Educator!D10,Educator!D10=9,"Grade 9-12",ISTEXT(Educator!D10),Educator!D10)&amp;" "&amp;"Florida"&amp;" "&amp;"26-27"</f>
        <v xml:space="preserve"> Grade 4 Florida 26-27</v>
      </c>
      <c r="C5" s="49" t="str">
        <f t="shared" si="0"/>
        <v xml:space="preserve"> Grade 4 Florida 26-27</v>
      </c>
      <c r="E5" s="51" t="s">
        <v>102</v>
      </c>
      <c r="F5" s="49" t="b">
        <f>IF(Educator!B10&gt;0,"active")</f>
        <v>0</v>
      </c>
      <c r="J5" s="49" t="str">
        <f>"BP-"&amp;"TSWFL-"&amp;IF(ISNUMBER(Educator!D10),""&amp;Educator!D10,Educator!D10)&amp;"-"&amp;"2027"</f>
        <v>BP-TSWFL-4-2027</v>
      </c>
      <c r="O5" s="50" t="s">
        <v>79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spans="1:27" x14ac:dyDescent="0.2">
      <c r="A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","#",3))+1,1)&amp;"-"&amp;LEFT(Educator!B11, 3)&amp;"-"&amp;LEFT(Educator!A11, 3)&amp;"-"&amp;IF(ISNUMBER(Educator!D11),"G"&amp;Educator!D11,Educator!D11)&amp;"-"&amp;"2027"</f>
        <v>CID-FLH---G5-2027</v>
      </c>
      <c r="B6" s="49" t="str" cm="1">
        <f t="array" ref="B6">Educator!B11&amp;" "&amp;_xlfn.IFS(AND(ISNUMBER(Educator!D11),Educator!D11&lt;&gt;9),"Grade "&amp;Educator!D11,Educator!D11=9,"Grade 9-12",ISTEXT(Educator!D11),Educator!D11)&amp;" "&amp;"Florida"&amp;" "&amp;"26-27"</f>
        <v xml:space="preserve"> Grade 5 Florida 26-27</v>
      </c>
      <c r="C6" s="49" t="str">
        <f t="shared" si="0"/>
        <v xml:space="preserve"> Grade 5 Florida 26-27</v>
      </c>
      <c r="E6" s="51" t="s">
        <v>102</v>
      </c>
      <c r="F6" s="49" t="b">
        <f>IF(Educator!B11&gt;0,"active")</f>
        <v>0</v>
      </c>
      <c r="J6" s="49" t="str">
        <f>"BP-"&amp;"TSWFL-"&amp;IF(ISNUMBER(Educator!D11),""&amp;Educator!D11,Educator!D11)&amp;"-"&amp;"2027"</f>
        <v>BP-TSWFL-5-2027</v>
      </c>
      <c r="O6" s="50" t="s">
        <v>80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spans="1:27" x14ac:dyDescent="0.2">
      <c r="A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","#",3))+1,1)&amp;"-"&amp;LEFT(Educator!B12, 3)&amp;"-"&amp;LEFT(Educator!A12, 3)&amp;"-"&amp;IF(ISNUMBER(Educator!D12),"G"&amp;Educator!D12,Educator!D12)&amp;"-"&amp;"2027"</f>
        <v>CID-FLH---G6-2027</v>
      </c>
      <c r="B7" s="49" t="str" cm="1">
        <f t="array" ref="B7">Educator!B12&amp;" "&amp;_xlfn.IFS(AND(ISNUMBER(Educator!D12),Educator!D12&lt;&gt;9),"Grade "&amp;Educator!D12,Educator!D12=9,"Grade 9-12",ISTEXT(Educator!D12),Educator!D12)&amp;" "&amp;"Florida"&amp;" "&amp;"26-27"</f>
        <v xml:space="preserve"> Grade 6 Florida 26-27</v>
      </c>
      <c r="C7" s="49" t="str">
        <f t="shared" si="0"/>
        <v xml:space="preserve"> Grade 6 Florida 26-27</v>
      </c>
      <c r="E7" s="51" t="s">
        <v>102</v>
      </c>
      <c r="F7" s="49" t="b">
        <f>IF(Educator!B12&gt;0,"active")</f>
        <v>0</v>
      </c>
      <c r="J7" s="49" t="str">
        <f>"BP-"&amp;"TSWFL-"&amp;IF(ISNUMBER(Educator!D12),""&amp;Educator!D12,Educator!D12)&amp;"-"&amp;"2027"</f>
        <v>BP-TSWFL-6-2027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">
      <c r="A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","#",3))+1,1)&amp;"-"&amp;LEFT(Educator!B13, 3)&amp;"-"&amp;LEFT(Educator!A13, 3)&amp;"-"&amp;IF(ISNUMBER(Educator!D13),"G"&amp;Educator!D13,Educator!D13)&amp;"-"&amp;"2027"</f>
        <v>CID-FLH---G7-2027</v>
      </c>
      <c r="B8" s="49" t="str" cm="1">
        <f t="array" ref="B8">Educator!B13&amp;" "&amp;_xlfn.IFS(AND(ISNUMBER(Educator!D13),Educator!D13&lt;&gt;9),"Grade "&amp;Educator!D13,Educator!D13=9,"Grade 9-12",ISTEXT(Educator!D13),Educator!D13)&amp;" "&amp;"Florida"&amp;" "&amp;"26-27"</f>
        <v xml:space="preserve"> Grade 7 Florida 26-27</v>
      </c>
      <c r="C8" s="49" t="str">
        <f t="shared" si="0"/>
        <v xml:space="preserve"> Grade 7 Florida 26-27</v>
      </c>
      <c r="E8" s="51" t="s">
        <v>102</v>
      </c>
      <c r="F8" s="49" t="b">
        <f>IF(Educator!B13&gt;0,"active")</f>
        <v>0</v>
      </c>
      <c r="J8" s="49" t="str">
        <f>"BP-"&amp;"TSWFL-"&amp;IF(ISNUMBER(Educator!D13),""&amp;Educator!D13,Educator!D13)&amp;"-"&amp;"2027"</f>
        <v>BP-TSWFL-7-2027</v>
      </c>
      <c r="O8" s="50" t="s">
        <v>81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27" x14ac:dyDescent="0.2">
      <c r="A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","#",3))+1,1)&amp;"-"&amp;LEFT(Educator!B14, 3)&amp;"-"&amp;LEFT(Educator!A14, 3)&amp;"-"&amp;IF(ISNUMBER(Educator!D14),"G"&amp;Educator!D14,Educator!D14)&amp;"-"&amp;"2027"</f>
        <v>CID-FLH---G8-2027</v>
      </c>
      <c r="B9" s="49" t="str" cm="1">
        <f t="array" ref="B9">Educator!B14&amp;" "&amp;_xlfn.IFS(AND(ISNUMBER(Educator!D14),Educator!D14&lt;&gt;9),"Grade "&amp;Educator!D14,Educator!D14=9,"Grade 9-12",ISTEXT(Educator!D14),Educator!D14)&amp;" "&amp;"Florida"&amp;" "&amp;"26-27"</f>
        <v xml:space="preserve"> Grade 8 Florida 26-27</v>
      </c>
      <c r="C9" s="49" t="str">
        <f t="shared" si="0"/>
        <v xml:space="preserve"> Grade 8 Florida 26-27</v>
      </c>
      <c r="E9" s="51" t="s">
        <v>102</v>
      </c>
      <c r="F9" s="49" t="b">
        <f>IF(Educator!B14&gt;0,"active")</f>
        <v>0</v>
      </c>
      <c r="J9" s="49" t="str">
        <f>"BP-"&amp;"TSWFL-"&amp;IF(ISNUMBER(Educator!D14),""&amp;Educator!D14,Educator!D14)&amp;"-"&amp;"2027"</f>
        <v>BP-TSWFL-8-2027</v>
      </c>
      <c r="O9" s="50" t="s">
        <v>82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spans="1:27" x14ac:dyDescent="0.2">
      <c r="A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","#",3))+1,1)&amp;"-"&amp;LEFT(Educator!B15, 3)&amp;"-"&amp;LEFT(Educator!A15, 3)&amp;"-"&amp;IF(ISNUMBER(Educator!D15),"G"&amp;Educator!D15,Educator!D15)&amp;"-"&amp;"2027"</f>
        <v>CID-FLH----2027</v>
      </c>
      <c r="B10" s="49" t="e" cm="1">
        <f t="array" ref="B10">Educator!B15&amp;" "&amp;_xlfn.IFS(AND(ISNUMBER(Educator!D15),Educator!D15&lt;&gt;9),"Grade "&amp;Educator!D15,Educator!D15=9,"Grade 9-12",ISTEXT(Educator!D15),Educator!D15)&amp;" "&amp;"Florida"&amp;" "&amp;"26-27"</f>
        <v>#N/A</v>
      </c>
      <c r="C10" s="49" t="e">
        <f t="shared" si="0"/>
        <v>#N/A</v>
      </c>
      <c r="E10" s="51" t="s">
        <v>102</v>
      </c>
      <c r="F10" s="49" t="b">
        <f>IF(Educator!B15&gt;0,"active")</f>
        <v>0</v>
      </c>
      <c r="J10" s="49" t="str">
        <f>"BP-"&amp;"TSWFL-"&amp;IF(ISNUMBER(Educator!D15),""&amp;Educator!D15,Educator!D15)&amp;"-"&amp;"2027"</f>
        <v>BP-TSWFL--2027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spans="1:27" x14ac:dyDescent="0.2">
      <c r="A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","#",3))+1,1)&amp;"-"&amp;LEFT(Educator!B16, 3)&amp;"-"&amp;LEFT(Educator!A16, 3)&amp;"-"&amp;IF(ISNUMBER(Educator!D16),"G"&amp;Educator!D16,Educator!D16)&amp;"-"&amp;"2027"</f>
        <v>CID-FLH----2027</v>
      </c>
      <c r="B11" s="49" t="e" cm="1">
        <f t="array" ref="B11">Educator!B16&amp;" "&amp;_xlfn.IFS(AND(ISNUMBER(Educator!D16),Educator!D16&lt;&gt;9),"Grade "&amp;Educator!D16,Educator!D16=9,"Grade 9-12",ISTEXT(Educator!D16),Educator!D16)&amp;" "&amp;"Florida"&amp;" "&amp;"26-27"</f>
        <v>#N/A</v>
      </c>
      <c r="C11" s="49" t="e">
        <f t="shared" si="0"/>
        <v>#N/A</v>
      </c>
      <c r="E11" s="51" t="s">
        <v>102</v>
      </c>
      <c r="F11" s="49" t="b">
        <f>IF(Educator!B16&gt;0,"active")</f>
        <v>0</v>
      </c>
      <c r="J11" s="49" t="str">
        <f>"BP-"&amp;"TSWFL-"&amp;IF(ISNUMBER(Educator!D16),""&amp;Educator!D16,Educator!D16)&amp;"-"&amp;"2027"</f>
        <v>BP-TSWFL--2027</v>
      </c>
      <c r="O11" s="50" t="s">
        <v>84</v>
      </c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spans="1:27" x14ac:dyDescent="0.2">
      <c r="A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","#",3))+1,1)&amp;"-"&amp;LEFT(Educator!B17, 3)&amp;"-"&amp;LEFT(Educator!A17, 3)&amp;"-"&amp;IF(ISNUMBER(Educator!D17),"G"&amp;Educator!D17,Educator!D17)&amp;"-"&amp;"2027"</f>
        <v>CID-FLH----2027</v>
      </c>
      <c r="B12" s="49" t="e" cm="1">
        <f t="array" ref="B12">Educator!B17&amp;" "&amp;_xlfn.IFS(AND(ISNUMBER(Educator!D17),Educator!D17&lt;&gt;9),"Grade "&amp;Educator!D17,Educator!D17=9,"Grade 9-12",ISTEXT(Educator!D17),Educator!D17)&amp;" "&amp;"Florida"&amp;" "&amp;"26-27"</f>
        <v>#N/A</v>
      </c>
      <c r="C12" s="49" t="e">
        <f t="shared" si="0"/>
        <v>#N/A</v>
      </c>
      <c r="E12" s="51" t="s">
        <v>102</v>
      </c>
      <c r="F12" s="49" t="b">
        <f>IF(Educator!B17&gt;0,"active")</f>
        <v>0</v>
      </c>
      <c r="J12" s="49" t="str">
        <f>"BP-"&amp;"TSWFL-"&amp;IF(ISNUMBER(Educator!D17),""&amp;Educator!D17,Educator!D17)&amp;"-"&amp;"2027"</f>
        <v>BP-TSWFL--2027</v>
      </c>
      <c r="O12" s="50" t="s">
        <v>83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spans="1:27" x14ac:dyDescent="0.2">
      <c r="A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","#",3))+1,1)&amp;"-"&amp;LEFT(Educator!B18, 3)&amp;"-"&amp;LEFT(Educator!A18, 3)&amp;"-"&amp;IF(ISNUMBER(Educator!D18),"G"&amp;Educator!D18,Educator!D18)&amp;"-"&amp;"2027"</f>
        <v>CID-FLH----2027</v>
      </c>
      <c r="B13" s="49" t="e" cm="1">
        <f t="array" ref="B13">Educator!B18&amp;" "&amp;_xlfn.IFS(AND(ISNUMBER(Educator!D18),Educator!D18&lt;&gt;9),"Grade "&amp;Educator!D18,Educator!D18=9,"Grade 9-12",ISTEXT(Educator!D18),Educator!D18)&amp;" "&amp;"Florida"&amp;" "&amp;"26-27"</f>
        <v>#N/A</v>
      </c>
      <c r="C13" s="49" t="e">
        <f t="shared" si="0"/>
        <v>#N/A</v>
      </c>
      <c r="E13" s="51" t="s">
        <v>102</v>
      </c>
      <c r="F13" s="49" t="b">
        <f>IF(Educator!B18&gt;0,"active")</f>
        <v>0</v>
      </c>
      <c r="J13" s="49" t="str">
        <f>"BP-"&amp;"TSWFL-"&amp;IF(ISNUMBER(Educator!D18),""&amp;Educator!D18,Educator!D18)&amp;"-"&amp;"2027"</f>
        <v>BP-TSWFL--2027</v>
      </c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spans="1:27" x14ac:dyDescent="0.2">
      <c r="A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","#",3))+1,1)&amp;"-"&amp;LEFT(Educator!B19, 3)&amp;"-"&amp;LEFT(Educator!A19, 3)&amp;"-"&amp;IF(ISNUMBER(Educator!D19),"G"&amp;Educator!D19,Educator!D19)&amp;"-"&amp;"2027"</f>
        <v>CID-FLH----2027</v>
      </c>
      <c r="B14" s="49" t="e" cm="1">
        <f t="array" ref="B14">Educator!B19&amp;" "&amp;_xlfn.IFS(AND(ISNUMBER(Educator!D19),Educator!D19&lt;&gt;9),"Grade "&amp;Educator!D19,Educator!D19=9,"Grade 9-12",ISTEXT(Educator!D19),Educator!D19)&amp;" "&amp;"Florida"&amp;" "&amp;"26-27"</f>
        <v>#N/A</v>
      </c>
      <c r="C14" s="49" t="e">
        <f t="shared" si="0"/>
        <v>#N/A</v>
      </c>
      <c r="E14" s="51" t="s">
        <v>102</v>
      </c>
      <c r="F14" s="49" t="b">
        <f>IF(Educator!B19&gt;0,"active")</f>
        <v>0</v>
      </c>
      <c r="J14" s="49" t="str">
        <f>"BP-"&amp;"TSWFL-"&amp;IF(ISNUMBER(Educator!D19),""&amp;Educator!D19,Educator!D19)&amp;"-"&amp;"2027"</f>
        <v>BP-TSWFL--2027</v>
      </c>
      <c r="O14" s="50" t="s">
        <v>85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 spans="1:27" x14ac:dyDescent="0.2">
      <c r="A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","#",3))+1,1)&amp;"-"&amp;LEFT(Educator!B20, 3)&amp;"-"&amp;LEFT(Educator!A20, 3)&amp;"-"&amp;IF(ISNUMBER(Educator!D20),"G"&amp;Educator!D20,Educator!D20)&amp;"-"&amp;"2027"</f>
        <v>CID-FLH----2027</v>
      </c>
      <c r="B15" s="49" t="e" cm="1">
        <f t="array" ref="B15">Educator!B20&amp;" "&amp;_xlfn.IFS(AND(ISNUMBER(Educator!D20),Educator!D20&lt;&gt;9),"Grade "&amp;Educator!D20,Educator!D20=9,"Grade 9-12",ISTEXT(Educator!D20),Educator!D20)&amp;" "&amp;"Florida"&amp;" "&amp;"26-27"</f>
        <v>#N/A</v>
      </c>
      <c r="C15" s="49" t="e">
        <f t="shared" si="0"/>
        <v>#N/A</v>
      </c>
      <c r="E15" s="51" t="s">
        <v>102</v>
      </c>
      <c r="F15" s="49" t="b">
        <f>IF(Educator!B20&gt;0,"active")</f>
        <v>0</v>
      </c>
      <c r="J15" s="49" t="str">
        <f>"BP-"&amp;"TSWFL-"&amp;IF(ISNUMBER(Educator!D20),""&amp;Educator!D20,Educator!D20)&amp;"-"&amp;"2027"</f>
        <v>BP-TSWFL--2027</v>
      </c>
      <c r="O15" s="50" t="s">
        <v>86</v>
      </c>
    </row>
    <row r="16" spans="1:27" x14ac:dyDescent="0.2">
      <c r="A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","#",3))+1,1)&amp;"-"&amp;LEFT(Educator!B21, 3)&amp;"-"&amp;LEFT(Educator!A21, 3)&amp;"-"&amp;IF(ISNUMBER(Educator!D21),"G"&amp;Educator!D21,Educator!D21)&amp;"-"&amp;"2027"</f>
        <v>CID-FLH----2027</v>
      </c>
      <c r="B16" s="49" t="e" cm="1">
        <f t="array" ref="B16">Educator!B21&amp;" "&amp;_xlfn.IFS(AND(ISNUMBER(Educator!D21),Educator!D21&lt;&gt;9),"Grade "&amp;Educator!D21,Educator!D21=9,"Grade 9-12",ISTEXT(Educator!D21),Educator!D21)&amp;" "&amp;"Florida"&amp;" "&amp;"26-27"</f>
        <v>#N/A</v>
      </c>
      <c r="C16" s="49" t="e">
        <f t="shared" si="0"/>
        <v>#N/A</v>
      </c>
      <c r="E16" s="51" t="s">
        <v>102</v>
      </c>
      <c r="F16" s="49" t="b">
        <f>IF(Educator!B21&gt;0,"active")</f>
        <v>0</v>
      </c>
      <c r="J16" s="49" t="str">
        <f>"BP-"&amp;"TSWFL-"&amp;IF(ISNUMBER(Educator!D21),""&amp;Educator!D21,Educator!D21)&amp;"-"&amp;"2027"</f>
        <v>BP-TSWFL--2027</v>
      </c>
    </row>
    <row r="17" spans="1:10" x14ac:dyDescent="0.2">
      <c r="A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","#",3))+1,1)&amp;"-"&amp;LEFT(Educator!B22, 3)&amp;"-"&amp;LEFT(Educator!A22, 3)&amp;"-"&amp;IF(ISNUMBER(Educator!D22),"G"&amp;Educator!D22,Educator!D22)&amp;"-"&amp;"2027"</f>
        <v>CID-FLH----2027</v>
      </c>
      <c r="B17" s="49" t="e" cm="1">
        <f t="array" ref="B17">Educator!B22&amp;" "&amp;_xlfn.IFS(AND(ISNUMBER(Educator!D22),Educator!D22&lt;&gt;9),"Grade "&amp;Educator!D22,Educator!D22=9,"Grade 9-12",ISTEXT(Educator!D22),Educator!D22)&amp;" "&amp;"Florida"&amp;" "&amp;"26-27"</f>
        <v>#N/A</v>
      </c>
      <c r="C17" s="49" t="e">
        <f t="shared" si="0"/>
        <v>#N/A</v>
      </c>
      <c r="E17" s="51" t="s">
        <v>102</v>
      </c>
      <c r="F17" s="49" t="b">
        <f>IF(Educator!B22&gt;0,"active")</f>
        <v>0</v>
      </c>
      <c r="J17" s="49" t="str">
        <f>"BP-"&amp;"TSWFL-"&amp;IF(ISNUMBER(Educator!D22),""&amp;Educator!D22,Educator!D22)&amp;"-"&amp;"2027"</f>
        <v>BP-TSWFL--2027</v>
      </c>
    </row>
    <row r="18" spans="1:10" x14ac:dyDescent="0.2">
      <c r="A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","#",3))+1,1)&amp;"-"&amp;LEFT(Educator!B23, 3)&amp;"-"&amp;LEFT(Educator!A23, 3)&amp;"-"&amp;IF(ISNUMBER(Educator!D23),"G"&amp;Educator!D23,Educator!D23)&amp;"-"&amp;"2027"</f>
        <v>CID-FLH----2027</v>
      </c>
      <c r="B18" s="49" t="e" cm="1">
        <f t="array" ref="B18">Educator!B23&amp;" "&amp;_xlfn.IFS(AND(ISNUMBER(Educator!D23),Educator!D23&lt;&gt;9),"Grade "&amp;Educator!D23,Educator!D23=9,"Grade 9-12",ISTEXT(Educator!D23),Educator!D23)&amp;" "&amp;"Florida"&amp;" "&amp;"26-27"</f>
        <v>#N/A</v>
      </c>
      <c r="C18" s="49" t="e">
        <f t="shared" si="0"/>
        <v>#N/A</v>
      </c>
      <c r="E18" s="51" t="s">
        <v>102</v>
      </c>
      <c r="F18" s="49" t="b">
        <f>IF(Educator!B23&gt;0,"active")</f>
        <v>0</v>
      </c>
      <c r="J18" s="49" t="str">
        <f>"BP-"&amp;"TSWFL-"&amp;IF(ISNUMBER(Educator!D23),""&amp;Educator!D23,Educator!D23)&amp;"-"&amp;"2027"</f>
        <v>BP-TSWFL--2027</v>
      </c>
    </row>
    <row r="19" spans="1:10" x14ac:dyDescent="0.2">
      <c r="A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","#",3))+1,1)&amp;"-"&amp;LEFT(Educator!B24, 3)&amp;"-"&amp;LEFT(Educator!A24, 3)&amp;"-"&amp;IF(ISNUMBER(Educator!D24),"G"&amp;Educator!D24,Educator!D24)&amp;"-"&amp;"2027"</f>
        <v>CID-FLH----2027</v>
      </c>
      <c r="B19" s="49" t="e" cm="1">
        <f t="array" ref="B19">Educator!B24&amp;" "&amp;_xlfn.IFS(AND(ISNUMBER(Educator!D24),Educator!D24&lt;&gt;9),"Grade "&amp;Educator!D24,Educator!D24=9,"Grade 9-12",ISTEXT(Educator!D24),Educator!D24)&amp;" "&amp;"Florida"&amp;" "&amp;"26-27"</f>
        <v>#N/A</v>
      </c>
      <c r="C19" s="49" t="e">
        <f t="shared" si="0"/>
        <v>#N/A</v>
      </c>
      <c r="E19" s="51" t="s">
        <v>102</v>
      </c>
      <c r="F19" s="49" t="b">
        <f>IF(Educator!B24&gt;0,"active")</f>
        <v>0</v>
      </c>
      <c r="J19" s="49" t="str">
        <f>"BP-"&amp;"TSWFL-"&amp;IF(ISNUMBER(Educator!D24),""&amp;Educator!D24,Educator!D24)&amp;"-"&amp;"2027"</f>
        <v>BP-TSWFL--2027</v>
      </c>
    </row>
    <row r="20" spans="1:10" ht="17" customHeight="1" x14ac:dyDescent="0.2">
      <c r="A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","#",3))+1,1)&amp;"-"&amp;LEFT(Educator!B25, 3)&amp;"-"&amp;LEFT(Educator!A25, 3)&amp;"-"&amp;IF(ISNUMBER(Educator!D25),"G"&amp;Educator!D25,Educator!D25)&amp;"-"&amp;"2027"</f>
        <v>CID-FLH----2027</v>
      </c>
      <c r="B20" s="49" t="e" cm="1">
        <f t="array" ref="B20">Educator!B25&amp;" "&amp;_xlfn.IFS(AND(ISNUMBER(Educator!D25),Educator!D25&lt;&gt;9),"Grade "&amp;Educator!D25,Educator!D25=9,"Grade 9-12",ISTEXT(Educator!D25),Educator!D25)&amp;" "&amp;"Florida"&amp;" "&amp;"26-27"</f>
        <v>#N/A</v>
      </c>
      <c r="C20" s="49" t="e">
        <f t="shared" si="0"/>
        <v>#N/A</v>
      </c>
      <c r="E20" s="51" t="s">
        <v>102</v>
      </c>
      <c r="F20" s="49" t="b">
        <f>IF(Educator!B25&gt;0,"active")</f>
        <v>0</v>
      </c>
      <c r="J20" s="49" t="str">
        <f>"BP-"&amp;"TSWFL-"&amp;IF(ISNUMBER(Educator!D25),""&amp;Educator!D25,Educator!D25)&amp;"-"&amp;"2027"</f>
        <v>BP-TSWFL--2027</v>
      </c>
    </row>
    <row r="21" spans="1:10" x14ac:dyDescent="0.2">
      <c r="A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","#",3))+1,1)&amp;"-"&amp;LEFT(Educator!B26, 3)&amp;"-"&amp;LEFT(Educator!A26, 3)&amp;"-"&amp;IF(ISNUMBER(Educator!D26),"G"&amp;Educator!D26,Educator!D26)&amp;"-"&amp;"2027"</f>
        <v>CID-FLH----2027</v>
      </c>
      <c r="B21" s="49" t="e" cm="1">
        <f t="array" ref="B21">Educator!B26&amp;" "&amp;_xlfn.IFS(AND(ISNUMBER(Educator!D26),Educator!D26&lt;&gt;9),"Grade "&amp;Educator!D26,Educator!D26=9,"Grade 9-12",ISTEXT(Educator!D26),Educator!D26)&amp;" "&amp;"Florida"&amp;" "&amp;"26-27"</f>
        <v>#N/A</v>
      </c>
      <c r="C21" s="49" t="e">
        <f t="shared" si="0"/>
        <v>#N/A</v>
      </c>
      <c r="E21" s="51" t="s">
        <v>102</v>
      </c>
      <c r="F21" s="49" t="b">
        <f>IF(Educator!B26&gt;0,"active")</f>
        <v>0</v>
      </c>
      <c r="J21" s="49" t="str">
        <f>"BP-"&amp;"TSWFL-"&amp;IF(ISNUMBER(Educator!D26),""&amp;Educator!D26,Educator!D26)&amp;"-"&amp;"2027"</f>
        <v>BP-TSWFL--2027</v>
      </c>
    </row>
    <row r="22" spans="1:10" x14ac:dyDescent="0.2">
      <c r="A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","#",3))+1,1)&amp;"-"&amp;LEFT(Educator!B27, 3)&amp;"-"&amp;LEFT(Educator!A27, 3)&amp;"-"&amp;IF(ISNUMBER(Educator!D27),"G"&amp;Educator!D27,Educator!D27)&amp;"-"&amp;"2027"</f>
        <v>CID-FLH----2027</v>
      </c>
      <c r="B22" s="49" t="e" cm="1">
        <f t="array" ref="B22">Educator!B27&amp;" "&amp;_xlfn.IFS(AND(ISNUMBER(Educator!D27),Educator!D27&lt;&gt;9),"Grade "&amp;Educator!D27,Educator!D27=9,"Grade 9-12",ISTEXT(Educator!D27),Educator!D27)&amp;" "&amp;"Florida"&amp;" "&amp;"26-27"</f>
        <v>#N/A</v>
      </c>
      <c r="C22" s="49" t="e">
        <f t="shared" si="0"/>
        <v>#N/A</v>
      </c>
      <c r="E22" s="51" t="s">
        <v>102</v>
      </c>
      <c r="F22" s="49" t="b">
        <f>IF(Educator!B27&gt;0,"active")</f>
        <v>0</v>
      </c>
      <c r="J22" s="49" t="str">
        <f>"BP-"&amp;"TSWFL-"&amp;IF(ISNUMBER(Educator!D27),""&amp;Educator!D27,Educator!D27)&amp;"-"&amp;"2027"</f>
        <v>BP-TSWFL--2027</v>
      </c>
    </row>
    <row r="23" spans="1:10" x14ac:dyDescent="0.2">
      <c r="A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","#",3))+1,1)&amp;"-"&amp;LEFT(Educator!B28, 3)&amp;"-"&amp;LEFT(Educator!A28, 3)&amp;"-"&amp;IF(ISNUMBER(Educator!D28),"G"&amp;Educator!D28,Educator!D28)&amp;"-"&amp;"2027"</f>
        <v>CID-FLH----2027</v>
      </c>
      <c r="B23" s="49" t="e" cm="1">
        <f t="array" ref="B23">Educator!B28&amp;" "&amp;_xlfn.IFS(AND(ISNUMBER(Educator!D28),Educator!D28&lt;&gt;9),"Grade "&amp;Educator!D28,Educator!D28=9,"Grade 9-12",ISTEXT(Educator!D28),Educator!D28)&amp;" "&amp;"Florida"&amp;" "&amp;"26-27"</f>
        <v>#N/A</v>
      </c>
      <c r="C23" s="49" t="e">
        <f t="shared" si="0"/>
        <v>#N/A</v>
      </c>
      <c r="E23" s="51" t="s">
        <v>102</v>
      </c>
      <c r="F23" s="49" t="b">
        <f>IF(Educator!B28&gt;0,"active")</f>
        <v>0</v>
      </c>
      <c r="J23" s="49" t="str">
        <f>"BP-"&amp;"TSWFL-"&amp;IF(ISNUMBER(Educator!D28),""&amp;Educator!D28,Educator!D28)&amp;"-"&amp;"2027"</f>
        <v>BP-TSWFL--2027</v>
      </c>
    </row>
    <row r="24" spans="1:10" x14ac:dyDescent="0.2">
      <c r="A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","#",3))+1,1)&amp;"-"&amp;LEFT(Educator!B29, 3)&amp;"-"&amp;LEFT(Educator!A29, 3)&amp;"-"&amp;IF(ISNUMBER(Educator!D29),"G"&amp;Educator!D29,Educator!D29)&amp;"-"&amp;"2027"</f>
        <v>CID-FLH----2027</v>
      </c>
      <c r="B24" s="49" t="e" cm="1">
        <f t="array" ref="B24">Educator!B29&amp;" "&amp;_xlfn.IFS(AND(ISNUMBER(Educator!D29),Educator!D29&lt;&gt;9),"Grade "&amp;Educator!D29,Educator!D29=9,"Grade 9-12",ISTEXT(Educator!D29),Educator!D29)&amp;" "&amp;"Florida"&amp;" "&amp;"26-27"</f>
        <v>#N/A</v>
      </c>
      <c r="C24" s="49" t="e">
        <f t="shared" si="0"/>
        <v>#N/A</v>
      </c>
      <c r="E24" s="51" t="s">
        <v>102</v>
      </c>
      <c r="F24" s="49" t="b">
        <f>IF(Educator!B29&gt;0,"active")</f>
        <v>0</v>
      </c>
      <c r="J24" s="49" t="str">
        <f>"BP-"&amp;"TSWFL-"&amp;IF(ISNUMBER(Educator!D29),""&amp;Educator!D29,Educator!D29)&amp;"-"&amp;"2027"</f>
        <v>BP-TSWFL--2027</v>
      </c>
    </row>
    <row r="25" spans="1:10" x14ac:dyDescent="0.2">
      <c r="A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","#",3))+1,1)&amp;"-"&amp;LEFT(Educator!B30, 3)&amp;"-"&amp;LEFT(Educator!A30, 3)&amp;"-"&amp;IF(ISNUMBER(Educator!D30),"G"&amp;Educator!D30,Educator!D30)&amp;"-"&amp;"2027"</f>
        <v>CID-FLH----2027</v>
      </c>
      <c r="B25" s="49" t="e" cm="1">
        <f t="array" ref="B25">Educator!B30&amp;" "&amp;_xlfn.IFS(AND(ISNUMBER(Educator!D30),Educator!D30&lt;&gt;9),"Grade "&amp;Educator!D30,Educator!D30=9,"Grade 9-12",ISTEXT(Educator!D30),Educator!D30)&amp;" "&amp;"Florida"&amp;" "&amp;"26-27"</f>
        <v>#N/A</v>
      </c>
      <c r="C25" s="49" t="e">
        <f t="shared" si="0"/>
        <v>#N/A</v>
      </c>
      <c r="E25" s="51" t="s">
        <v>102</v>
      </c>
      <c r="F25" s="49" t="b">
        <f>IF(Educator!B30&gt;0,"active")</f>
        <v>0</v>
      </c>
      <c r="J25" s="49" t="str">
        <f>"BP-"&amp;"TSWFL-"&amp;IF(ISNUMBER(Educator!D30),""&amp;Educator!D30,Educator!D30)&amp;"-"&amp;"2027"</f>
        <v>BP-TSWFL--2027</v>
      </c>
    </row>
    <row r="26" spans="1:10" x14ac:dyDescent="0.2">
      <c r="A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","#",3))+1,1)&amp;"-"&amp;LEFT(Educator!B31, 3)&amp;"-"&amp;LEFT(Educator!A31, 3)&amp;"-"&amp;IF(ISNUMBER(Educator!D31),"G"&amp;Educator!D31,Educator!D31)&amp;"-"&amp;"2027"</f>
        <v>CID-FLH----2027</v>
      </c>
      <c r="B26" s="49" t="e" cm="1">
        <f t="array" ref="B26">Educator!B31&amp;" "&amp;_xlfn.IFS(AND(ISNUMBER(Educator!D31),Educator!D31&lt;&gt;9),"Grade "&amp;Educator!D31,Educator!D31=9,"Grade 9-12",ISTEXT(Educator!D31),Educator!D31)&amp;" "&amp;"Florida"&amp;" "&amp;"26-27"</f>
        <v>#N/A</v>
      </c>
      <c r="C26" s="49" t="e">
        <f t="shared" si="0"/>
        <v>#N/A</v>
      </c>
      <c r="E26" s="51" t="s">
        <v>102</v>
      </c>
      <c r="F26" s="49" t="b">
        <f>IF(Educator!B31&gt;0,"active")</f>
        <v>0</v>
      </c>
      <c r="J26" s="49" t="str">
        <f>"BP-"&amp;"TSWFL-"&amp;IF(ISNUMBER(Educator!D31),""&amp;Educator!D31,Educator!D31)&amp;"-"&amp;"2027"</f>
        <v>BP-TSWFL--2027</v>
      </c>
    </row>
    <row r="27" spans="1:10" x14ac:dyDescent="0.2">
      <c r="A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","#",3))+1,1)&amp;"-"&amp;LEFT(Educator!B32, 3)&amp;"-"&amp;LEFT(Educator!A32, 3)&amp;"-"&amp;IF(ISNUMBER(Educator!D32),"G"&amp;Educator!D32,Educator!D32)&amp;"-"&amp;"2027"</f>
        <v>CID-FLH----2027</v>
      </c>
      <c r="B27" s="49" t="e" cm="1">
        <f t="array" ref="B27">Educator!B32&amp;" "&amp;_xlfn.IFS(AND(ISNUMBER(Educator!D32),Educator!D32&lt;&gt;9),"Grade "&amp;Educator!D32,Educator!D32=9,"Grade 9-12",ISTEXT(Educator!D32),Educator!D32)&amp;" "&amp;"Florida"&amp;" "&amp;"26-27"</f>
        <v>#N/A</v>
      </c>
      <c r="C27" s="49" t="e">
        <f t="shared" si="0"/>
        <v>#N/A</v>
      </c>
      <c r="E27" s="51" t="s">
        <v>102</v>
      </c>
      <c r="F27" s="49" t="b">
        <f>IF(Educator!B32&gt;0,"active")</f>
        <v>0</v>
      </c>
      <c r="J27" s="49" t="str">
        <f>"BP-"&amp;"TSWFL-"&amp;IF(ISNUMBER(Educator!D32),""&amp;Educator!D32,Educator!D32)&amp;"-"&amp;"2027"</f>
        <v>BP-TSWFL--2027</v>
      </c>
    </row>
    <row r="28" spans="1:10" x14ac:dyDescent="0.2">
      <c r="A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","#",3))+1,1)&amp;"-"&amp;LEFT(Educator!B33, 3)&amp;"-"&amp;LEFT(Educator!A33, 3)&amp;"-"&amp;IF(ISNUMBER(Educator!D33),"G"&amp;Educator!D33,Educator!D33)&amp;"-"&amp;"2027"</f>
        <v>CID-FLH----2027</v>
      </c>
      <c r="B28" s="49" t="e" cm="1">
        <f t="array" ref="B28">Educator!B33&amp;" "&amp;_xlfn.IFS(AND(ISNUMBER(Educator!D33),Educator!D33&lt;&gt;9),"Grade "&amp;Educator!D33,Educator!D33=9,"Grade 9-12",ISTEXT(Educator!D33),Educator!D33)&amp;" "&amp;"Florida"&amp;" "&amp;"26-27"</f>
        <v>#N/A</v>
      </c>
      <c r="C28" s="49" t="e">
        <f t="shared" si="0"/>
        <v>#N/A</v>
      </c>
      <c r="E28" s="51" t="s">
        <v>102</v>
      </c>
      <c r="F28" s="49" t="b">
        <f>IF(Educator!B33&gt;0,"active")</f>
        <v>0</v>
      </c>
      <c r="J28" s="49" t="str">
        <f>"BP-"&amp;"TSWFL-"&amp;IF(ISNUMBER(Educator!D33),""&amp;Educator!D33,Educator!D33)&amp;"-"&amp;"2027"</f>
        <v>BP-TSWFL--2027</v>
      </c>
    </row>
    <row r="29" spans="1:10" x14ac:dyDescent="0.2">
      <c r="A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","#",3))+1,1)&amp;"-"&amp;LEFT(Educator!B34, 3)&amp;"-"&amp;LEFT(Educator!A34, 3)&amp;"-"&amp;IF(ISNUMBER(Educator!D34),"G"&amp;Educator!D34,Educator!D34)&amp;"-"&amp;"2027"</f>
        <v>CID-FLH----2027</v>
      </c>
      <c r="B29" s="49" t="e" cm="1">
        <f t="array" ref="B29">Educator!B34&amp;" "&amp;_xlfn.IFS(AND(ISNUMBER(Educator!D34),Educator!D34&lt;&gt;9),"Grade "&amp;Educator!D34,Educator!D34=9,"Grade 9-12",ISTEXT(Educator!D34),Educator!D34)&amp;" "&amp;"Florida"&amp;" "&amp;"26-27"</f>
        <v>#N/A</v>
      </c>
      <c r="C29" s="49" t="e">
        <f t="shared" si="0"/>
        <v>#N/A</v>
      </c>
      <c r="E29" s="51" t="s">
        <v>102</v>
      </c>
      <c r="F29" s="49" t="b">
        <f>IF(Educator!B34&gt;0,"active")</f>
        <v>0</v>
      </c>
      <c r="J29" s="49" t="str">
        <f>"BP-"&amp;"TSWFL-"&amp;IF(ISNUMBER(Educator!D34),""&amp;Educator!D34,Educator!D34)&amp;"-"&amp;"2027"</f>
        <v>BP-TSWFL--2027</v>
      </c>
    </row>
    <row r="30" spans="1:10" x14ac:dyDescent="0.2">
      <c r="A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","#",3))+1,1)&amp;"-"&amp;LEFT(Educator!B35, 3)&amp;"-"&amp;LEFT(Educator!A35, 3)&amp;"-"&amp;IF(ISNUMBER(Educator!D35),"G"&amp;Educator!D35,Educator!D35)&amp;"-"&amp;"2027"</f>
        <v>CID-FLH----2027</v>
      </c>
      <c r="B30" s="49" t="e" cm="1">
        <f t="array" ref="B30">Educator!B35&amp;" "&amp;_xlfn.IFS(AND(ISNUMBER(Educator!D35),Educator!D35&lt;&gt;9),"Grade "&amp;Educator!D35,Educator!D35=9,"Grade 9-12",ISTEXT(Educator!D35),Educator!D35)&amp;" "&amp;"Florida"&amp;" "&amp;"26-27"</f>
        <v>#N/A</v>
      </c>
      <c r="C30" s="49" t="e">
        <f t="shared" si="0"/>
        <v>#N/A</v>
      </c>
      <c r="E30" s="51" t="s">
        <v>102</v>
      </c>
      <c r="F30" s="49" t="b">
        <f>IF(Educator!B35&gt;0,"active")</f>
        <v>0</v>
      </c>
      <c r="J30" s="49" t="str">
        <f>"BP-"&amp;"TSWFL-"&amp;IF(ISNUMBER(Educator!D35),""&amp;Educator!D35,Educator!D35)&amp;"-"&amp;"2027"</f>
        <v>BP-TSWFL--2027</v>
      </c>
    </row>
    <row r="31" spans="1:10" x14ac:dyDescent="0.2">
      <c r="A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","#",3))+1,1)&amp;"-"&amp;LEFT(Educator!B36, 3)&amp;"-"&amp;LEFT(Educator!A36, 3)&amp;"-"&amp;IF(ISNUMBER(Educator!D36),"G"&amp;Educator!D36,Educator!D36)&amp;"-"&amp;"2027"</f>
        <v>CID-FLH----2027</v>
      </c>
      <c r="B31" s="49" t="e" cm="1">
        <f t="array" ref="B31">Educator!B36&amp;" "&amp;_xlfn.IFS(AND(ISNUMBER(Educator!D36),Educator!D36&lt;&gt;9),"Grade "&amp;Educator!D36,Educator!D36=9,"Grade 9-12",ISTEXT(Educator!D36),Educator!D36)&amp;" "&amp;"Florida"&amp;" "&amp;"26-27"</f>
        <v>#N/A</v>
      </c>
      <c r="C31" s="49" t="e">
        <f t="shared" si="0"/>
        <v>#N/A</v>
      </c>
      <c r="E31" s="51" t="s">
        <v>102</v>
      </c>
      <c r="F31" s="49" t="b">
        <f>IF(Educator!B36&gt;0,"active")</f>
        <v>0</v>
      </c>
      <c r="J31" s="49" t="str">
        <f>"BP-"&amp;"TSWFL-"&amp;IF(ISNUMBER(Educator!D36),""&amp;Educator!D36,Educator!D36)&amp;"-"&amp;"2027"</f>
        <v>BP-TSWFL--2027</v>
      </c>
    </row>
    <row r="32" spans="1:10" x14ac:dyDescent="0.2">
      <c r="A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","#",3))+1,1)&amp;"-"&amp;LEFT(Educator!B37, 3)&amp;"-"&amp;LEFT(Educator!A37, 3)&amp;"-"&amp;IF(ISNUMBER(Educator!D37),"G"&amp;Educator!D37,Educator!D37)&amp;"-"&amp;"2027"</f>
        <v>CID-FLH----2027</v>
      </c>
      <c r="B32" s="49" t="e" cm="1">
        <f t="array" ref="B32">Educator!B37&amp;" "&amp;_xlfn.IFS(AND(ISNUMBER(Educator!D37),Educator!D37&lt;&gt;9),"Grade "&amp;Educator!D37,Educator!D37=9,"Grade 9-12",ISTEXT(Educator!D37),Educator!D37)&amp;" "&amp;"Florida"&amp;" "&amp;"26-27"</f>
        <v>#N/A</v>
      </c>
      <c r="C32" s="49" t="e">
        <f t="shared" si="0"/>
        <v>#N/A</v>
      </c>
      <c r="E32" s="51" t="s">
        <v>102</v>
      </c>
      <c r="F32" s="49" t="b">
        <f>IF(Educator!B37&gt;0,"active")</f>
        <v>0</v>
      </c>
      <c r="J32" s="49" t="str">
        <f>"BP-"&amp;"TSWFL-"&amp;IF(ISNUMBER(Educator!D37),""&amp;Educator!D37,Educator!D37)&amp;"-"&amp;"2027"</f>
        <v>BP-TSWFL--2027</v>
      </c>
    </row>
    <row r="33" spans="1:10" x14ac:dyDescent="0.2">
      <c r="A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","#",3))+1,1)&amp;"-"&amp;LEFT(Educator!B38, 3)&amp;"-"&amp;LEFT(Educator!A38, 3)&amp;"-"&amp;IF(ISNUMBER(Educator!D38),"G"&amp;Educator!D38,Educator!D38)&amp;"-"&amp;"2027"</f>
        <v>CID-FLH----2027</v>
      </c>
      <c r="B33" s="49" t="e" cm="1">
        <f t="array" ref="B33">Educator!B38&amp;" "&amp;_xlfn.IFS(AND(ISNUMBER(Educator!D38),Educator!D38&lt;&gt;9),"Grade "&amp;Educator!D38,Educator!D38=9,"Grade 9-12",ISTEXT(Educator!D38),Educator!D38)&amp;" "&amp;"Florida"&amp;" "&amp;"26-27"</f>
        <v>#N/A</v>
      </c>
      <c r="C33" s="49" t="e">
        <f t="shared" si="0"/>
        <v>#N/A</v>
      </c>
      <c r="E33" s="51" t="s">
        <v>102</v>
      </c>
      <c r="F33" s="49" t="b">
        <f>IF(Educator!B38&gt;0,"active")</f>
        <v>0</v>
      </c>
      <c r="J33" s="49" t="str">
        <f>"BP-"&amp;"TSWFL-"&amp;IF(ISNUMBER(Educator!D38),""&amp;Educator!D38,Educator!D38)&amp;"-"&amp;"2027"</f>
        <v>BP-TSWFL--2027</v>
      </c>
    </row>
    <row r="34" spans="1:10" x14ac:dyDescent="0.2">
      <c r="A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","#",3))+1,1)&amp;"-"&amp;LEFT(Educator!B39, 3)&amp;"-"&amp;LEFT(Educator!A39, 3)&amp;"-"&amp;IF(ISNUMBER(Educator!D39),"G"&amp;Educator!D39,Educator!D39)&amp;"-"&amp;"2027"</f>
        <v>CID-FLH----2027</v>
      </c>
      <c r="B34" s="49" t="e" cm="1">
        <f t="array" ref="B34">Educator!B39&amp;" "&amp;_xlfn.IFS(AND(ISNUMBER(Educator!D39),Educator!D39&lt;&gt;9),"Grade "&amp;Educator!D39,Educator!D39=9,"Grade 9-12",ISTEXT(Educator!D39),Educator!D39)&amp;" "&amp;"Florida"&amp;" "&amp;"26-27"</f>
        <v>#N/A</v>
      </c>
      <c r="C34" s="49" t="e">
        <f t="shared" si="0"/>
        <v>#N/A</v>
      </c>
      <c r="E34" s="51" t="s">
        <v>102</v>
      </c>
      <c r="F34" s="49" t="b">
        <f>IF(Educator!B39&gt;0,"active")</f>
        <v>0</v>
      </c>
      <c r="J34" s="49" t="str">
        <f>"BP-"&amp;"TSWFL-"&amp;IF(ISNUMBER(Educator!D39),""&amp;Educator!D39,Educator!D39)&amp;"-"&amp;"2027"</f>
        <v>BP-TSWFL--2027</v>
      </c>
    </row>
    <row r="35" spans="1:10" x14ac:dyDescent="0.2">
      <c r="A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","#",3))+1,1)&amp;"-"&amp;LEFT(Educator!B40, 3)&amp;"-"&amp;LEFT(Educator!A40, 3)&amp;"-"&amp;IF(ISNUMBER(Educator!D40),"G"&amp;Educator!D40,Educator!D40)&amp;"-"&amp;"2027"</f>
        <v>CID-FLH----2027</v>
      </c>
      <c r="B35" s="49" t="e" cm="1">
        <f t="array" ref="B35">Educator!B40&amp;" "&amp;_xlfn.IFS(AND(ISNUMBER(Educator!D40),Educator!D40&lt;&gt;9),"Grade "&amp;Educator!D40,Educator!D40=9,"Grade 9-12",ISTEXT(Educator!D40),Educator!D40)&amp;" "&amp;"Florida"&amp;" "&amp;"26-27"</f>
        <v>#N/A</v>
      </c>
      <c r="C35" s="49" t="e">
        <f t="shared" si="0"/>
        <v>#N/A</v>
      </c>
      <c r="E35" s="51" t="s">
        <v>102</v>
      </c>
      <c r="F35" s="49" t="b">
        <f>IF(Educator!B40&gt;0,"active")</f>
        <v>0</v>
      </c>
      <c r="J35" s="49" t="str">
        <f>"BP-"&amp;"TSWFL-"&amp;IF(ISNUMBER(Educator!D40),""&amp;Educator!D40,Educator!D40)&amp;"-"&amp;"2027"</f>
        <v>BP-TSWFL--2027</v>
      </c>
    </row>
    <row r="36" spans="1:10" x14ac:dyDescent="0.2">
      <c r="A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","#",3))+1,1)&amp;"-"&amp;LEFT(Educator!B41, 3)&amp;"-"&amp;LEFT(Educator!A41, 3)&amp;"-"&amp;IF(ISNUMBER(Educator!D41),"G"&amp;Educator!D41,Educator!D41)&amp;"-"&amp;"2027"</f>
        <v>CID-FLH----2027</v>
      </c>
      <c r="B36" s="49" t="e" cm="1">
        <f t="array" ref="B36">Educator!B41&amp;" "&amp;_xlfn.IFS(AND(ISNUMBER(Educator!D41),Educator!D41&lt;&gt;9),"Grade "&amp;Educator!D41,Educator!D41=9,"Grade 9-12",ISTEXT(Educator!D41),Educator!D41)&amp;" "&amp;"Florida"&amp;" "&amp;"26-27"</f>
        <v>#N/A</v>
      </c>
      <c r="C36" s="49" t="e">
        <f t="shared" si="0"/>
        <v>#N/A</v>
      </c>
      <c r="E36" s="51" t="s">
        <v>102</v>
      </c>
      <c r="F36" s="49" t="b">
        <f>IF(Educator!B41&gt;0,"active")</f>
        <v>0</v>
      </c>
      <c r="J36" s="49" t="str">
        <f>"BP-"&amp;"TSWFL-"&amp;IF(ISNUMBER(Educator!D41),""&amp;Educator!D41,Educator!D41)&amp;"-"&amp;"2027"</f>
        <v>BP-TSWFL--2027</v>
      </c>
    </row>
    <row r="37" spans="1:10" x14ac:dyDescent="0.2">
      <c r="A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","#",3))+1,1)&amp;"-"&amp;LEFT(Educator!B42, 3)&amp;"-"&amp;LEFT(Educator!A42, 3)&amp;"-"&amp;IF(ISNUMBER(Educator!D42),"G"&amp;Educator!D42,Educator!D42)&amp;"-"&amp;"2027"</f>
        <v>CID-FLH----2027</v>
      </c>
      <c r="B37" s="49" t="e" cm="1">
        <f t="array" ref="B37">Educator!B42&amp;" "&amp;_xlfn.IFS(AND(ISNUMBER(Educator!D42),Educator!D42&lt;&gt;9),"Grade "&amp;Educator!D42,Educator!D42=9,"Grade 9-12",ISTEXT(Educator!D42),Educator!D42)&amp;" "&amp;"Florida"&amp;" "&amp;"26-27"</f>
        <v>#N/A</v>
      </c>
      <c r="C37" s="49" t="e">
        <f t="shared" si="0"/>
        <v>#N/A</v>
      </c>
      <c r="E37" s="51" t="s">
        <v>102</v>
      </c>
      <c r="F37" s="49" t="b">
        <f>IF(Educator!B42&gt;0,"active")</f>
        <v>0</v>
      </c>
      <c r="J37" s="49" t="str">
        <f>"BP-"&amp;"TSWFL-"&amp;IF(ISNUMBER(Educator!D42),""&amp;Educator!D42,Educator!D42)&amp;"-"&amp;"2027"</f>
        <v>BP-TSWFL--2027</v>
      </c>
    </row>
    <row r="38" spans="1:10" x14ac:dyDescent="0.2">
      <c r="A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","#",3))+1,1)&amp;"-"&amp;LEFT(Educator!B43, 3)&amp;"-"&amp;LEFT(Educator!A43, 3)&amp;"-"&amp;IF(ISNUMBER(Educator!D43),"G"&amp;Educator!D43,Educator!D43)&amp;"-"&amp;"2027"</f>
        <v>CID-FLH----2027</v>
      </c>
      <c r="B38" s="49" t="e" cm="1">
        <f t="array" ref="B38">Educator!B43&amp;" "&amp;_xlfn.IFS(AND(ISNUMBER(Educator!D43),Educator!D43&lt;&gt;9),"Grade "&amp;Educator!D43,Educator!D43=9,"Grade 9-12",ISTEXT(Educator!D43),Educator!D43)&amp;" "&amp;"Florida"&amp;" "&amp;"26-27"</f>
        <v>#N/A</v>
      </c>
      <c r="C38" s="49" t="e">
        <f t="shared" si="0"/>
        <v>#N/A</v>
      </c>
      <c r="E38" s="51" t="s">
        <v>102</v>
      </c>
      <c r="F38" s="49" t="b">
        <f>IF(Educator!B43&gt;0,"active")</f>
        <v>0</v>
      </c>
      <c r="J38" s="49" t="str">
        <f>"BP-"&amp;"TSWFL-"&amp;IF(ISNUMBER(Educator!D43),""&amp;Educator!D43,Educator!D43)&amp;"-"&amp;"2027"</f>
        <v>BP-TSWFL--2027</v>
      </c>
    </row>
    <row r="39" spans="1:10" x14ac:dyDescent="0.2">
      <c r="A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","#",3))+1,1)&amp;"-"&amp;LEFT(Educator!B44, 3)&amp;"-"&amp;LEFT(Educator!A44, 3)&amp;"-"&amp;IF(ISNUMBER(Educator!D44),"G"&amp;Educator!D44,Educator!D44)&amp;"-"&amp;"2027"</f>
        <v>CID-FLH----2027</v>
      </c>
      <c r="B39" s="49" t="e" cm="1">
        <f t="array" ref="B39">Educator!B44&amp;" "&amp;_xlfn.IFS(AND(ISNUMBER(Educator!D44),Educator!D44&lt;&gt;9),"Grade "&amp;Educator!D44,Educator!D44=9,"Grade 9-12",ISTEXT(Educator!D44),Educator!D44)&amp;" "&amp;"Florida"&amp;" "&amp;"26-27"</f>
        <v>#N/A</v>
      </c>
      <c r="C39" s="49" t="e">
        <f t="shared" si="0"/>
        <v>#N/A</v>
      </c>
      <c r="E39" s="51" t="s">
        <v>102</v>
      </c>
      <c r="F39" s="49" t="b">
        <f>IF(Educator!B44&gt;0,"active")</f>
        <v>0</v>
      </c>
      <c r="J39" s="49" t="str">
        <f>"BP-"&amp;"TSWFL-"&amp;IF(ISNUMBER(Educator!D44),""&amp;Educator!D44,Educator!D44)&amp;"-"&amp;"2027"</f>
        <v>BP-TSWFL--2027</v>
      </c>
    </row>
    <row r="40" spans="1:10" x14ac:dyDescent="0.2">
      <c r="A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","#",3))+1,1)&amp;"-"&amp;LEFT(Educator!B45, 3)&amp;"-"&amp;LEFT(Educator!A45, 3)&amp;"-"&amp;IF(ISNUMBER(Educator!D45),"G"&amp;Educator!D45,Educator!D45)&amp;"-"&amp;"2027"</f>
        <v>CID-FLH----2027</v>
      </c>
      <c r="B40" s="49" t="e" cm="1">
        <f t="array" ref="B40">Educator!B45&amp;" "&amp;_xlfn.IFS(AND(ISNUMBER(Educator!D45),Educator!D45&lt;&gt;9),"Grade "&amp;Educator!D45,Educator!D45=9,"Grade 9-12",ISTEXT(Educator!D45),Educator!D45)&amp;" "&amp;"Florida"&amp;" "&amp;"26-27"</f>
        <v>#N/A</v>
      </c>
      <c r="C40" s="49" t="e">
        <f t="shared" si="0"/>
        <v>#N/A</v>
      </c>
      <c r="E40" s="51" t="s">
        <v>102</v>
      </c>
      <c r="F40" s="49" t="b">
        <f>IF(Educator!B45&gt;0,"active")</f>
        <v>0</v>
      </c>
      <c r="J40" s="49" t="str">
        <f>"BP-"&amp;"TSWFL-"&amp;IF(ISNUMBER(Educator!D45),""&amp;Educator!D45,Educator!D45)&amp;"-"&amp;"2027"</f>
        <v>BP-TSWFL--2027</v>
      </c>
    </row>
    <row r="41" spans="1:10" x14ac:dyDescent="0.2">
      <c r="A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","#",3))+1,1)&amp;"-"&amp;LEFT(Educator!B46, 3)&amp;"-"&amp;LEFT(Educator!A46, 3)&amp;"-"&amp;IF(ISNUMBER(Educator!D46),"G"&amp;Educator!D46,Educator!D46)&amp;"-"&amp;"2027"</f>
        <v>CID-FLH----2027</v>
      </c>
      <c r="B41" s="49" t="e" cm="1">
        <f t="array" ref="B41">Educator!B46&amp;" "&amp;_xlfn.IFS(AND(ISNUMBER(Educator!D46),Educator!D46&lt;&gt;9),"Grade "&amp;Educator!D46,Educator!D46=9,"Grade 9-12",ISTEXT(Educator!D46),Educator!D46)&amp;" "&amp;"Florida"&amp;" "&amp;"26-27"</f>
        <v>#N/A</v>
      </c>
      <c r="C41" s="49" t="e">
        <f t="shared" si="0"/>
        <v>#N/A</v>
      </c>
      <c r="E41" s="51" t="s">
        <v>102</v>
      </c>
      <c r="F41" s="49" t="b">
        <f>IF(Educator!B46&gt;0,"active")</f>
        <v>0</v>
      </c>
      <c r="J41" s="49" t="str">
        <f>"BP-"&amp;"TSWFL-"&amp;IF(ISNUMBER(Educator!D46),""&amp;Educator!D46,Educator!D46)&amp;"-"&amp;"2027"</f>
        <v>BP-TSWFL--2027</v>
      </c>
    </row>
    <row r="42" spans="1:10" x14ac:dyDescent="0.2">
      <c r="A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","#",3))+1,1)&amp;"-"&amp;LEFT(Educator!B47, 3)&amp;"-"&amp;LEFT(Educator!A47, 3)&amp;"-"&amp;IF(ISNUMBER(Educator!D47),"G"&amp;Educator!D47,Educator!D47)&amp;"-"&amp;"2027"</f>
        <v>CID-FLH----2027</v>
      </c>
      <c r="B42" s="49" t="e" cm="1">
        <f t="array" ref="B42">Educator!B47&amp;" "&amp;_xlfn.IFS(AND(ISNUMBER(Educator!D47),Educator!D47&lt;&gt;9),"Grade "&amp;Educator!D47,Educator!D47=9,"Grade 9-12",ISTEXT(Educator!D47),Educator!D47)&amp;" "&amp;"Florida"&amp;" "&amp;"26-27"</f>
        <v>#N/A</v>
      </c>
      <c r="C42" s="49" t="e">
        <f t="shared" si="0"/>
        <v>#N/A</v>
      </c>
      <c r="E42" s="51" t="s">
        <v>102</v>
      </c>
      <c r="F42" s="49" t="b">
        <f>IF(Educator!B47&gt;0,"active")</f>
        <v>0</v>
      </c>
      <c r="J42" s="49" t="str">
        <f>"BP-"&amp;"TSWFL-"&amp;IF(ISNUMBER(Educator!D47),""&amp;Educator!D47,Educator!D47)&amp;"-"&amp;"2027"</f>
        <v>BP-TSWFL--2027</v>
      </c>
    </row>
    <row r="43" spans="1:10" x14ac:dyDescent="0.2">
      <c r="A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","#",3))+1,1)&amp;"-"&amp;LEFT(Educator!B48, 3)&amp;"-"&amp;LEFT(Educator!A48, 3)&amp;"-"&amp;IF(ISNUMBER(Educator!D48),"G"&amp;Educator!D48,Educator!D48)&amp;"-"&amp;"2027"</f>
        <v>CID-FLH----2027</v>
      </c>
      <c r="B43" s="49" t="e" cm="1">
        <f t="array" ref="B43">Educator!B48&amp;" "&amp;_xlfn.IFS(AND(ISNUMBER(Educator!D48),Educator!D48&lt;&gt;9),"Grade "&amp;Educator!D48,Educator!D48=9,"Grade 9-12",ISTEXT(Educator!D48),Educator!D48)&amp;" "&amp;"Florida"&amp;" "&amp;"26-27"</f>
        <v>#N/A</v>
      </c>
      <c r="C43" s="49" t="e">
        <f t="shared" si="0"/>
        <v>#N/A</v>
      </c>
      <c r="E43" s="51" t="s">
        <v>102</v>
      </c>
      <c r="F43" s="49" t="b">
        <f>IF(Educator!B48&gt;0,"active")</f>
        <v>0</v>
      </c>
      <c r="J43" s="49" t="str">
        <f>"BP-"&amp;"TSWFL-"&amp;IF(ISNUMBER(Educator!D48),""&amp;Educator!D48,Educator!D48)&amp;"-"&amp;"2027"</f>
        <v>BP-TSWFL--2027</v>
      </c>
    </row>
    <row r="44" spans="1:10" x14ac:dyDescent="0.2">
      <c r="A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","#",3))+1,1)&amp;"-"&amp;LEFT(Educator!B49, 3)&amp;"-"&amp;LEFT(Educator!A49, 3)&amp;"-"&amp;IF(ISNUMBER(Educator!D49),"G"&amp;Educator!D49,Educator!D49)&amp;"-"&amp;"2027"</f>
        <v>CID-FLH----2027</v>
      </c>
      <c r="B44" s="49" t="e" cm="1">
        <f t="array" ref="B44">Educator!B49&amp;" "&amp;_xlfn.IFS(AND(ISNUMBER(Educator!D49),Educator!D49&lt;&gt;9),"Grade "&amp;Educator!D49,Educator!D49=9,"Grade 9-12",ISTEXT(Educator!D49),Educator!D49)&amp;" "&amp;"Florida"&amp;" "&amp;"26-27"</f>
        <v>#N/A</v>
      </c>
      <c r="C44" s="49" t="e">
        <f t="shared" si="0"/>
        <v>#N/A</v>
      </c>
      <c r="E44" s="51" t="s">
        <v>102</v>
      </c>
      <c r="F44" s="49" t="b">
        <f>IF(Educator!B49&gt;0,"active")</f>
        <v>0</v>
      </c>
      <c r="J44" s="49" t="str">
        <f>"BP-"&amp;"TSWFL-"&amp;IF(ISNUMBER(Educator!D49),""&amp;Educator!D49,Educator!D49)&amp;"-"&amp;"2027"</f>
        <v>BP-TSWFL--2027</v>
      </c>
    </row>
    <row r="45" spans="1:10" x14ac:dyDescent="0.2">
      <c r="A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","#",3))+1,1)&amp;"-"&amp;LEFT(Educator!B50, 3)&amp;"-"&amp;LEFT(Educator!A50, 3)&amp;"-"&amp;IF(ISNUMBER(Educator!D50),"G"&amp;Educator!D50,Educator!D50)&amp;"-"&amp;"2027"</f>
        <v>CID-FLH----2027</v>
      </c>
      <c r="B45" s="49" t="e" cm="1">
        <f t="array" ref="B45">Educator!B50&amp;" "&amp;_xlfn.IFS(AND(ISNUMBER(Educator!D50),Educator!D50&lt;&gt;9),"Grade "&amp;Educator!D50,Educator!D50=9,"Grade 9-12",ISTEXT(Educator!D50),Educator!D50)&amp;" "&amp;"Florida"&amp;" "&amp;"26-27"</f>
        <v>#N/A</v>
      </c>
      <c r="C45" s="49" t="e">
        <f t="shared" si="0"/>
        <v>#N/A</v>
      </c>
      <c r="E45" s="51" t="s">
        <v>102</v>
      </c>
      <c r="F45" s="49" t="b">
        <f>IF(Educator!B50&gt;0,"active")</f>
        <v>0</v>
      </c>
      <c r="J45" s="49" t="str">
        <f>"BP-"&amp;"TSWFL-"&amp;IF(ISNUMBER(Educator!D50),""&amp;Educator!D50,Educator!D50)&amp;"-"&amp;"2027"</f>
        <v>BP-TSWFL--2027</v>
      </c>
    </row>
    <row r="46" spans="1:10" x14ac:dyDescent="0.2">
      <c r="A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","#",3))+1,1)&amp;"-"&amp;LEFT(Educator!B51, 3)&amp;"-"&amp;LEFT(Educator!A51, 3)&amp;"-"&amp;IF(ISNUMBER(Educator!D51),"G"&amp;Educator!D51,Educator!D51)&amp;"-"&amp;"2027"</f>
        <v>CID-FLH----2027</v>
      </c>
      <c r="B46" s="49" t="e" cm="1">
        <f t="array" ref="B46">Educator!B51&amp;" "&amp;_xlfn.IFS(AND(ISNUMBER(Educator!D51),Educator!D51&lt;&gt;9),"Grade "&amp;Educator!D51,Educator!D51=9,"Grade 9-12",ISTEXT(Educator!D51),Educator!D51)&amp;" "&amp;"Florida"&amp;" "&amp;"26-27"</f>
        <v>#N/A</v>
      </c>
      <c r="C46" s="49" t="e">
        <f t="shared" si="0"/>
        <v>#N/A</v>
      </c>
      <c r="E46" s="51" t="s">
        <v>102</v>
      </c>
      <c r="F46" s="49" t="b">
        <f>IF(Educator!B51&gt;0,"active")</f>
        <v>0</v>
      </c>
      <c r="J46" s="49" t="str">
        <f>"BP-"&amp;"TSWFL-"&amp;IF(ISNUMBER(Educator!D51),""&amp;Educator!D51,Educator!D51)&amp;"-"&amp;"2027"</f>
        <v>BP-TSWFL--2027</v>
      </c>
    </row>
    <row r="47" spans="1:10" x14ac:dyDescent="0.2">
      <c r="A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","#",3))+1,1)&amp;"-"&amp;LEFT(Educator!B52, 3)&amp;"-"&amp;LEFT(Educator!A52, 3)&amp;"-"&amp;IF(ISNUMBER(Educator!D52),"G"&amp;Educator!D52,Educator!D52)&amp;"-"&amp;"2027"</f>
        <v>CID-FLH----2027</v>
      </c>
      <c r="B47" s="49" t="e" cm="1">
        <f t="array" ref="B47">Educator!B52&amp;" "&amp;_xlfn.IFS(AND(ISNUMBER(Educator!D52),Educator!D52&lt;&gt;9),"Grade "&amp;Educator!D52,Educator!D52=9,"Grade 9-12",ISTEXT(Educator!D52),Educator!D52)&amp;" "&amp;"Florida"&amp;" "&amp;"26-27"</f>
        <v>#N/A</v>
      </c>
      <c r="C47" s="49" t="e">
        <f t="shared" si="0"/>
        <v>#N/A</v>
      </c>
      <c r="E47" s="51" t="s">
        <v>102</v>
      </c>
      <c r="F47" s="49" t="b">
        <f>IF(Educator!B52&gt;0,"active")</f>
        <v>0</v>
      </c>
      <c r="J47" s="49" t="str">
        <f>"BP-"&amp;"TSWFL-"&amp;IF(ISNUMBER(Educator!D52),""&amp;Educator!D52,Educator!D52)&amp;"-"&amp;"2027"</f>
        <v>BP-TSWFL--2027</v>
      </c>
    </row>
    <row r="48" spans="1:10" x14ac:dyDescent="0.2">
      <c r="A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","#",3))+1,1)&amp;"-"&amp;LEFT(Educator!B53, 3)&amp;"-"&amp;LEFT(Educator!A53, 3)&amp;"-"&amp;IF(ISNUMBER(Educator!D53),"G"&amp;Educator!D53,Educator!D53)&amp;"-"&amp;"2027"</f>
        <v>CID-FLH----2027</v>
      </c>
      <c r="B48" s="49" t="e" cm="1">
        <f t="array" ref="B48">Educator!B53&amp;" "&amp;_xlfn.IFS(AND(ISNUMBER(Educator!D53),Educator!D53&lt;&gt;9),"Grade "&amp;Educator!D53,Educator!D53=9,"Grade 9-12",ISTEXT(Educator!D53),Educator!D53)&amp;" "&amp;"Florida"&amp;" "&amp;"26-27"</f>
        <v>#N/A</v>
      </c>
      <c r="C48" s="49" t="e">
        <f t="shared" si="0"/>
        <v>#N/A</v>
      </c>
      <c r="E48" s="51" t="s">
        <v>102</v>
      </c>
      <c r="F48" s="49" t="b">
        <f>IF(Educator!B53&gt;0,"active")</f>
        <v>0</v>
      </c>
      <c r="J48" s="49" t="str">
        <f>"BP-"&amp;"TSWFL-"&amp;IF(ISNUMBER(Educator!D53),""&amp;Educator!D53,Educator!D53)&amp;"-"&amp;"2027"</f>
        <v>BP-TSWFL--2027</v>
      </c>
    </row>
    <row r="49" spans="1:10" x14ac:dyDescent="0.2">
      <c r="A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","#",3))+1,1)&amp;"-"&amp;LEFT(Educator!B54, 3)&amp;"-"&amp;LEFT(Educator!A54, 3)&amp;"-"&amp;IF(ISNUMBER(Educator!D54),"G"&amp;Educator!D54,Educator!D54)&amp;"-"&amp;"2027"</f>
        <v>CID-FLH----2027</v>
      </c>
      <c r="B49" s="49" t="e" cm="1">
        <f t="array" ref="B49">Educator!B54&amp;" "&amp;_xlfn.IFS(AND(ISNUMBER(Educator!D54),Educator!D54&lt;&gt;9),"Grade "&amp;Educator!D54,Educator!D54=9,"Grade 9-12",ISTEXT(Educator!D54),Educator!D54)&amp;" "&amp;"Florida"&amp;" "&amp;"26-27"</f>
        <v>#N/A</v>
      </c>
      <c r="C49" s="49" t="e">
        <f t="shared" si="0"/>
        <v>#N/A</v>
      </c>
      <c r="E49" s="51" t="s">
        <v>102</v>
      </c>
      <c r="F49" s="49" t="b">
        <f>IF(Educator!B54&gt;0,"active")</f>
        <v>0</v>
      </c>
      <c r="J49" s="49" t="str">
        <f>"BP-"&amp;"TSWFL-"&amp;IF(ISNUMBER(Educator!D54),""&amp;Educator!D54,Educator!D54)&amp;"-"&amp;"2027"</f>
        <v>BP-TSWFL--2027</v>
      </c>
    </row>
    <row r="50" spans="1:10" x14ac:dyDescent="0.2">
      <c r="A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","#",3))+1,1)&amp;"-"&amp;LEFT(Educator!B55, 3)&amp;"-"&amp;LEFT(Educator!A55, 3)&amp;"-"&amp;IF(ISNUMBER(Educator!D55),"G"&amp;Educator!D55,Educator!D55)&amp;"-"&amp;"2027"</f>
        <v>CID-FLH----2027</v>
      </c>
      <c r="B50" s="49" t="e" cm="1">
        <f t="array" ref="B50">Educator!B55&amp;" "&amp;_xlfn.IFS(AND(ISNUMBER(Educator!D55),Educator!D55&lt;&gt;9),"Grade "&amp;Educator!D55,Educator!D55=9,"Grade 9-12",ISTEXT(Educator!D55),Educator!D55)&amp;" "&amp;"Florida"&amp;" "&amp;"26-27"</f>
        <v>#N/A</v>
      </c>
      <c r="C50" s="49" t="e">
        <f t="shared" si="0"/>
        <v>#N/A</v>
      </c>
      <c r="E50" s="51" t="s">
        <v>102</v>
      </c>
      <c r="F50" s="49" t="b">
        <f>IF(Educator!B55&gt;0,"active")</f>
        <v>0</v>
      </c>
      <c r="J50" s="49" t="str">
        <f>"BP-"&amp;"TSWFL-"&amp;IF(ISNUMBER(Educator!D55),""&amp;Educator!D55,Educator!D55)&amp;"-"&amp;"2027"</f>
        <v>BP-TSWFL--2027</v>
      </c>
    </row>
    <row r="51" spans="1:10" x14ac:dyDescent="0.2">
      <c r="A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","#",3))+1,1)&amp;"-"&amp;LEFT(Educator!B56, 3)&amp;"-"&amp;LEFT(Educator!A56, 3)&amp;"-"&amp;IF(ISNUMBER(Educator!D56),"G"&amp;Educator!D56,Educator!D56)&amp;"-"&amp;"2027"</f>
        <v>CID-FLH----2027</v>
      </c>
      <c r="B51" s="49" t="e" cm="1">
        <f t="array" ref="B51">Educator!B56&amp;" "&amp;_xlfn.IFS(AND(ISNUMBER(Educator!D56),Educator!D56&lt;&gt;9),"Grade "&amp;Educator!D56,Educator!D56=9,"Grade 9-12",ISTEXT(Educator!D56),Educator!D56)&amp;" "&amp;"Florida"&amp;" "&amp;"26-27"</f>
        <v>#N/A</v>
      </c>
      <c r="C51" s="49" t="e">
        <f t="shared" si="0"/>
        <v>#N/A</v>
      </c>
      <c r="E51" s="51" t="s">
        <v>102</v>
      </c>
      <c r="F51" s="49" t="b">
        <f>IF(Educator!B56&gt;0,"active")</f>
        <v>0</v>
      </c>
      <c r="J51" s="49" t="str">
        <f>"BP-"&amp;"TSWFL-"&amp;IF(ISNUMBER(Educator!D56),""&amp;Educator!D56,Educator!D56)&amp;"-"&amp;"2027"</f>
        <v>BP-TSWFL--2027</v>
      </c>
    </row>
    <row r="52" spans="1:10" x14ac:dyDescent="0.2">
      <c r="A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","#",3))+1,1)&amp;"-"&amp;LEFT(Educator!B57, 3)&amp;"-"&amp;LEFT(Educator!A57, 3)&amp;"-"&amp;IF(ISNUMBER(Educator!D57),"G"&amp;Educator!D57,Educator!D57)&amp;"-"&amp;"2027"</f>
        <v>CID-FLH----2027</v>
      </c>
      <c r="B52" s="49" t="e" cm="1">
        <f t="array" ref="B52">Educator!B57&amp;" "&amp;_xlfn.IFS(AND(ISNUMBER(Educator!D57),Educator!D57&lt;&gt;9),"Grade "&amp;Educator!D57,Educator!D57=9,"Grade 9-12",ISTEXT(Educator!D57),Educator!D57)&amp;" "&amp;"Florida"&amp;" "&amp;"26-27"</f>
        <v>#N/A</v>
      </c>
      <c r="C52" s="49" t="e">
        <f t="shared" si="0"/>
        <v>#N/A</v>
      </c>
      <c r="E52" s="51" t="s">
        <v>102</v>
      </c>
      <c r="F52" s="49" t="b">
        <f>IF(Educator!B57&gt;0,"active")</f>
        <v>0</v>
      </c>
      <c r="J52" s="49" t="str">
        <f>"BP-"&amp;"TSWFL-"&amp;IF(ISNUMBER(Educator!D57),""&amp;Educator!D57,Educator!D57)&amp;"-"&amp;"2027"</f>
        <v>BP-TSWFL--2027</v>
      </c>
    </row>
    <row r="53" spans="1:10" x14ac:dyDescent="0.2">
      <c r="A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","#",3))+1,1)&amp;"-"&amp;LEFT(Educator!B58, 3)&amp;"-"&amp;LEFT(Educator!A58, 3)&amp;"-"&amp;IF(ISNUMBER(Educator!D58),"G"&amp;Educator!D58,Educator!D58)&amp;"-"&amp;"2027"</f>
        <v>CID-FLH----2027</v>
      </c>
      <c r="B53" s="49" t="e" cm="1">
        <f t="array" ref="B53">Educator!B58&amp;" "&amp;_xlfn.IFS(AND(ISNUMBER(Educator!D58),Educator!D58&lt;&gt;9),"Grade "&amp;Educator!D58,Educator!D58=9,"Grade 9-12",ISTEXT(Educator!D58),Educator!D58)&amp;" "&amp;"Florida"&amp;" "&amp;"26-27"</f>
        <v>#N/A</v>
      </c>
      <c r="C53" s="49" t="e">
        <f t="shared" si="0"/>
        <v>#N/A</v>
      </c>
      <c r="E53" s="51" t="s">
        <v>102</v>
      </c>
      <c r="F53" s="49" t="b">
        <f>IF(Educator!B58&gt;0,"active")</f>
        <v>0</v>
      </c>
      <c r="J53" s="49" t="str">
        <f>"BP-"&amp;"TSWFL-"&amp;IF(ISNUMBER(Educator!D58),""&amp;Educator!D58,Educator!D58)&amp;"-"&amp;"2027"</f>
        <v>BP-TSWFL--2027</v>
      </c>
    </row>
    <row r="54" spans="1:10" x14ac:dyDescent="0.2">
      <c r="A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","#",3))+1,1)&amp;"-"&amp;LEFT(Educator!B59, 3)&amp;"-"&amp;LEFT(Educator!A59, 3)&amp;"-"&amp;IF(ISNUMBER(Educator!D59),"G"&amp;Educator!D59,Educator!D59)&amp;"-"&amp;"2027"</f>
        <v>CID-FLH----2027</v>
      </c>
      <c r="B54" s="49" t="e" cm="1">
        <f t="array" ref="B54">Educator!B59&amp;" "&amp;_xlfn.IFS(AND(ISNUMBER(Educator!D59),Educator!D59&lt;&gt;9),"Grade "&amp;Educator!D59,Educator!D59=9,"Grade 9-12",ISTEXT(Educator!D59),Educator!D59)&amp;" "&amp;"Florida"&amp;" "&amp;"26-27"</f>
        <v>#N/A</v>
      </c>
      <c r="C54" s="49" t="e">
        <f t="shared" si="0"/>
        <v>#N/A</v>
      </c>
      <c r="E54" s="51" t="s">
        <v>102</v>
      </c>
      <c r="F54" s="49" t="b">
        <f>IF(Educator!B59&gt;0,"active")</f>
        <v>0</v>
      </c>
      <c r="J54" s="49" t="str">
        <f>"BP-"&amp;"TSWFL-"&amp;IF(ISNUMBER(Educator!D59),""&amp;Educator!D59,Educator!D59)&amp;"-"&amp;"2027"</f>
        <v>BP-TSWFL--2027</v>
      </c>
    </row>
    <row r="55" spans="1:10" x14ac:dyDescent="0.2">
      <c r="A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","#",3))+1,1)&amp;"-"&amp;LEFT(Educator!B60, 3)&amp;"-"&amp;LEFT(Educator!A60, 3)&amp;"-"&amp;IF(ISNUMBER(Educator!D60),"G"&amp;Educator!D60,Educator!D60)&amp;"-"&amp;"2027"</f>
        <v>CID-FLH----2027</v>
      </c>
      <c r="B55" s="49" t="e" cm="1">
        <f t="array" ref="B55">Educator!B60&amp;" "&amp;_xlfn.IFS(AND(ISNUMBER(Educator!D60),Educator!D60&lt;&gt;9),"Grade "&amp;Educator!D60,Educator!D60=9,"Grade 9-12",ISTEXT(Educator!D60),Educator!D60)&amp;" "&amp;"Florida"&amp;" "&amp;"26-27"</f>
        <v>#N/A</v>
      </c>
      <c r="C55" s="49" t="e">
        <f t="shared" si="0"/>
        <v>#N/A</v>
      </c>
      <c r="E55" s="51" t="s">
        <v>102</v>
      </c>
      <c r="F55" s="49" t="b">
        <f>IF(Educator!B60&gt;0,"active")</f>
        <v>0</v>
      </c>
      <c r="J55" s="49" t="str">
        <f>"BP-"&amp;"TSWFL-"&amp;IF(ISNUMBER(Educator!D60),""&amp;Educator!D60,Educator!D60)&amp;"-"&amp;"2027"</f>
        <v>BP-TSWFL--2027</v>
      </c>
    </row>
    <row r="56" spans="1:10" x14ac:dyDescent="0.2">
      <c r="A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","#",3))+1,1)&amp;"-"&amp;LEFT(Educator!B61, 3)&amp;"-"&amp;LEFT(Educator!A61, 3)&amp;"-"&amp;IF(ISNUMBER(Educator!D61),"G"&amp;Educator!D61,Educator!D61)&amp;"-"&amp;"2027"</f>
        <v>CID-FLH----2027</v>
      </c>
      <c r="B56" s="49" t="e" cm="1">
        <f t="array" ref="B56">Educator!B61&amp;" "&amp;_xlfn.IFS(AND(ISNUMBER(Educator!D61),Educator!D61&lt;&gt;9),"Grade "&amp;Educator!D61,Educator!D61=9,"Grade 9-12",ISTEXT(Educator!D61),Educator!D61)&amp;" "&amp;"Florida"&amp;" "&amp;"26-27"</f>
        <v>#N/A</v>
      </c>
      <c r="C56" s="49" t="e">
        <f t="shared" si="0"/>
        <v>#N/A</v>
      </c>
      <c r="E56" s="51" t="s">
        <v>102</v>
      </c>
      <c r="F56" s="49" t="b">
        <f>IF(Educator!B61&gt;0,"active")</f>
        <v>0</v>
      </c>
      <c r="J56" s="49" t="str">
        <f>"BP-"&amp;"TSWFL-"&amp;IF(ISNUMBER(Educator!D61),""&amp;Educator!D61,Educator!D61)&amp;"-"&amp;"2027"</f>
        <v>BP-TSWFL--2027</v>
      </c>
    </row>
    <row r="57" spans="1:10" x14ac:dyDescent="0.2">
      <c r="A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","#",3))+1,1)&amp;"-"&amp;LEFT(Educator!B62, 3)&amp;"-"&amp;LEFT(Educator!A62, 3)&amp;"-"&amp;IF(ISNUMBER(Educator!D62),"G"&amp;Educator!D62,Educator!D62)&amp;"-"&amp;"2027"</f>
        <v>CID-FLH----2027</v>
      </c>
      <c r="B57" s="49" t="e" cm="1">
        <f t="array" ref="B57">Educator!B62&amp;" "&amp;_xlfn.IFS(AND(ISNUMBER(Educator!D62),Educator!D62&lt;&gt;9),"Grade "&amp;Educator!D62,Educator!D62=9,"Grade 9-12",ISTEXT(Educator!D62),Educator!D62)&amp;" "&amp;"Florida"&amp;" "&amp;"26-27"</f>
        <v>#N/A</v>
      </c>
      <c r="C57" s="49" t="e">
        <f t="shared" si="0"/>
        <v>#N/A</v>
      </c>
      <c r="E57" s="51" t="s">
        <v>102</v>
      </c>
      <c r="F57" s="49" t="b">
        <f>IF(Educator!B62&gt;0,"active")</f>
        <v>0</v>
      </c>
      <c r="J57" s="49" t="str">
        <f>"BP-"&amp;"TSWFL-"&amp;IF(ISNUMBER(Educator!D62),""&amp;Educator!D62,Educator!D62)&amp;"-"&amp;"2027"</f>
        <v>BP-TSWFL--2027</v>
      </c>
    </row>
    <row r="58" spans="1:10" x14ac:dyDescent="0.2">
      <c r="A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","#",3))+1,1)&amp;"-"&amp;LEFT(Educator!B63, 3)&amp;"-"&amp;LEFT(Educator!A63, 3)&amp;"-"&amp;IF(ISNUMBER(Educator!D63),"G"&amp;Educator!D63,Educator!D63)&amp;"-"&amp;"2027"</f>
        <v>CID-FLH----2027</v>
      </c>
      <c r="B58" s="49" t="e" cm="1">
        <f t="array" ref="B58">Educator!B63&amp;" "&amp;_xlfn.IFS(AND(ISNUMBER(Educator!D63),Educator!D63&lt;&gt;9),"Grade "&amp;Educator!D63,Educator!D63=9,"Grade 9-12",ISTEXT(Educator!D63),Educator!D63)&amp;" "&amp;"Florida"&amp;" "&amp;"26-27"</f>
        <v>#N/A</v>
      </c>
      <c r="C58" s="49" t="e">
        <f t="shared" si="0"/>
        <v>#N/A</v>
      </c>
      <c r="E58" s="51" t="s">
        <v>102</v>
      </c>
      <c r="F58" s="49" t="b">
        <f>IF(Educator!B63&gt;0,"active")</f>
        <v>0</v>
      </c>
      <c r="J58" s="49" t="str">
        <f>"BP-"&amp;"TSWFL-"&amp;IF(ISNUMBER(Educator!D63),""&amp;Educator!D63,Educator!D63)&amp;"-"&amp;"2027"</f>
        <v>BP-TSWFL--2027</v>
      </c>
    </row>
    <row r="59" spans="1:10" x14ac:dyDescent="0.2">
      <c r="A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","#",3))+1,1)&amp;"-"&amp;LEFT(Educator!B64, 3)&amp;"-"&amp;LEFT(Educator!A64, 3)&amp;"-"&amp;IF(ISNUMBER(Educator!D64),"G"&amp;Educator!D64,Educator!D64)&amp;"-"&amp;"2027"</f>
        <v>CID-FLH----2027</v>
      </c>
      <c r="B59" s="49" t="e" cm="1">
        <f t="array" ref="B59">Educator!B64&amp;" "&amp;_xlfn.IFS(AND(ISNUMBER(Educator!D64),Educator!D64&lt;&gt;9),"Grade "&amp;Educator!D64,Educator!D64=9,"Grade 9-12",ISTEXT(Educator!D64),Educator!D64)&amp;" "&amp;"Florida"&amp;" "&amp;"26-27"</f>
        <v>#N/A</v>
      </c>
      <c r="C59" s="49" t="e">
        <f t="shared" si="0"/>
        <v>#N/A</v>
      </c>
      <c r="E59" s="51" t="s">
        <v>102</v>
      </c>
      <c r="F59" s="49" t="b">
        <f>IF(Educator!B64&gt;0,"active")</f>
        <v>0</v>
      </c>
      <c r="J59" s="49" t="str">
        <f>"BP-"&amp;"TSWFL-"&amp;IF(ISNUMBER(Educator!D64),""&amp;Educator!D64,Educator!D64)&amp;"-"&amp;"2027"</f>
        <v>BP-TSWFL--2027</v>
      </c>
    </row>
    <row r="60" spans="1:10" x14ac:dyDescent="0.2">
      <c r="A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","#",3))+1,1)&amp;"-"&amp;LEFT(Educator!B65, 3)&amp;"-"&amp;LEFT(Educator!A65, 3)&amp;"-"&amp;IF(ISNUMBER(Educator!D65),"G"&amp;Educator!D65,Educator!D65)&amp;"-"&amp;"2027"</f>
        <v>CID-FLH----2027</v>
      </c>
      <c r="B60" s="49" t="e" cm="1">
        <f t="array" ref="B60">Educator!B65&amp;" "&amp;_xlfn.IFS(AND(ISNUMBER(Educator!D65),Educator!D65&lt;&gt;9),"Grade "&amp;Educator!D65,Educator!D65=9,"Grade 9-12",ISTEXT(Educator!D65),Educator!D65)&amp;" "&amp;"Florida"&amp;" "&amp;"26-27"</f>
        <v>#N/A</v>
      </c>
      <c r="C60" s="49" t="e">
        <f t="shared" si="0"/>
        <v>#N/A</v>
      </c>
      <c r="E60" s="51" t="s">
        <v>102</v>
      </c>
      <c r="F60" s="49" t="b">
        <f>IF(Educator!B65&gt;0,"active")</f>
        <v>0</v>
      </c>
      <c r="J60" s="49" t="str">
        <f>"BP-"&amp;"TSWFL-"&amp;IF(ISNUMBER(Educator!D65),""&amp;Educator!D65,Educator!D65)&amp;"-"&amp;"2027"</f>
        <v>BP-TSWFL--2027</v>
      </c>
    </row>
    <row r="61" spans="1:10" x14ac:dyDescent="0.2">
      <c r="A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","#",3))+1,1)&amp;"-"&amp;LEFT(Educator!B66, 3)&amp;"-"&amp;LEFT(Educator!A66, 3)&amp;"-"&amp;IF(ISNUMBER(Educator!D66),"G"&amp;Educator!D66,Educator!D66)&amp;"-"&amp;"2027"</f>
        <v>CID-FLH----2027</v>
      </c>
      <c r="B61" s="49" t="e" cm="1">
        <f t="array" ref="B61">Educator!B66&amp;" "&amp;_xlfn.IFS(AND(ISNUMBER(Educator!D66),Educator!D66&lt;&gt;9),"Grade "&amp;Educator!D66,Educator!D66=9,"Grade 9-12",ISTEXT(Educator!D66),Educator!D66)&amp;" "&amp;"Florida"&amp;" "&amp;"26-27"</f>
        <v>#N/A</v>
      </c>
      <c r="C61" s="49" t="e">
        <f t="shared" si="0"/>
        <v>#N/A</v>
      </c>
      <c r="E61" s="51" t="s">
        <v>102</v>
      </c>
      <c r="F61" s="49" t="b">
        <f>IF(Educator!B66&gt;0,"active")</f>
        <v>0</v>
      </c>
      <c r="J61" s="49" t="str">
        <f>"BP-"&amp;"TSWFL-"&amp;IF(ISNUMBER(Educator!D66),""&amp;Educator!D66,Educator!D66)&amp;"-"&amp;"2027"</f>
        <v>BP-TSWFL--2027</v>
      </c>
    </row>
    <row r="62" spans="1:10" x14ac:dyDescent="0.2">
      <c r="A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","#",3))+1,1)&amp;"-"&amp;LEFT(Educator!B67, 3)&amp;"-"&amp;LEFT(Educator!A67, 3)&amp;"-"&amp;IF(ISNUMBER(Educator!D67),"G"&amp;Educator!D67,Educator!D67)&amp;"-"&amp;"2027"</f>
        <v>CID-FLH----2027</v>
      </c>
      <c r="B62" s="49" t="e" cm="1">
        <f t="array" ref="B62">Educator!B67&amp;" "&amp;_xlfn.IFS(AND(ISNUMBER(Educator!D67),Educator!D67&lt;&gt;9),"Grade "&amp;Educator!D67,Educator!D67=9,"Grade 9-12",ISTEXT(Educator!D67),Educator!D67)&amp;" "&amp;"Florida"&amp;" "&amp;"26-27"</f>
        <v>#N/A</v>
      </c>
      <c r="C62" s="49" t="e">
        <f t="shared" si="0"/>
        <v>#N/A</v>
      </c>
      <c r="E62" s="51" t="s">
        <v>102</v>
      </c>
      <c r="F62" s="49" t="b">
        <f>IF(Educator!B67&gt;0,"active")</f>
        <v>0</v>
      </c>
      <c r="J62" s="49" t="str">
        <f>"BP-"&amp;"TSWFL-"&amp;IF(ISNUMBER(Educator!D67),""&amp;Educator!D67,Educator!D67)&amp;"-"&amp;"2027"</f>
        <v>BP-TSWFL--2027</v>
      </c>
    </row>
    <row r="63" spans="1:10" x14ac:dyDescent="0.2">
      <c r="A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","#",3))+1,1)&amp;"-"&amp;LEFT(Educator!B68, 3)&amp;"-"&amp;LEFT(Educator!A68, 3)&amp;"-"&amp;IF(ISNUMBER(Educator!D68),"G"&amp;Educator!D68,Educator!D68)&amp;"-"&amp;"2027"</f>
        <v>CID-FLH----2027</v>
      </c>
      <c r="B63" s="49" t="e" cm="1">
        <f t="array" ref="B63">Educator!B68&amp;" "&amp;_xlfn.IFS(AND(ISNUMBER(Educator!D68),Educator!D68&lt;&gt;9),"Grade "&amp;Educator!D68,Educator!D68=9,"Grade 9-12",ISTEXT(Educator!D68),Educator!D68)&amp;" "&amp;"Florida"&amp;" "&amp;"26-27"</f>
        <v>#N/A</v>
      </c>
      <c r="C63" s="49" t="e">
        <f t="shared" si="0"/>
        <v>#N/A</v>
      </c>
      <c r="E63" s="51" t="s">
        <v>102</v>
      </c>
      <c r="F63" s="49" t="b">
        <f>IF(Educator!B68&gt;0,"active")</f>
        <v>0</v>
      </c>
      <c r="J63" s="49" t="str">
        <f>"BP-"&amp;"TSWFL-"&amp;IF(ISNUMBER(Educator!D68),""&amp;Educator!D68,Educator!D68)&amp;"-"&amp;"2027"</f>
        <v>BP-TSWFL--2027</v>
      </c>
    </row>
    <row r="64" spans="1:10" x14ac:dyDescent="0.2">
      <c r="A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","#",3))+1,1)&amp;"-"&amp;LEFT(Educator!B69, 3)&amp;"-"&amp;LEFT(Educator!A69, 3)&amp;"-"&amp;IF(ISNUMBER(Educator!D69),"G"&amp;Educator!D69,Educator!D69)&amp;"-"&amp;"2027"</f>
        <v>CID-FLH----2027</v>
      </c>
      <c r="B64" s="49" t="e" cm="1">
        <f t="array" ref="B64">Educator!B69&amp;" "&amp;_xlfn.IFS(AND(ISNUMBER(Educator!D69),Educator!D69&lt;&gt;9),"Grade "&amp;Educator!D69,Educator!D69=9,"Grade 9-12",ISTEXT(Educator!D69),Educator!D69)&amp;" "&amp;"Florida"&amp;" "&amp;"26-27"</f>
        <v>#N/A</v>
      </c>
      <c r="C64" s="49" t="e">
        <f t="shared" si="0"/>
        <v>#N/A</v>
      </c>
      <c r="E64" s="51" t="s">
        <v>102</v>
      </c>
      <c r="F64" s="49" t="b">
        <f>IF(Educator!B69&gt;0,"active")</f>
        <v>0</v>
      </c>
      <c r="J64" s="49" t="str">
        <f>"BP-"&amp;"TSWFL-"&amp;IF(ISNUMBER(Educator!D69),""&amp;Educator!D69,Educator!D69)&amp;"-"&amp;"2027"</f>
        <v>BP-TSWFL--2027</v>
      </c>
    </row>
    <row r="65" spans="1:10" x14ac:dyDescent="0.2">
      <c r="A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","#",3))+1,1)&amp;"-"&amp;LEFT(Educator!B70, 3)&amp;"-"&amp;LEFT(Educator!A70, 3)&amp;"-"&amp;IF(ISNUMBER(Educator!D70),"G"&amp;Educator!D70,Educator!D70)&amp;"-"&amp;"2027"</f>
        <v>CID-FLH----2027</v>
      </c>
      <c r="B65" s="49" t="e" cm="1">
        <f t="array" ref="B65">Educator!B70&amp;" "&amp;_xlfn.IFS(AND(ISNUMBER(Educator!D70),Educator!D70&lt;&gt;9),"Grade "&amp;Educator!D70,Educator!D70=9,"Grade 9-12",ISTEXT(Educator!D70),Educator!D70)&amp;" "&amp;"Florida"&amp;" "&amp;"26-27"</f>
        <v>#N/A</v>
      </c>
      <c r="C65" s="49" t="e">
        <f t="shared" si="0"/>
        <v>#N/A</v>
      </c>
      <c r="E65" s="51" t="s">
        <v>102</v>
      </c>
      <c r="F65" s="49" t="b">
        <f>IF(Educator!B70&gt;0,"active")</f>
        <v>0</v>
      </c>
      <c r="J65" s="49" t="str">
        <f>"BP-"&amp;"TSWFL-"&amp;IF(ISNUMBER(Educator!D70),""&amp;Educator!D70,Educator!D70)&amp;"-"&amp;"2027"</f>
        <v>BP-TSWFL--2027</v>
      </c>
    </row>
    <row r="66" spans="1:10" x14ac:dyDescent="0.2">
      <c r="A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","#",3))+1,1)&amp;"-"&amp;LEFT(Educator!B71, 3)&amp;"-"&amp;LEFT(Educator!A71, 3)&amp;"-"&amp;IF(ISNUMBER(Educator!D71),"G"&amp;Educator!D71,Educator!D71)&amp;"-"&amp;"2027"</f>
        <v>CID-FLH----2027</v>
      </c>
      <c r="B66" s="49" t="e" cm="1">
        <f t="array" ref="B66">Educator!B71&amp;" "&amp;_xlfn.IFS(AND(ISNUMBER(Educator!D71),Educator!D71&lt;&gt;9),"Grade "&amp;Educator!D71,Educator!D71=9,"Grade 9-12",ISTEXT(Educator!D71),Educator!D71)&amp;" "&amp;"Florida"&amp;" "&amp;"26-27"</f>
        <v>#N/A</v>
      </c>
      <c r="C66" s="49" t="e">
        <f t="shared" si="0"/>
        <v>#N/A</v>
      </c>
      <c r="E66" s="51" t="s">
        <v>102</v>
      </c>
      <c r="F66" s="49" t="b">
        <f>IF(Educator!B71&gt;0,"active")</f>
        <v>0</v>
      </c>
      <c r="J66" s="49" t="str">
        <f>"BP-"&amp;"TSWFL-"&amp;IF(ISNUMBER(Educator!D71),""&amp;Educator!D71,Educator!D71)&amp;"-"&amp;"2027"</f>
        <v>BP-TSWFL--2027</v>
      </c>
    </row>
    <row r="67" spans="1:10" x14ac:dyDescent="0.2">
      <c r="A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","#",3))+1,1)&amp;"-"&amp;LEFT(Educator!B72, 3)&amp;"-"&amp;LEFT(Educator!A72, 3)&amp;"-"&amp;IF(ISNUMBER(Educator!D72),"G"&amp;Educator!D72,Educator!D72)&amp;"-"&amp;"2027"</f>
        <v>CID-FLH----2027</v>
      </c>
      <c r="B67" s="49" t="e" cm="1">
        <f t="array" ref="B67">Educator!B72&amp;" "&amp;_xlfn.IFS(AND(ISNUMBER(Educator!D72),Educator!D72&lt;&gt;9),"Grade "&amp;Educator!D72,Educator!D72=9,"Grade 9-12",ISTEXT(Educator!D72),Educator!D72)&amp;" "&amp;"Florida"&amp;" "&amp;"26-27"</f>
        <v>#N/A</v>
      </c>
      <c r="C67" s="49" t="e">
        <f t="shared" ref="C67:C81" si="1">B67</f>
        <v>#N/A</v>
      </c>
      <c r="E67" s="51" t="s">
        <v>102</v>
      </c>
      <c r="F67" s="49" t="b">
        <f>IF(Educator!B72&gt;0,"active")</f>
        <v>0</v>
      </c>
      <c r="J67" s="49" t="str">
        <f>"BP-"&amp;"TSWFL-"&amp;IF(ISNUMBER(Educator!D72),""&amp;Educator!D72,Educator!D72)&amp;"-"&amp;"2027"</f>
        <v>BP-TSWFL--2027</v>
      </c>
    </row>
    <row r="68" spans="1:10" x14ac:dyDescent="0.2">
      <c r="A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","#",3))+1,1)&amp;"-"&amp;LEFT(Educator!B73, 3)&amp;"-"&amp;LEFT(Educator!A73, 3)&amp;"-"&amp;IF(ISNUMBER(Educator!D73),"G"&amp;Educator!D73,Educator!D73)&amp;"-"&amp;"2027"</f>
        <v>CID-FLH----2027</v>
      </c>
      <c r="B68" s="49" t="e" cm="1">
        <f t="array" ref="B68">Educator!B73&amp;" "&amp;_xlfn.IFS(AND(ISNUMBER(Educator!D73),Educator!D73&lt;&gt;9),"Grade "&amp;Educator!D73,Educator!D73=9,"Grade 9-12",ISTEXT(Educator!D73),Educator!D73)&amp;" "&amp;"Florida"&amp;" "&amp;"26-27"</f>
        <v>#N/A</v>
      </c>
      <c r="C68" s="49" t="e">
        <f t="shared" si="1"/>
        <v>#N/A</v>
      </c>
      <c r="E68" s="51" t="s">
        <v>102</v>
      </c>
      <c r="F68" s="49" t="b">
        <f>IF(Educator!B73&gt;0,"active")</f>
        <v>0</v>
      </c>
      <c r="J68" s="49" t="str">
        <f>"BP-"&amp;"TSWFL-"&amp;IF(ISNUMBER(Educator!D73),""&amp;Educator!D73,Educator!D73)&amp;"-"&amp;"2027"</f>
        <v>BP-TSWFL--2027</v>
      </c>
    </row>
    <row r="69" spans="1:10" x14ac:dyDescent="0.2">
      <c r="A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","#",3))+1,1)&amp;"-"&amp;LEFT(Educator!B74, 3)&amp;"-"&amp;LEFT(Educator!A74, 3)&amp;"-"&amp;IF(ISNUMBER(Educator!D74),"G"&amp;Educator!D74,Educator!D74)&amp;"-"&amp;"2027"</f>
        <v>CID-FLH----2027</v>
      </c>
      <c r="B69" s="49" t="e" cm="1">
        <f t="array" ref="B69">Educator!B74&amp;" "&amp;_xlfn.IFS(AND(ISNUMBER(Educator!D74),Educator!D74&lt;&gt;9),"Grade "&amp;Educator!D74,Educator!D74=9,"Grade 9-12",ISTEXT(Educator!D74),Educator!D74)&amp;" "&amp;"Florida"&amp;" "&amp;"26-27"</f>
        <v>#N/A</v>
      </c>
      <c r="C69" s="49" t="e">
        <f t="shared" si="1"/>
        <v>#N/A</v>
      </c>
      <c r="E69" s="51" t="s">
        <v>102</v>
      </c>
      <c r="F69" s="49" t="b">
        <f>IF(Educator!B74&gt;0,"active")</f>
        <v>0</v>
      </c>
      <c r="J69" s="49" t="str">
        <f>"BP-"&amp;"TSWFL-"&amp;IF(ISNUMBER(Educator!D74),""&amp;Educator!D74,Educator!D74)&amp;"-"&amp;"2027"</f>
        <v>BP-TSWFL--2027</v>
      </c>
    </row>
    <row r="70" spans="1:10" x14ac:dyDescent="0.2">
      <c r="A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","#",3))+1,1)&amp;"-"&amp;LEFT(Educator!B75, 3)&amp;"-"&amp;LEFT(Educator!A75, 3)&amp;"-"&amp;IF(ISNUMBER(Educator!D75),"G"&amp;Educator!D75,Educator!D75)&amp;"-"&amp;"2027"</f>
        <v>CID-FLH----2027</v>
      </c>
      <c r="B70" s="49" t="e" cm="1">
        <f t="array" ref="B70">Educator!B75&amp;" "&amp;_xlfn.IFS(AND(ISNUMBER(Educator!D75),Educator!D75&lt;&gt;9),"Grade "&amp;Educator!D75,Educator!D75=9,"Grade 9-12",ISTEXT(Educator!D75),Educator!D75)&amp;" "&amp;"Florida"&amp;" "&amp;"26-27"</f>
        <v>#N/A</v>
      </c>
      <c r="C70" s="49" t="e">
        <f t="shared" si="1"/>
        <v>#N/A</v>
      </c>
      <c r="E70" s="51" t="s">
        <v>102</v>
      </c>
      <c r="F70" s="49" t="b">
        <f>IF(Educator!B75&gt;0,"active")</f>
        <v>0</v>
      </c>
      <c r="J70" s="49" t="str">
        <f>"BP-"&amp;"TSWFL-"&amp;IF(ISNUMBER(Educator!D75),""&amp;Educator!D75,Educator!D75)&amp;"-"&amp;"2027"</f>
        <v>BP-TSWFL--2027</v>
      </c>
    </row>
    <row r="71" spans="1:10" x14ac:dyDescent="0.2">
      <c r="A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","#",3))+1,1)&amp;"-"&amp;LEFT(Educator!B76, 3)&amp;"-"&amp;LEFT(Educator!A76, 3)&amp;"-"&amp;IF(ISNUMBER(Educator!D76),"G"&amp;Educator!D76,Educator!D76)&amp;"-"&amp;"2027"</f>
        <v>CID-FLH----2027</v>
      </c>
      <c r="B71" s="49" t="e" cm="1">
        <f t="array" ref="B71">Educator!B76&amp;" "&amp;_xlfn.IFS(AND(ISNUMBER(Educator!D76),Educator!D76&lt;&gt;9),"Grade "&amp;Educator!D76,Educator!D76=9,"Grade 9-12",ISTEXT(Educator!D76),Educator!D76)&amp;" "&amp;"Florida"&amp;" "&amp;"26-27"</f>
        <v>#N/A</v>
      </c>
      <c r="C71" s="49" t="e">
        <f t="shared" si="1"/>
        <v>#N/A</v>
      </c>
      <c r="E71" s="51" t="s">
        <v>102</v>
      </c>
      <c r="F71" s="49" t="b">
        <f>IF(Educator!B76&gt;0,"active")</f>
        <v>0</v>
      </c>
      <c r="J71" s="49" t="str">
        <f>"BP-"&amp;"TSWFL-"&amp;IF(ISNUMBER(Educator!D76),""&amp;Educator!D76,Educator!D76)&amp;"-"&amp;"2027"</f>
        <v>BP-TSWFL--2027</v>
      </c>
    </row>
    <row r="72" spans="1:10" x14ac:dyDescent="0.2">
      <c r="A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","#",3))+1,1)&amp;"-"&amp;LEFT(Educator!B77, 3)&amp;"-"&amp;LEFT(Educator!A77, 3)&amp;"-"&amp;IF(ISNUMBER(Educator!D77),"G"&amp;Educator!D77,Educator!D77)&amp;"-"&amp;"2027"</f>
        <v>CID-FLH----2027</v>
      </c>
      <c r="B72" s="49" t="e" cm="1">
        <f t="array" ref="B72">Educator!B77&amp;" "&amp;_xlfn.IFS(AND(ISNUMBER(Educator!D77),Educator!D77&lt;&gt;9),"Grade "&amp;Educator!D77,Educator!D77=9,"Grade 9-12",ISTEXT(Educator!D77),Educator!D77)&amp;" "&amp;"Florida"&amp;" "&amp;"26-27"</f>
        <v>#N/A</v>
      </c>
      <c r="C72" s="49" t="e">
        <f t="shared" si="1"/>
        <v>#N/A</v>
      </c>
      <c r="E72" s="51" t="s">
        <v>102</v>
      </c>
      <c r="F72" s="49" t="b">
        <f>IF(Educator!B77&gt;0,"active")</f>
        <v>0</v>
      </c>
      <c r="J72" s="49" t="str">
        <f>"BP-"&amp;"TSWFL-"&amp;IF(ISNUMBER(Educator!D77),""&amp;Educator!D77,Educator!D77)&amp;"-"&amp;"2027"</f>
        <v>BP-TSWFL--2027</v>
      </c>
    </row>
    <row r="73" spans="1:10" x14ac:dyDescent="0.2">
      <c r="A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","#",3))+1,1)&amp;"-"&amp;LEFT(Educator!B78, 3)&amp;"-"&amp;LEFT(Educator!A78, 3)&amp;"-"&amp;IF(ISNUMBER(Educator!D78),"G"&amp;Educator!D78,Educator!D78)&amp;"-"&amp;"2027"</f>
        <v>CID-FLH----2027</v>
      </c>
      <c r="B73" s="49" t="e" cm="1">
        <f t="array" ref="B73">Educator!B78&amp;" "&amp;_xlfn.IFS(AND(ISNUMBER(Educator!D78),Educator!D78&lt;&gt;9),"Grade "&amp;Educator!D78,Educator!D78=9,"Grade 9-12",ISTEXT(Educator!D78),Educator!D78)&amp;" "&amp;"Florida"&amp;" "&amp;"26-27"</f>
        <v>#N/A</v>
      </c>
      <c r="C73" s="49" t="e">
        <f t="shared" si="1"/>
        <v>#N/A</v>
      </c>
      <c r="E73" s="51" t="s">
        <v>102</v>
      </c>
      <c r="F73" s="49" t="b">
        <f>IF(Educator!B78&gt;0,"active")</f>
        <v>0</v>
      </c>
      <c r="J73" s="49" t="str">
        <f>"BP-"&amp;"TSWFL-"&amp;IF(ISNUMBER(Educator!D78),""&amp;Educator!D78,Educator!D78)&amp;"-"&amp;"2027"</f>
        <v>BP-TSWFL--2027</v>
      </c>
    </row>
    <row r="74" spans="1:10" x14ac:dyDescent="0.2">
      <c r="A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","#",3))+1,1)&amp;"-"&amp;LEFT(Educator!B79, 3)&amp;"-"&amp;LEFT(Educator!A79, 3)&amp;"-"&amp;IF(ISNUMBER(Educator!D79),"G"&amp;Educator!D79,Educator!D79)&amp;"-"&amp;"2027"</f>
        <v>CID-FLH----2027</v>
      </c>
      <c r="B74" s="49" t="e" cm="1">
        <f t="array" ref="B74">Educator!B79&amp;" "&amp;_xlfn.IFS(AND(ISNUMBER(Educator!D79),Educator!D79&lt;&gt;9),"Grade "&amp;Educator!D79,Educator!D79=9,"Grade 9-12",ISTEXT(Educator!D79),Educator!D79)&amp;" "&amp;"Florida"&amp;" "&amp;"26-27"</f>
        <v>#N/A</v>
      </c>
      <c r="C74" s="49" t="e">
        <f t="shared" si="1"/>
        <v>#N/A</v>
      </c>
      <c r="E74" s="51" t="s">
        <v>102</v>
      </c>
      <c r="F74" s="49" t="b">
        <f>IF(Educator!B79&gt;0,"active")</f>
        <v>0</v>
      </c>
      <c r="J74" s="49" t="str">
        <f>"BP-"&amp;"TSWFL-"&amp;IF(ISNUMBER(Educator!D79),""&amp;Educator!D79,Educator!D79)&amp;"-"&amp;"2027"</f>
        <v>BP-TSWFL--2027</v>
      </c>
    </row>
    <row r="75" spans="1:10" x14ac:dyDescent="0.2">
      <c r="A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","#",3))+1,1)&amp;"-"&amp;LEFT(Educator!B80, 3)&amp;"-"&amp;LEFT(Educator!A80, 3)&amp;"-"&amp;IF(ISNUMBER(Educator!D80),"G"&amp;Educator!D80,Educator!D80)&amp;"-"&amp;"2027"</f>
        <v>CID-FLH----2027</v>
      </c>
      <c r="B75" s="49" t="e" cm="1">
        <f t="array" ref="B75">Educator!B80&amp;" "&amp;_xlfn.IFS(AND(ISNUMBER(Educator!D80),Educator!D80&lt;&gt;9),"Grade "&amp;Educator!D80,Educator!D80=9,"Grade 9-12",ISTEXT(Educator!D80),Educator!D80)&amp;" "&amp;"Florida"&amp;" "&amp;"26-27"</f>
        <v>#N/A</v>
      </c>
      <c r="C75" s="49" t="e">
        <f t="shared" si="1"/>
        <v>#N/A</v>
      </c>
      <c r="E75" s="51" t="s">
        <v>102</v>
      </c>
      <c r="F75" s="49" t="b">
        <f>IF(Educator!B80&gt;0,"active")</f>
        <v>0</v>
      </c>
      <c r="J75" s="49" t="str">
        <f>"BP-"&amp;"TSWFL-"&amp;IF(ISNUMBER(Educator!D80),""&amp;Educator!D80,Educator!D80)&amp;"-"&amp;"2027"</f>
        <v>BP-TSWFL--2027</v>
      </c>
    </row>
    <row r="76" spans="1:10" x14ac:dyDescent="0.2">
      <c r="A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","#",3))+1,1)&amp;"-"&amp;LEFT(Educator!B81, 3)&amp;"-"&amp;LEFT(Educator!A81, 3)&amp;"-"&amp;IF(ISNUMBER(Educator!D81),"G"&amp;Educator!D81,Educator!D81)&amp;"-"&amp;"2027"</f>
        <v>CID-FLH----2027</v>
      </c>
      <c r="B76" s="49" t="e" cm="1">
        <f t="array" ref="B76">Educator!B81&amp;" "&amp;_xlfn.IFS(AND(ISNUMBER(Educator!D81),Educator!D81&lt;&gt;9),"Grade "&amp;Educator!D81,Educator!D81=9,"Grade 9-12",ISTEXT(Educator!D81),Educator!D81)&amp;" "&amp;"Florida"&amp;" "&amp;"26-27"</f>
        <v>#N/A</v>
      </c>
      <c r="C76" s="49" t="e">
        <f t="shared" si="1"/>
        <v>#N/A</v>
      </c>
      <c r="E76" s="51" t="s">
        <v>102</v>
      </c>
      <c r="F76" s="49" t="b">
        <f>IF(Educator!B81&gt;0,"active")</f>
        <v>0</v>
      </c>
      <c r="J76" s="49" t="str">
        <f>"BP-"&amp;"TSWFL-"&amp;IF(ISNUMBER(Educator!D81),""&amp;Educator!D81,Educator!D81)&amp;"-"&amp;"2027"</f>
        <v>BP-TSWFL--2027</v>
      </c>
    </row>
    <row r="77" spans="1:10" x14ac:dyDescent="0.2">
      <c r="A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","#",3))+1,1)&amp;"-"&amp;LEFT(Educator!B82, 3)&amp;"-"&amp;LEFT(Educator!A82, 3)&amp;"-"&amp;IF(ISNUMBER(Educator!D82),"G"&amp;Educator!D82,Educator!D82)&amp;"-"&amp;"2027"</f>
        <v>CID-FLH----2027</v>
      </c>
      <c r="B77" s="49" t="e" cm="1">
        <f t="array" ref="B77">Educator!B82&amp;" "&amp;_xlfn.IFS(AND(ISNUMBER(Educator!D82),Educator!D82&lt;&gt;9),"Grade "&amp;Educator!D82,Educator!D82=9,"Grade 9-12",ISTEXT(Educator!D82),Educator!D82)&amp;" "&amp;"Florida"&amp;" "&amp;"26-27"</f>
        <v>#N/A</v>
      </c>
      <c r="C77" s="49" t="e">
        <f t="shared" si="1"/>
        <v>#N/A</v>
      </c>
      <c r="E77" s="51" t="s">
        <v>102</v>
      </c>
      <c r="F77" s="49" t="b">
        <f>IF(Educator!B82&gt;0,"active")</f>
        <v>0</v>
      </c>
      <c r="J77" s="49" t="str">
        <f>"BP-"&amp;"TSWFL-"&amp;IF(ISNUMBER(Educator!D82),""&amp;Educator!D82,Educator!D82)&amp;"-"&amp;"2027"</f>
        <v>BP-TSWFL--2027</v>
      </c>
    </row>
    <row r="78" spans="1:10" x14ac:dyDescent="0.2">
      <c r="A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","#",3))+1,1)&amp;"-"&amp;LEFT(Educator!B83, 3)&amp;"-"&amp;LEFT(Educator!A83, 3)&amp;"-"&amp;IF(ISNUMBER(Educator!D83),"G"&amp;Educator!D83,Educator!D83)&amp;"-"&amp;"2027"</f>
        <v>CID-FLH----2027</v>
      </c>
      <c r="B78" s="49" t="e" cm="1">
        <f t="array" ref="B78">Educator!B83&amp;" "&amp;_xlfn.IFS(AND(ISNUMBER(Educator!D83),Educator!D83&lt;&gt;9),"Grade "&amp;Educator!D83,Educator!D83=9,"Grade 9-12",ISTEXT(Educator!D83),Educator!D83)&amp;" "&amp;"Florida"&amp;" "&amp;"26-27"</f>
        <v>#N/A</v>
      </c>
      <c r="C78" s="49" t="e">
        <f t="shared" si="1"/>
        <v>#N/A</v>
      </c>
      <c r="E78" s="51" t="s">
        <v>102</v>
      </c>
      <c r="F78" s="49" t="b">
        <f>IF(Educator!B83&gt;0,"active")</f>
        <v>0</v>
      </c>
      <c r="J78" s="49" t="str">
        <f>"BP-"&amp;"TSWFL-"&amp;IF(ISNUMBER(Educator!D83),""&amp;Educator!D83,Educator!D83)&amp;"-"&amp;"2027"</f>
        <v>BP-TSWFL--2027</v>
      </c>
    </row>
    <row r="79" spans="1:10" x14ac:dyDescent="0.2">
      <c r="A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","#",3))+1,1)&amp;"-"&amp;LEFT(Educator!B84, 3)&amp;"-"&amp;LEFT(Educator!A84, 3)&amp;"-"&amp;IF(ISNUMBER(Educator!D84),"G"&amp;Educator!D84,Educator!D84)&amp;"-"&amp;"2027"</f>
        <v>CID-FLH----2027</v>
      </c>
      <c r="B79" s="49" t="e" cm="1">
        <f t="array" ref="B79">Educator!B84&amp;" "&amp;_xlfn.IFS(AND(ISNUMBER(Educator!D84),Educator!D84&lt;&gt;9),"Grade "&amp;Educator!D84,Educator!D84=9,"Grade 9-12",ISTEXT(Educator!D84),Educator!D84)&amp;" "&amp;"Florida"&amp;" "&amp;"26-27"</f>
        <v>#N/A</v>
      </c>
      <c r="C79" s="49" t="e">
        <f t="shared" si="1"/>
        <v>#N/A</v>
      </c>
      <c r="E79" s="51" t="s">
        <v>102</v>
      </c>
      <c r="F79" s="49" t="b">
        <f>IF(Educator!B84&gt;0,"active")</f>
        <v>0</v>
      </c>
      <c r="J79" s="49" t="str">
        <f>"BP-"&amp;"TSWFL-"&amp;IF(ISNUMBER(Educator!D84),""&amp;Educator!D84,Educator!D84)&amp;"-"&amp;"2027"</f>
        <v>BP-TSWFL--2027</v>
      </c>
    </row>
    <row r="80" spans="1:10" x14ac:dyDescent="0.2">
      <c r="A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","#",3))+1,1)&amp;"-"&amp;LEFT(Educator!B85, 3)&amp;"-"&amp;LEFT(Educator!A85, 3)&amp;"-"&amp;IF(ISNUMBER(Educator!D85),"G"&amp;Educator!D85,Educator!D85)&amp;"-"&amp;"2027"</f>
        <v>CID-FLH----2027</v>
      </c>
      <c r="B80" s="49" t="e" cm="1">
        <f t="array" ref="B80">Educator!B85&amp;" "&amp;_xlfn.IFS(AND(ISNUMBER(Educator!D85),Educator!D85&lt;&gt;9),"Grade "&amp;Educator!D85,Educator!D85=9,"Grade 9-12",ISTEXT(Educator!D85),Educator!D85)&amp;" "&amp;"Florida"&amp;" "&amp;"26-27"</f>
        <v>#N/A</v>
      </c>
      <c r="C80" s="49" t="e">
        <f t="shared" si="1"/>
        <v>#N/A</v>
      </c>
      <c r="E80" s="51" t="s">
        <v>102</v>
      </c>
      <c r="F80" s="49" t="b">
        <f>IF(Educator!B85&gt;0,"active")</f>
        <v>0</v>
      </c>
      <c r="J80" s="49" t="str">
        <f>"BP-"&amp;"TSWFL-"&amp;IF(ISNUMBER(Educator!D85),""&amp;Educator!D85,Educator!D85)&amp;"-"&amp;"2027"</f>
        <v>BP-TSWFL--2027</v>
      </c>
    </row>
    <row r="81" spans="1:10" x14ac:dyDescent="0.2">
      <c r="A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","#",3))+1,1)&amp;"-"&amp;LEFT(Educator!B86, 3)&amp;"-"&amp;LEFT(Educator!A86, 3)&amp;"-"&amp;IF(ISNUMBER(Educator!D86),"G"&amp;Educator!D86,Educator!D86)&amp;"-"&amp;"2027"</f>
        <v>CID-FLH----2027</v>
      </c>
      <c r="B81" s="49" t="e" cm="1">
        <f t="array" ref="B81">Educator!B86&amp;" "&amp;_xlfn.IFS(AND(ISNUMBER(Educator!D86),Educator!D86&lt;&gt;9),"Grade "&amp;Educator!D86,Educator!D86=9,"Grade 9-12",ISTEXT(Educator!D86),Educator!D86)&amp;" "&amp;"Florida"&amp;" "&amp;"26-27"</f>
        <v>#N/A</v>
      </c>
      <c r="C81" s="49" t="e">
        <f t="shared" si="1"/>
        <v>#N/A</v>
      </c>
      <c r="E81" s="51" t="s">
        <v>102</v>
      </c>
      <c r="F81" s="49" t="b">
        <f>IF(Educator!B86&gt;0,"active")</f>
        <v>0</v>
      </c>
      <c r="J81" s="49" t="str">
        <f>"BP-"&amp;"TSWFL-"&amp;IF(ISNUMBER(Educator!D86),""&amp;Educator!D86,Educator!D86)&amp;"-"&amp;"2027"</f>
        <v>BP-TSWFL--2027</v>
      </c>
    </row>
    <row r="82" spans="1:10" x14ac:dyDescent="0.2">
      <c r="A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","#",3))+1,1)&amp;"-"&amp;LEFT(Educator!B87, 3)&amp;"-"&amp;LEFT(Educator!A87, 3)&amp;"-"&amp;IF(ISNUMBER(Educator!D87),"G"&amp;Educator!D87,Educator!D87)&amp;"-"&amp;"2027"</f>
        <v>CID-FLH----2027</v>
      </c>
      <c r="B82" s="49" t="e" cm="1">
        <f t="array" ref="B82">Educator!B87&amp;" "&amp;_xlfn.IFS(AND(ISNUMBER(Educator!D87),Educator!D87&lt;&gt;9),"Grade "&amp;Educator!D87,Educator!D87=9,"Grade 9-12",ISTEXT(Educator!D87),Educator!D87)&amp;" "&amp;"Florida"&amp;" "&amp;"26-27"</f>
        <v>#N/A</v>
      </c>
      <c r="C82" s="49" t="e">
        <f t="shared" ref="C82:C145" si="2">B82</f>
        <v>#N/A</v>
      </c>
      <c r="E82" s="51" t="s">
        <v>102</v>
      </c>
      <c r="F82" s="49" t="b">
        <f>IF(Educator!B87&gt;0,"active")</f>
        <v>0</v>
      </c>
      <c r="J82" s="49" t="str">
        <f>"BP-"&amp;"TSWFL-"&amp;IF(ISNUMBER(Educator!D87),""&amp;Educator!D87,Educator!D87)&amp;"-"&amp;"2027"</f>
        <v>BP-TSWFL--2027</v>
      </c>
    </row>
    <row r="83" spans="1:10" x14ac:dyDescent="0.2">
      <c r="A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","#",3))+1,1)&amp;"-"&amp;LEFT(Educator!B88, 3)&amp;"-"&amp;LEFT(Educator!A88, 3)&amp;"-"&amp;IF(ISNUMBER(Educator!D88),"G"&amp;Educator!D88,Educator!D88)&amp;"-"&amp;"2027"</f>
        <v>CID-FLH----2027</v>
      </c>
      <c r="B83" s="49" t="e" cm="1">
        <f t="array" ref="B83">Educator!B88&amp;" "&amp;_xlfn.IFS(AND(ISNUMBER(Educator!D88),Educator!D88&lt;&gt;9),"Grade "&amp;Educator!D88,Educator!D88=9,"Grade 9-12",ISTEXT(Educator!D88),Educator!D88)&amp;" "&amp;"Florida"&amp;" "&amp;"26-27"</f>
        <v>#N/A</v>
      </c>
      <c r="C83" s="49" t="e">
        <f t="shared" si="2"/>
        <v>#N/A</v>
      </c>
      <c r="E83" s="51" t="s">
        <v>102</v>
      </c>
      <c r="F83" s="49" t="b">
        <f>IF(Educator!B88&gt;0,"active")</f>
        <v>0</v>
      </c>
      <c r="J83" s="49" t="str">
        <f>"BP-"&amp;"TSWFL-"&amp;IF(ISNUMBER(Educator!D88),""&amp;Educator!D88,Educator!D88)&amp;"-"&amp;"2027"</f>
        <v>BP-TSWFL--2027</v>
      </c>
    </row>
    <row r="84" spans="1:10" x14ac:dyDescent="0.2">
      <c r="A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","#",3))+1,1)&amp;"-"&amp;LEFT(Educator!B89, 3)&amp;"-"&amp;LEFT(Educator!A89, 3)&amp;"-"&amp;IF(ISNUMBER(Educator!D89),"G"&amp;Educator!D89,Educator!D89)&amp;"-"&amp;"2027"</f>
        <v>CID-FLH----2027</v>
      </c>
      <c r="B84" s="49" t="e" cm="1">
        <f t="array" ref="B84">Educator!B89&amp;" "&amp;_xlfn.IFS(AND(ISNUMBER(Educator!D89),Educator!D89&lt;&gt;9),"Grade "&amp;Educator!D89,Educator!D89=9,"Grade 9-12",ISTEXT(Educator!D89),Educator!D89)&amp;" "&amp;"Florida"&amp;" "&amp;"26-27"</f>
        <v>#N/A</v>
      </c>
      <c r="C84" s="49" t="e">
        <f t="shared" si="2"/>
        <v>#N/A</v>
      </c>
      <c r="E84" s="51" t="s">
        <v>102</v>
      </c>
      <c r="F84" s="49" t="b">
        <f>IF(Educator!B89&gt;0,"active")</f>
        <v>0</v>
      </c>
      <c r="J84" s="49" t="str">
        <f>"BP-"&amp;"TSWFL-"&amp;IF(ISNUMBER(Educator!D89),""&amp;Educator!D89,Educator!D89)&amp;"-"&amp;"2027"</f>
        <v>BP-TSWFL--2027</v>
      </c>
    </row>
    <row r="85" spans="1:10" x14ac:dyDescent="0.2">
      <c r="A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","#",3))+1,1)&amp;"-"&amp;LEFT(Educator!B90, 3)&amp;"-"&amp;LEFT(Educator!A90, 3)&amp;"-"&amp;IF(ISNUMBER(Educator!D90),"G"&amp;Educator!D90,Educator!D90)&amp;"-"&amp;"2027"</f>
        <v>CID-FLH----2027</v>
      </c>
      <c r="B85" s="49" t="e" cm="1">
        <f t="array" ref="B85">Educator!B90&amp;" "&amp;_xlfn.IFS(AND(ISNUMBER(Educator!D90),Educator!D90&lt;&gt;9),"Grade "&amp;Educator!D90,Educator!D90=9,"Grade 9-12",ISTEXT(Educator!D90),Educator!D90)&amp;" "&amp;"Florida"&amp;" "&amp;"26-27"</f>
        <v>#N/A</v>
      </c>
      <c r="C85" s="49" t="e">
        <f t="shared" si="2"/>
        <v>#N/A</v>
      </c>
      <c r="E85" s="51" t="s">
        <v>102</v>
      </c>
      <c r="F85" s="49" t="b">
        <f>IF(Educator!B90&gt;0,"active")</f>
        <v>0</v>
      </c>
      <c r="J85" s="49" t="str">
        <f>"BP-"&amp;"TSWFL-"&amp;IF(ISNUMBER(Educator!D90),""&amp;Educator!D90,Educator!D90)&amp;"-"&amp;"2027"</f>
        <v>BP-TSWFL--2027</v>
      </c>
    </row>
    <row r="86" spans="1:10" x14ac:dyDescent="0.2">
      <c r="A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","#",3))+1,1)&amp;"-"&amp;LEFT(Educator!B91, 3)&amp;"-"&amp;LEFT(Educator!A91, 3)&amp;"-"&amp;IF(ISNUMBER(Educator!D91),"G"&amp;Educator!D91,Educator!D91)&amp;"-"&amp;"2027"</f>
        <v>CID-FLH----2027</v>
      </c>
      <c r="B86" s="49" t="e" cm="1">
        <f t="array" ref="B86">Educator!B91&amp;" "&amp;_xlfn.IFS(AND(ISNUMBER(Educator!D91),Educator!D91&lt;&gt;9),"Grade "&amp;Educator!D91,Educator!D91=9,"Grade 9-12",ISTEXT(Educator!D91),Educator!D91)&amp;" "&amp;"Florida"&amp;" "&amp;"26-27"</f>
        <v>#N/A</v>
      </c>
      <c r="C86" s="49" t="e">
        <f t="shared" si="2"/>
        <v>#N/A</v>
      </c>
      <c r="E86" s="51" t="s">
        <v>102</v>
      </c>
      <c r="F86" s="49" t="b">
        <f>IF(Educator!B91&gt;0,"active")</f>
        <v>0</v>
      </c>
      <c r="J86" s="49" t="str">
        <f>"BP-"&amp;"TSWFL-"&amp;IF(ISNUMBER(Educator!D91),""&amp;Educator!D91,Educator!D91)&amp;"-"&amp;"2027"</f>
        <v>BP-TSWFL--2027</v>
      </c>
    </row>
    <row r="87" spans="1:10" x14ac:dyDescent="0.2">
      <c r="A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","#",3))+1,1)&amp;"-"&amp;LEFT(Educator!B92, 3)&amp;"-"&amp;LEFT(Educator!A92, 3)&amp;"-"&amp;IF(ISNUMBER(Educator!D92),"G"&amp;Educator!D92,Educator!D92)&amp;"-"&amp;"2027"</f>
        <v>CID-FLH----2027</v>
      </c>
      <c r="B87" s="49" t="e" cm="1">
        <f t="array" ref="B87">Educator!B92&amp;" "&amp;_xlfn.IFS(AND(ISNUMBER(Educator!D92),Educator!D92&lt;&gt;9),"Grade "&amp;Educator!D92,Educator!D92=9,"Grade 9-12",ISTEXT(Educator!D92),Educator!D92)&amp;" "&amp;"Florida"&amp;" "&amp;"26-27"</f>
        <v>#N/A</v>
      </c>
      <c r="C87" s="49" t="e">
        <f t="shared" si="2"/>
        <v>#N/A</v>
      </c>
      <c r="E87" s="51" t="s">
        <v>102</v>
      </c>
      <c r="F87" s="49" t="b">
        <f>IF(Educator!B92&gt;0,"active")</f>
        <v>0</v>
      </c>
      <c r="J87" s="49" t="str">
        <f>"BP-"&amp;"TSWFL-"&amp;IF(ISNUMBER(Educator!D92),""&amp;Educator!D92,Educator!D92)&amp;"-"&amp;"2027"</f>
        <v>BP-TSWFL--2027</v>
      </c>
    </row>
    <row r="88" spans="1:10" x14ac:dyDescent="0.2">
      <c r="A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","#",3))+1,1)&amp;"-"&amp;LEFT(Educator!B93, 3)&amp;"-"&amp;LEFT(Educator!A93, 3)&amp;"-"&amp;IF(ISNUMBER(Educator!D93),"G"&amp;Educator!D93,Educator!D93)&amp;"-"&amp;"2027"</f>
        <v>CID-FLH----2027</v>
      </c>
      <c r="B88" s="49" t="e" cm="1">
        <f t="array" ref="B88">Educator!B93&amp;" "&amp;_xlfn.IFS(AND(ISNUMBER(Educator!D93),Educator!D93&lt;&gt;9),"Grade "&amp;Educator!D93,Educator!D93=9,"Grade 9-12",ISTEXT(Educator!D93),Educator!D93)&amp;" "&amp;"Florida"&amp;" "&amp;"26-27"</f>
        <v>#N/A</v>
      </c>
      <c r="C88" s="49" t="e">
        <f t="shared" si="2"/>
        <v>#N/A</v>
      </c>
      <c r="E88" s="51" t="s">
        <v>102</v>
      </c>
      <c r="F88" s="49" t="b">
        <f>IF(Educator!B93&gt;0,"active")</f>
        <v>0</v>
      </c>
      <c r="J88" s="49" t="str">
        <f>"BP-"&amp;"TSWFL-"&amp;IF(ISNUMBER(Educator!D93),""&amp;Educator!D93,Educator!D93)&amp;"-"&amp;"2027"</f>
        <v>BP-TSWFL--2027</v>
      </c>
    </row>
    <row r="89" spans="1:10" x14ac:dyDescent="0.2">
      <c r="A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","#",3))+1,1)&amp;"-"&amp;LEFT(Educator!B94, 3)&amp;"-"&amp;LEFT(Educator!A94, 3)&amp;"-"&amp;IF(ISNUMBER(Educator!D94),"G"&amp;Educator!D94,Educator!D94)&amp;"-"&amp;"2027"</f>
        <v>CID-FLH----2027</v>
      </c>
      <c r="B89" s="49" t="e" cm="1">
        <f t="array" ref="B89">Educator!B94&amp;" "&amp;_xlfn.IFS(AND(ISNUMBER(Educator!D94),Educator!D94&lt;&gt;9),"Grade "&amp;Educator!D94,Educator!D94=9,"Grade 9-12",ISTEXT(Educator!D94),Educator!D94)&amp;" "&amp;"Florida"&amp;" "&amp;"26-27"</f>
        <v>#N/A</v>
      </c>
      <c r="C89" s="49" t="e">
        <f t="shared" si="2"/>
        <v>#N/A</v>
      </c>
      <c r="E89" s="51" t="s">
        <v>102</v>
      </c>
      <c r="F89" s="49" t="b">
        <f>IF(Educator!B94&gt;0,"active")</f>
        <v>0</v>
      </c>
      <c r="J89" s="49" t="str">
        <f>"BP-"&amp;"TSWFL-"&amp;IF(ISNUMBER(Educator!D94),""&amp;Educator!D94,Educator!D94)&amp;"-"&amp;"2027"</f>
        <v>BP-TSWFL--2027</v>
      </c>
    </row>
    <row r="90" spans="1:10" x14ac:dyDescent="0.2">
      <c r="A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","#",3))+1,1)&amp;"-"&amp;LEFT(Educator!B95, 3)&amp;"-"&amp;LEFT(Educator!A95, 3)&amp;"-"&amp;IF(ISNUMBER(Educator!D95),"G"&amp;Educator!D95,Educator!D95)&amp;"-"&amp;"2027"</f>
        <v>CID-FLH----2027</v>
      </c>
      <c r="B90" s="49" t="e" cm="1">
        <f t="array" ref="B90">Educator!B95&amp;" "&amp;_xlfn.IFS(AND(ISNUMBER(Educator!D95),Educator!D95&lt;&gt;9),"Grade "&amp;Educator!D95,Educator!D95=9,"Grade 9-12",ISTEXT(Educator!D95),Educator!D95)&amp;" "&amp;"Florida"&amp;" "&amp;"26-27"</f>
        <v>#N/A</v>
      </c>
      <c r="C90" s="49" t="e">
        <f t="shared" si="2"/>
        <v>#N/A</v>
      </c>
      <c r="E90" s="51" t="s">
        <v>102</v>
      </c>
      <c r="F90" s="49" t="b">
        <f>IF(Educator!B95&gt;0,"active")</f>
        <v>0</v>
      </c>
      <c r="J90" s="49" t="str">
        <f>"BP-"&amp;"TSWFL-"&amp;IF(ISNUMBER(Educator!D95),""&amp;Educator!D95,Educator!D95)&amp;"-"&amp;"2027"</f>
        <v>BP-TSWFL--2027</v>
      </c>
    </row>
    <row r="91" spans="1:10" x14ac:dyDescent="0.2">
      <c r="A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","#",3))+1,1)&amp;"-"&amp;LEFT(Educator!B96, 3)&amp;"-"&amp;LEFT(Educator!A96, 3)&amp;"-"&amp;IF(ISNUMBER(Educator!D96),"G"&amp;Educator!D96,Educator!D96)&amp;"-"&amp;"2027"</f>
        <v>CID-FLH----2027</v>
      </c>
      <c r="B91" s="49" t="e" cm="1">
        <f t="array" ref="B91">Educator!B96&amp;" "&amp;_xlfn.IFS(AND(ISNUMBER(Educator!D96),Educator!D96&lt;&gt;9),"Grade "&amp;Educator!D96,Educator!D96=9,"Grade 9-12",ISTEXT(Educator!D96),Educator!D96)&amp;" "&amp;"Florida"&amp;" "&amp;"26-27"</f>
        <v>#N/A</v>
      </c>
      <c r="C91" s="49" t="e">
        <f t="shared" si="2"/>
        <v>#N/A</v>
      </c>
      <c r="E91" s="51" t="s">
        <v>102</v>
      </c>
      <c r="F91" s="49" t="b">
        <f>IF(Educator!B96&gt;0,"active")</f>
        <v>0</v>
      </c>
      <c r="J91" s="49" t="str">
        <f>"BP-"&amp;"TSWFL-"&amp;IF(ISNUMBER(Educator!D96),""&amp;Educator!D96,Educator!D96)&amp;"-"&amp;"2027"</f>
        <v>BP-TSWFL--2027</v>
      </c>
    </row>
    <row r="92" spans="1:10" x14ac:dyDescent="0.2">
      <c r="A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","#",3))+1,1)&amp;"-"&amp;LEFT(Educator!B97, 3)&amp;"-"&amp;LEFT(Educator!A97, 3)&amp;"-"&amp;IF(ISNUMBER(Educator!D97),"G"&amp;Educator!D97,Educator!D97)&amp;"-"&amp;"2027"</f>
        <v>CID-FLH----2027</v>
      </c>
      <c r="B92" s="49" t="e" cm="1">
        <f t="array" ref="B92">Educator!B97&amp;" "&amp;_xlfn.IFS(AND(ISNUMBER(Educator!D97),Educator!D97&lt;&gt;9),"Grade "&amp;Educator!D97,Educator!D97=9,"Grade 9-12",ISTEXT(Educator!D97),Educator!D97)&amp;" "&amp;"Florida"&amp;" "&amp;"26-27"</f>
        <v>#N/A</v>
      </c>
      <c r="C92" s="49" t="e">
        <f t="shared" si="2"/>
        <v>#N/A</v>
      </c>
      <c r="E92" s="51" t="s">
        <v>102</v>
      </c>
      <c r="F92" s="49" t="b">
        <f>IF(Educator!B97&gt;0,"active")</f>
        <v>0</v>
      </c>
      <c r="J92" s="49" t="str">
        <f>"BP-"&amp;"TSWFL-"&amp;IF(ISNUMBER(Educator!D97),""&amp;Educator!D97,Educator!D97)&amp;"-"&amp;"2027"</f>
        <v>BP-TSWFL--2027</v>
      </c>
    </row>
    <row r="93" spans="1:10" x14ac:dyDescent="0.2">
      <c r="A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","#",3))+1,1)&amp;"-"&amp;LEFT(Educator!B98, 3)&amp;"-"&amp;LEFT(Educator!A98, 3)&amp;"-"&amp;IF(ISNUMBER(Educator!D98),"G"&amp;Educator!D98,Educator!D98)&amp;"-"&amp;"2027"</f>
        <v>CID-FLH----2027</v>
      </c>
      <c r="B93" s="49" t="e" cm="1">
        <f t="array" ref="B93">Educator!B98&amp;" "&amp;_xlfn.IFS(AND(ISNUMBER(Educator!D98),Educator!D98&lt;&gt;9),"Grade "&amp;Educator!D98,Educator!D98=9,"Grade 9-12",ISTEXT(Educator!D98),Educator!D98)&amp;" "&amp;"Florida"&amp;" "&amp;"26-27"</f>
        <v>#N/A</v>
      </c>
      <c r="C93" s="49" t="e">
        <f t="shared" si="2"/>
        <v>#N/A</v>
      </c>
      <c r="E93" s="51" t="s">
        <v>102</v>
      </c>
      <c r="F93" s="49" t="b">
        <f>IF(Educator!B98&gt;0,"active")</f>
        <v>0</v>
      </c>
      <c r="J93" s="49" t="str">
        <f>"BP-"&amp;"TSWFL-"&amp;IF(ISNUMBER(Educator!D98),""&amp;Educator!D98,Educator!D98)&amp;"-"&amp;"2027"</f>
        <v>BP-TSWFL--2027</v>
      </c>
    </row>
    <row r="94" spans="1:10" x14ac:dyDescent="0.2">
      <c r="A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","#",3))+1,1)&amp;"-"&amp;LEFT(Educator!B99, 3)&amp;"-"&amp;LEFT(Educator!A99, 3)&amp;"-"&amp;IF(ISNUMBER(Educator!D99),"G"&amp;Educator!D99,Educator!D99)&amp;"-"&amp;"2027"</f>
        <v>CID-FLH----2027</v>
      </c>
      <c r="B94" s="49" t="e" cm="1">
        <f t="array" ref="B94">Educator!B99&amp;" "&amp;_xlfn.IFS(AND(ISNUMBER(Educator!D99),Educator!D99&lt;&gt;9),"Grade "&amp;Educator!D99,Educator!D99=9,"Grade 9-12",ISTEXT(Educator!D99),Educator!D99)&amp;" "&amp;"Florida"&amp;" "&amp;"26-27"</f>
        <v>#N/A</v>
      </c>
      <c r="C94" s="49" t="e">
        <f t="shared" si="2"/>
        <v>#N/A</v>
      </c>
      <c r="E94" s="51" t="s">
        <v>102</v>
      </c>
      <c r="F94" s="49" t="b">
        <f>IF(Educator!B99&gt;0,"active")</f>
        <v>0</v>
      </c>
      <c r="J94" s="49" t="str">
        <f>"BP-"&amp;"TSWFL-"&amp;IF(ISNUMBER(Educator!D99),""&amp;Educator!D99,Educator!D99)&amp;"-"&amp;"2027"</f>
        <v>BP-TSWFL--2027</v>
      </c>
    </row>
    <row r="95" spans="1:10" x14ac:dyDescent="0.2">
      <c r="A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","#",3))+1,1)&amp;"-"&amp;LEFT(Educator!B100, 3)&amp;"-"&amp;LEFT(Educator!A100, 3)&amp;"-"&amp;IF(ISNUMBER(Educator!D100),"G"&amp;Educator!D100,Educator!D100)&amp;"-"&amp;"2027"</f>
        <v>CID-FLH----2027</v>
      </c>
      <c r="B95" s="49" t="e" cm="1">
        <f t="array" ref="B95">Educator!B100&amp;" "&amp;_xlfn.IFS(AND(ISNUMBER(Educator!D100),Educator!D100&lt;&gt;9),"Grade "&amp;Educator!D100,Educator!D100=9,"Grade 9-12",ISTEXT(Educator!D100),Educator!D100)&amp;" "&amp;"Florida"&amp;" "&amp;"26-27"</f>
        <v>#N/A</v>
      </c>
      <c r="C95" s="49" t="e">
        <f t="shared" si="2"/>
        <v>#N/A</v>
      </c>
      <c r="E95" s="51" t="s">
        <v>102</v>
      </c>
      <c r="F95" s="49" t="b">
        <f>IF(Educator!B100&gt;0,"active")</f>
        <v>0</v>
      </c>
      <c r="J95" s="49" t="str">
        <f>"BP-"&amp;"TSWFL-"&amp;IF(ISNUMBER(Educator!D100),""&amp;Educator!D100,Educator!D100)&amp;"-"&amp;"2027"</f>
        <v>BP-TSWFL--2027</v>
      </c>
    </row>
    <row r="96" spans="1:10" x14ac:dyDescent="0.2">
      <c r="A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","#",3))+1,1)&amp;"-"&amp;LEFT(Educator!B101, 3)&amp;"-"&amp;LEFT(Educator!A101, 3)&amp;"-"&amp;IF(ISNUMBER(Educator!D101),"G"&amp;Educator!D101,Educator!D101)&amp;"-"&amp;"2027"</f>
        <v>CID-FLH----2027</v>
      </c>
      <c r="B96" s="49" t="e" cm="1">
        <f t="array" ref="B96">Educator!B101&amp;" "&amp;_xlfn.IFS(AND(ISNUMBER(Educator!D101),Educator!D101&lt;&gt;9),"Grade "&amp;Educator!D101,Educator!D101=9,"Grade 9-12",ISTEXT(Educator!D101),Educator!D101)&amp;" "&amp;"Florida"&amp;" "&amp;"26-27"</f>
        <v>#N/A</v>
      </c>
      <c r="C96" s="49" t="e">
        <f t="shared" si="2"/>
        <v>#N/A</v>
      </c>
      <c r="E96" s="51" t="s">
        <v>102</v>
      </c>
      <c r="F96" s="49" t="b">
        <f>IF(Educator!B101&gt;0,"active")</f>
        <v>0</v>
      </c>
      <c r="J96" s="49" t="str">
        <f>"BP-"&amp;"TSWFL-"&amp;IF(ISNUMBER(Educator!D101),""&amp;Educator!D101,Educator!D101)&amp;"-"&amp;"2027"</f>
        <v>BP-TSWFL--2027</v>
      </c>
    </row>
    <row r="97" spans="1:10" x14ac:dyDescent="0.2">
      <c r="A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","#",3))+1,1)&amp;"-"&amp;LEFT(Educator!B102, 3)&amp;"-"&amp;LEFT(Educator!A102, 3)&amp;"-"&amp;IF(ISNUMBER(Educator!D102),"G"&amp;Educator!D102,Educator!D102)&amp;"-"&amp;"2027"</f>
        <v>CID-FLH----2027</v>
      </c>
      <c r="B97" s="49" t="e" cm="1">
        <f t="array" ref="B97">Educator!B102&amp;" "&amp;_xlfn.IFS(AND(ISNUMBER(Educator!D102),Educator!D102&lt;&gt;9),"Grade "&amp;Educator!D102,Educator!D102=9,"Grade 9-12",ISTEXT(Educator!D102),Educator!D102)&amp;" "&amp;"Florida"&amp;" "&amp;"26-27"</f>
        <v>#N/A</v>
      </c>
      <c r="C97" s="49" t="e">
        <f t="shared" si="2"/>
        <v>#N/A</v>
      </c>
      <c r="E97" s="51" t="s">
        <v>102</v>
      </c>
      <c r="F97" s="49" t="b">
        <f>IF(Educator!B102&gt;0,"active")</f>
        <v>0</v>
      </c>
      <c r="J97" s="49" t="str">
        <f>"BP-"&amp;"TSWFL-"&amp;IF(ISNUMBER(Educator!D102),""&amp;Educator!D102,Educator!D102)&amp;"-"&amp;"2027"</f>
        <v>BP-TSWFL--2027</v>
      </c>
    </row>
    <row r="98" spans="1:10" x14ac:dyDescent="0.2">
      <c r="A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","#",3))+1,1)&amp;"-"&amp;LEFT(Educator!B103, 3)&amp;"-"&amp;LEFT(Educator!A103, 3)&amp;"-"&amp;IF(ISNUMBER(Educator!D103),"G"&amp;Educator!D103,Educator!D103)&amp;"-"&amp;"2027"</f>
        <v>CID-FLH----2027</v>
      </c>
      <c r="B98" s="49" t="e" cm="1">
        <f t="array" ref="B98">Educator!B103&amp;" "&amp;_xlfn.IFS(AND(ISNUMBER(Educator!D103),Educator!D103&lt;&gt;9),"Grade "&amp;Educator!D103,Educator!D103=9,"Grade 9-12",ISTEXT(Educator!D103),Educator!D103)&amp;" "&amp;"Florida"&amp;" "&amp;"26-27"</f>
        <v>#N/A</v>
      </c>
      <c r="C98" s="49" t="e">
        <f t="shared" si="2"/>
        <v>#N/A</v>
      </c>
      <c r="E98" s="51" t="s">
        <v>102</v>
      </c>
      <c r="F98" s="49" t="b">
        <f>IF(Educator!B103&gt;0,"active")</f>
        <v>0</v>
      </c>
      <c r="J98" s="49" t="str">
        <f>"BP-"&amp;"TSWFL-"&amp;IF(ISNUMBER(Educator!D103),""&amp;Educator!D103,Educator!D103)&amp;"-"&amp;"2027"</f>
        <v>BP-TSWFL--2027</v>
      </c>
    </row>
    <row r="99" spans="1:10" x14ac:dyDescent="0.2">
      <c r="A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","#",3))+1,1)&amp;"-"&amp;LEFT(Educator!B104, 3)&amp;"-"&amp;LEFT(Educator!A104, 3)&amp;"-"&amp;IF(ISNUMBER(Educator!D104),"G"&amp;Educator!D104,Educator!D104)&amp;"-"&amp;"2027"</f>
        <v>CID-FLH----2027</v>
      </c>
      <c r="B99" s="49" t="e" cm="1">
        <f t="array" ref="B99">Educator!B104&amp;" "&amp;_xlfn.IFS(AND(ISNUMBER(Educator!D104),Educator!D104&lt;&gt;9),"Grade "&amp;Educator!D104,Educator!D104=9,"Grade 9-12",ISTEXT(Educator!D104),Educator!D104)&amp;" "&amp;"Florida"&amp;" "&amp;"26-27"</f>
        <v>#N/A</v>
      </c>
      <c r="C99" s="49" t="e">
        <f t="shared" si="2"/>
        <v>#N/A</v>
      </c>
      <c r="E99" s="51" t="s">
        <v>102</v>
      </c>
      <c r="F99" s="49" t="b">
        <f>IF(Educator!B104&gt;0,"active")</f>
        <v>0</v>
      </c>
      <c r="J99" s="49" t="str">
        <f>"BP-"&amp;"TSWFL-"&amp;IF(ISNUMBER(Educator!D104),""&amp;Educator!D104,Educator!D104)&amp;"-"&amp;"2027"</f>
        <v>BP-TSWFL--2027</v>
      </c>
    </row>
    <row r="100" spans="1:10" x14ac:dyDescent="0.2">
      <c r="A1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","#",3))+1,1)&amp;"-"&amp;LEFT(Educator!B105, 3)&amp;"-"&amp;LEFT(Educator!A105, 3)&amp;"-"&amp;IF(ISNUMBER(Educator!D105),"G"&amp;Educator!D105,Educator!D105)&amp;"-"&amp;"2027"</f>
        <v>CID-FLH----2027</v>
      </c>
      <c r="B100" s="49" t="e" cm="1">
        <f t="array" ref="B100">Educator!B105&amp;" "&amp;_xlfn.IFS(AND(ISNUMBER(Educator!D105),Educator!D105&lt;&gt;9),"Grade "&amp;Educator!D105,Educator!D105=9,"Grade 9-12",ISTEXT(Educator!D105),Educator!D105)&amp;" "&amp;"Florida"&amp;" "&amp;"26-27"</f>
        <v>#N/A</v>
      </c>
      <c r="C100" s="49" t="e">
        <f t="shared" si="2"/>
        <v>#N/A</v>
      </c>
      <c r="E100" s="51" t="s">
        <v>102</v>
      </c>
      <c r="F100" s="49" t="b">
        <f>IF(Educator!B105&gt;0,"active")</f>
        <v>0</v>
      </c>
      <c r="J100" s="49" t="str">
        <f>"BP-"&amp;"TSWFL-"&amp;IF(ISNUMBER(Educator!D105),""&amp;Educator!D105,Educator!D105)&amp;"-"&amp;"2027"</f>
        <v>BP-TSWFL--2027</v>
      </c>
    </row>
    <row r="101" spans="1:10" x14ac:dyDescent="0.2">
      <c r="A1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","#",3))+1,1)&amp;"-"&amp;LEFT(Educator!B106, 3)&amp;"-"&amp;LEFT(Educator!A106, 3)&amp;"-"&amp;IF(ISNUMBER(Educator!D106),"G"&amp;Educator!D106,Educator!D106)&amp;"-"&amp;"2027"</f>
        <v>CID-FLH----2027</v>
      </c>
      <c r="B101" s="49" t="e" cm="1">
        <f t="array" ref="B101">Educator!B106&amp;" "&amp;_xlfn.IFS(AND(ISNUMBER(Educator!D106),Educator!D106&lt;&gt;9),"Grade "&amp;Educator!D106,Educator!D106=9,"Grade 9-12",ISTEXT(Educator!D106),Educator!D106)&amp;" "&amp;"Florida"&amp;" "&amp;"26-27"</f>
        <v>#N/A</v>
      </c>
      <c r="C101" s="49" t="e">
        <f t="shared" si="2"/>
        <v>#N/A</v>
      </c>
      <c r="E101" s="51" t="s">
        <v>102</v>
      </c>
      <c r="F101" s="49" t="b">
        <f>IF(Educator!B106&gt;0,"active")</f>
        <v>0</v>
      </c>
      <c r="J101" s="49" t="str">
        <f>"BP-"&amp;"TSWFL-"&amp;IF(ISNUMBER(Educator!D106),""&amp;Educator!D106,Educator!D106)&amp;"-"&amp;"2027"</f>
        <v>BP-TSWFL--2027</v>
      </c>
    </row>
    <row r="102" spans="1:10" x14ac:dyDescent="0.2">
      <c r="A1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","#",3))+1,1)&amp;"-"&amp;LEFT(Educator!B107, 3)&amp;"-"&amp;LEFT(Educator!A107, 3)&amp;"-"&amp;IF(ISNUMBER(Educator!D107),"G"&amp;Educator!D107,Educator!D107)&amp;"-"&amp;"2027"</f>
        <v>CID-FLH----2027</v>
      </c>
      <c r="B102" s="49" t="e" cm="1">
        <f t="array" ref="B102">Educator!B107&amp;" "&amp;_xlfn.IFS(AND(ISNUMBER(Educator!D107),Educator!D107&lt;&gt;9),"Grade "&amp;Educator!D107,Educator!D107=9,"Grade 9-12",ISTEXT(Educator!D107),Educator!D107)&amp;" "&amp;"Florida"&amp;" "&amp;"26-27"</f>
        <v>#N/A</v>
      </c>
      <c r="C102" s="49" t="e">
        <f t="shared" si="2"/>
        <v>#N/A</v>
      </c>
      <c r="E102" s="51" t="s">
        <v>102</v>
      </c>
      <c r="F102" s="49" t="b">
        <f>IF(Educator!B107&gt;0,"active")</f>
        <v>0</v>
      </c>
      <c r="J102" s="49" t="str">
        <f>"BP-"&amp;"TSWFL-"&amp;IF(ISNUMBER(Educator!D107),""&amp;Educator!D107,Educator!D107)&amp;"-"&amp;"2027"</f>
        <v>BP-TSWFL--2027</v>
      </c>
    </row>
    <row r="103" spans="1:10" x14ac:dyDescent="0.2">
      <c r="A1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","#",3))+1,1)&amp;"-"&amp;LEFT(Educator!B108, 3)&amp;"-"&amp;LEFT(Educator!A108, 3)&amp;"-"&amp;IF(ISNUMBER(Educator!D108),"G"&amp;Educator!D108,Educator!D108)&amp;"-"&amp;"2027"</f>
        <v>CID-FLH----2027</v>
      </c>
      <c r="B103" s="49" t="e" cm="1">
        <f t="array" ref="B103">Educator!B108&amp;" "&amp;_xlfn.IFS(AND(ISNUMBER(Educator!D108),Educator!D108&lt;&gt;9),"Grade "&amp;Educator!D108,Educator!D108=9,"Grade 9-12",ISTEXT(Educator!D108),Educator!D108)&amp;" "&amp;"Florida"&amp;" "&amp;"26-27"</f>
        <v>#N/A</v>
      </c>
      <c r="C103" s="49" t="e">
        <f t="shared" si="2"/>
        <v>#N/A</v>
      </c>
      <c r="E103" s="51" t="s">
        <v>102</v>
      </c>
      <c r="F103" s="49" t="b">
        <f>IF(Educator!B108&gt;0,"active")</f>
        <v>0</v>
      </c>
      <c r="J103" s="49" t="str">
        <f>"BP-"&amp;"TSWFL-"&amp;IF(ISNUMBER(Educator!D108),""&amp;Educator!D108,Educator!D108)&amp;"-"&amp;"2027"</f>
        <v>BP-TSWFL--2027</v>
      </c>
    </row>
    <row r="104" spans="1:10" x14ac:dyDescent="0.2">
      <c r="A1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","#",3))+1,1)&amp;"-"&amp;LEFT(Educator!B109, 3)&amp;"-"&amp;LEFT(Educator!A109, 3)&amp;"-"&amp;IF(ISNUMBER(Educator!D109),"G"&amp;Educator!D109,Educator!D109)&amp;"-"&amp;"2027"</f>
        <v>CID-FLH----2027</v>
      </c>
      <c r="B104" s="49" t="e" cm="1">
        <f t="array" ref="B104">Educator!B109&amp;" "&amp;_xlfn.IFS(AND(ISNUMBER(Educator!D109),Educator!D109&lt;&gt;9),"Grade "&amp;Educator!D109,Educator!D109=9,"Grade 9-12",ISTEXT(Educator!D109),Educator!D109)&amp;" "&amp;"Florida"&amp;" "&amp;"26-27"</f>
        <v>#N/A</v>
      </c>
      <c r="C104" s="49" t="e">
        <f t="shared" si="2"/>
        <v>#N/A</v>
      </c>
      <c r="E104" s="51" t="s">
        <v>102</v>
      </c>
      <c r="F104" s="49" t="b">
        <f>IF(Educator!B109&gt;0,"active")</f>
        <v>0</v>
      </c>
      <c r="J104" s="49" t="str">
        <f>"BP-"&amp;"TSWFL-"&amp;IF(ISNUMBER(Educator!D109),""&amp;Educator!D109,Educator!D109)&amp;"-"&amp;"2027"</f>
        <v>BP-TSWFL--2027</v>
      </c>
    </row>
    <row r="105" spans="1:10" x14ac:dyDescent="0.2">
      <c r="A1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","#",3))+1,1)&amp;"-"&amp;LEFT(Educator!B110, 3)&amp;"-"&amp;LEFT(Educator!A110, 3)&amp;"-"&amp;IF(ISNUMBER(Educator!D110),"G"&amp;Educator!D110,Educator!D110)&amp;"-"&amp;"2027"</f>
        <v>CID-FLH----2027</v>
      </c>
      <c r="B105" s="49" t="e" cm="1">
        <f t="array" ref="B105">Educator!B110&amp;" "&amp;_xlfn.IFS(AND(ISNUMBER(Educator!D110),Educator!D110&lt;&gt;9),"Grade "&amp;Educator!D110,Educator!D110=9,"Grade 9-12",ISTEXT(Educator!D110),Educator!D110)&amp;" "&amp;"Florida"&amp;" "&amp;"26-27"</f>
        <v>#N/A</v>
      </c>
      <c r="C105" s="49" t="e">
        <f t="shared" si="2"/>
        <v>#N/A</v>
      </c>
      <c r="E105" s="51" t="s">
        <v>102</v>
      </c>
      <c r="F105" s="49" t="b">
        <f>IF(Educator!B110&gt;0,"active")</f>
        <v>0</v>
      </c>
      <c r="J105" s="49" t="str">
        <f>"BP-"&amp;"TSWFL-"&amp;IF(ISNUMBER(Educator!D110),""&amp;Educator!D110,Educator!D110)&amp;"-"&amp;"2027"</f>
        <v>BP-TSWFL--2027</v>
      </c>
    </row>
    <row r="106" spans="1:10" x14ac:dyDescent="0.2">
      <c r="A1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","#",3))+1,1)&amp;"-"&amp;LEFT(Educator!B111, 3)&amp;"-"&amp;LEFT(Educator!A111, 3)&amp;"-"&amp;IF(ISNUMBER(Educator!D111),"G"&amp;Educator!D111,Educator!D111)&amp;"-"&amp;"2027"</f>
        <v>CID-FLH----2027</v>
      </c>
      <c r="B106" s="49" t="e" cm="1">
        <f t="array" ref="B106">Educator!B111&amp;" "&amp;_xlfn.IFS(AND(ISNUMBER(Educator!D111),Educator!D111&lt;&gt;9),"Grade "&amp;Educator!D111,Educator!D111=9,"Grade 9-12",ISTEXT(Educator!D111),Educator!D111)&amp;" "&amp;"Florida"&amp;" "&amp;"26-27"</f>
        <v>#N/A</v>
      </c>
      <c r="C106" s="49" t="e">
        <f t="shared" si="2"/>
        <v>#N/A</v>
      </c>
      <c r="E106" s="51" t="s">
        <v>102</v>
      </c>
      <c r="F106" s="49" t="b">
        <f>IF(Educator!B111&gt;0,"active")</f>
        <v>0</v>
      </c>
      <c r="J106" s="49" t="str">
        <f>"BP-"&amp;"TSWFL-"&amp;IF(ISNUMBER(Educator!D111),""&amp;Educator!D111,Educator!D111)&amp;"-"&amp;"2027"</f>
        <v>BP-TSWFL--2027</v>
      </c>
    </row>
    <row r="107" spans="1:10" x14ac:dyDescent="0.2">
      <c r="A1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","#",3))+1,1)&amp;"-"&amp;LEFT(Educator!B112, 3)&amp;"-"&amp;LEFT(Educator!A112, 3)&amp;"-"&amp;IF(ISNUMBER(Educator!D112),"G"&amp;Educator!D112,Educator!D112)&amp;"-"&amp;"2027"</f>
        <v>CID-FLH----2027</v>
      </c>
      <c r="B107" s="49" t="e" cm="1">
        <f t="array" ref="B107">Educator!B112&amp;" "&amp;_xlfn.IFS(AND(ISNUMBER(Educator!D112),Educator!D112&lt;&gt;9),"Grade "&amp;Educator!D112,Educator!D112=9,"Grade 9-12",ISTEXT(Educator!D112),Educator!D112)&amp;" "&amp;"Florida"&amp;" "&amp;"26-27"</f>
        <v>#N/A</v>
      </c>
      <c r="C107" s="49" t="e">
        <f t="shared" si="2"/>
        <v>#N/A</v>
      </c>
      <c r="E107" s="51" t="s">
        <v>102</v>
      </c>
      <c r="F107" s="49" t="b">
        <f>IF(Educator!B112&gt;0,"active")</f>
        <v>0</v>
      </c>
      <c r="J107" s="49" t="str">
        <f>"BP-"&amp;"TSWFL-"&amp;IF(ISNUMBER(Educator!D112),""&amp;Educator!D112,Educator!D112)&amp;"-"&amp;"2027"</f>
        <v>BP-TSWFL--2027</v>
      </c>
    </row>
    <row r="108" spans="1:10" x14ac:dyDescent="0.2">
      <c r="A1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","#",3))+1,1)&amp;"-"&amp;LEFT(Educator!B113, 3)&amp;"-"&amp;LEFT(Educator!A113, 3)&amp;"-"&amp;IF(ISNUMBER(Educator!D113),"G"&amp;Educator!D113,Educator!D113)&amp;"-"&amp;"2027"</f>
        <v>CID-FLH----2027</v>
      </c>
      <c r="B108" s="49" t="e" cm="1">
        <f t="array" ref="B108">Educator!B113&amp;" "&amp;_xlfn.IFS(AND(ISNUMBER(Educator!D113),Educator!D113&lt;&gt;9),"Grade "&amp;Educator!D113,Educator!D113=9,"Grade 9-12",ISTEXT(Educator!D113),Educator!D113)&amp;" "&amp;"Florida"&amp;" "&amp;"26-27"</f>
        <v>#N/A</v>
      </c>
      <c r="C108" s="49" t="e">
        <f t="shared" si="2"/>
        <v>#N/A</v>
      </c>
      <c r="E108" s="51" t="s">
        <v>102</v>
      </c>
      <c r="F108" s="49" t="b">
        <f>IF(Educator!B113&gt;0,"active")</f>
        <v>0</v>
      </c>
      <c r="J108" s="49" t="str">
        <f>"BP-"&amp;"TSWFL-"&amp;IF(ISNUMBER(Educator!D113),""&amp;Educator!D113,Educator!D113)&amp;"-"&amp;"2027"</f>
        <v>BP-TSWFL--2027</v>
      </c>
    </row>
    <row r="109" spans="1:10" x14ac:dyDescent="0.2">
      <c r="A1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","#",3))+1,1)&amp;"-"&amp;LEFT(Educator!B114, 3)&amp;"-"&amp;LEFT(Educator!A114, 3)&amp;"-"&amp;IF(ISNUMBER(Educator!D114),"G"&amp;Educator!D114,Educator!D114)&amp;"-"&amp;"2027"</f>
        <v>CID-FLH----2027</v>
      </c>
      <c r="B109" s="49" t="e" cm="1">
        <f t="array" ref="B109">Educator!B114&amp;" "&amp;_xlfn.IFS(AND(ISNUMBER(Educator!D114),Educator!D114&lt;&gt;9),"Grade "&amp;Educator!D114,Educator!D114=9,"Grade 9-12",ISTEXT(Educator!D114),Educator!D114)&amp;" "&amp;"Florida"&amp;" "&amp;"26-27"</f>
        <v>#N/A</v>
      </c>
      <c r="C109" s="49" t="e">
        <f t="shared" si="2"/>
        <v>#N/A</v>
      </c>
      <c r="E109" s="51" t="s">
        <v>102</v>
      </c>
      <c r="F109" s="49" t="b">
        <f>IF(Educator!B114&gt;0,"active")</f>
        <v>0</v>
      </c>
      <c r="J109" s="49" t="str">
        <f>"BP-"&amp;"TSWFL-"&amp;IF(ISNUMBER(Educator!D114),""&amp;Educator!D114,Educator!D114)&amp;"-"&amp;"2027"</f>
        <v>BP-TSWFL--2027</v>
      </c>
    </row>
    <row r="110" spans="1:10" x14ac:dyDescent="0.2">
      <c r="A1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","#",3))+1,1)&amp;"-"&amp;LEFT(Educator!B115, 3)&amp;"-"&amp;LEFT(Educator!A115, 3)&amp;"-"&amp;IF(ISNUMBER(Educator!D115),"G"&amp;Educator!D115,Educator!D115)&amp;"-"&amp;"2027"</f>
        <v>CID-FLH----2027</v>
      </c>
      <c r="B110" s="49" t="e" cm="1">
        <f t="array" ref="B110">Educator!B115&amp;" "&amp;_xlfn.IFS(AND(ISNUMBER(Educator!D115),Educator!D115&lt;&gt;9),"Grade "&amp;Educator!D115,Educator!D115=9,"Grade 9-12",ISTEXT(Educator!D115),Educator!D115)&amp;" "&amp;"Florida"&amp;" "&amp;"26-27"</f>
        <v>#N/A</v>
      </c>
      <c r="C110" s="49" t="e">
        <f t="shared" si="2"/>
        <v>#N/A</v>
      </c>
      <c r="E110" s="51" t="s">
        <v>102</v>
      </c>
      <c r="F110" s="49" t="b">
        <f>IF(Educator!B115&gt;0,"active")</f>
        <v>0</v>
      </c>
      <c r="J110" s="49" t="str">
        <f>"BP-"&amp;"TSWFL-"&amp;IF(ISNUMBER(Educator!D115),""&amp;Educator!D115,Educator!D115)&amp;"-"&amp;"2027"</f>
        <v>BP-TSWFL--2027</v>
      </c>
    </row>
    <row r="111" spans="1:10" x14ac:dyDescent="0.2">
      <c r="A1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","#",3))+1,1)&amp;"-"&amp;LEFT(Educator!B116, 3)&amp;"-"&amp;LEFT(Educator!A116, 3)&amp;"-"&amp;IF(ISNUMBER(Educator!D116),"G"&amp;Educator!D116,Educator!D116)&amp;"-"&amp;"2027"</f>
        <v>CID-FLH----2027</v>
      </c>
      <c r="B111" s="49" t="e" cm="1">
        <f t="array" ref="B111">Educator!B116&amp;" "&amp;_xlfn.IFS(AND(ISNUMBER(Educator!D116),Educator!D116&lt;&gt;9),"Grade "&amp;Educator!D116,Educator!D116=9,"Grade 9-12",ISTEXT(Educator!D116),Educator!D116)&amp;" "&amp;"Florida"&amp;" "&amp;"26-27"</f>
        <v>#N/A</v>
      </c>
      <c r="C111" s="49" t="e">
        <f t="shared" si="2"/>
        <v>#N/A</v>
      </c>
      <c r="E111" s="51" t="s">
        <v>102</v>
      </c>
      <c r="F111" s="49" t="b">
        <f>IF(Educator!B116&gt;0,"active")</f>
        <v>0</v>
      </c>
      <c r="J111" s="49" t="str">
        <f>"BP-"&amp;"TSWFL-"&amp;IF(ISNUMBER(Educator!D116),""&amp;Educator!D116,Educator!D116)&amp;"-"&amp;"2027"</f>
        <v>BP-TSWFL--2027</v>
      </c>
    </row>
    <row r="112" spans="1:10" x14ac:dyDescent="0.2">
      <c r="A1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","#",3))+1,1)&amp;"-"&amp;LEFT(Educator!B117, 3)&amp;"-"&amp;LEFT(Educator!A117, 3)&amp;"-"&amp;IF(ISNUMBER(Educator!D117),"G"&amp;Educator!D117,Educator!D117)&amp;"-"&amp;"2027"</f>
        <v>CID-FLH----2027</v>
      </c>
      <c r="B112" s="49" t="e" cm="1">
        <f t="array" ref="B112">Educator!B117&amp;" "&amp;_xlfn.IFS(AND(ISNUMBER(Educator!D117),Educator!D117&lt;&gt;9),"Grade "&amp;Educator!D117,Educator!D117=9,"Grade 9-12",ISTEXT(Educator!D117),Educator!D117)&amp;" "&amp;"Florida"&amp;" "&amp;"26-27"</f>
        <v>#N/A</v>
      </c>
      <c r="C112" s="49" t="e">
        <f t="shared" si="2"/>
        <v>#N/A</v>
      </c>
      <c r="E112" s="51" t="s">
        <v>102</v>
      </c>
      <c r="F112" s="49" t="b">
        <f>IF(Educator!B117&gt;0,"active")</f>
        <v>0</v>
      </c>
      <c r="J112" s="49" t="str">
        <f>"BP-"&amp;"TSWFL-"&amp;IF(ISNUMBER(Educator!D117),""&amp;Educator!D117,Educator!D117)&amp;"-"&amp;"2027"</f>
        <v>BP-TSWFL--2027</v>
      </c>
    </row>
    <row r="113" spans="1:10" x14ac:dyDescent="0.2">
      <c r="A1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","#",3))+1,1)&amp;"-"&amp;LEFT(Educator!B118, 3)&amp;"-"&amp;LEFT(Educator!A118, 3)&amp;"-"&amp;IF(ISNUMBER(Educator!D118),"G"&amp;Educator!D118,Educator!D118)&amp;"-"&amp;"2027"</f>
        <v>CID-FLH----2027</v>
      </c>
      <c r="B113" s="49" t="e" cm="1">
        <f t="array" ref="B113">Educator!B118&amp;" "&amp;_xlfn.IFS(AND(ISNUMBER(Educator!D118),Educator!D118&lt;&gt;9),"Grade "&amp;Educator!D118,Educator!D118=9,"Grade 9-12",ISTEXT(Educator!D118),Educator!D118)&amp;" "&amp;"Florida"&amp;" "&amp;"26-27"</f>
        <v>#N/A</v>
      </c>
      <c r="C113" s="49" t="e">
        <f t="shared" si="2"/>
        <v>#N/A</v>
      </c>
      <c r="E113" s="51" t="s">
        <v>102</v>
      </c>
      <c r="F113" s="49" t="b">
        <f>IF(Educator!B118&gt;0,"active")</f>
        <v>0</v>
      </c>
      <c r="J113" s="49" t="str">
        <f>"BP-"&amp;"TSWFL-"&amp;IF(ISNUMBER(Educator!D118),""&amp;Educator!D118,Educator!D118)&amp;"-"&amp;"2027"</f>
        <v>BP-TSWFL--2027</v>
      </c>
    </row>
    <row r="114" spans="1:10" x14ac:dyDescent="0.2">
      <c r="A1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","#",3))+1,1)&amp;"-"&amp;LEFT(Educator!B119, 3)&amp;"-"&amp;LEFT(Educator!A119, 3)&amp;"-"&amp;IF(ISNUMBER(Educator!D119),"G"&amp;Educator!D119,Educator!D119)&amp;"-"&amp;"2027"</f>
        <v>CID-FLH----2027</v>
      </c>
      <c r="B114" s="49" t="e" cm="1">
        <f t="array" ref="B114">Educator!B119&amp;" "&amp;_xlfn.IFS(AND(ISNUMBER(Educator!D119),Educator!D119&lt;&gt;9),"Grade "&amp;Educator!D119,Educator!D119=9,"Grade 9-12",ISTEXT(Educator!D119),Educator!D119)&amp;" "&amp;"Florida"&amp;" "&amp;"26-27"</f>
        <v>#N/A</v>
      </c>
      <c r="C114" s="49" t="e">
        <f t="shared" si="2"/>
        <v>#N/A</v>
      </c>
      <c r="E114" s="51" t="s">
        <v>102</v>
      </c>
      <c r="F114" s="49" t="b">
        <f>IF(Educator!B119&gt;0,"active")</f>
        <v>0</v>
      </c>
      <c r="J114" s="49" t="str">
        <f>"BP-"&amp;"TSWFL-"&amp;IF(ISNUMBER(Educator!D119),""&amp;Educator!D119,Educator!D119)&amp;"-"&amp;"2027"</f>
        <v>BP-TSWFL--2027</v>
      </c>
    </row>
    <row r="115" spans="1:10" x14ac:dyDescent="0.2">
      <c r="A1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","#",3))+1,1)&amp;"-"&amp;LEFT(Educator!B120, 3)&amp;"-"&amp;LEFT(Educator!A120, 3)&amp;"-"&amp;IF(ISNUMBER(Educator!D120),"G"&amp;Educator!D120,Educator!D120)&amp;"-"&amp;"2027"</f>
        <v>CID-FLH----2027</v>
      </c>
      <c r="B115" s="49" t="e" cm="1">
        <f t="array" ref="B115">Educator!B120&amp;" "&amp;_xlfn.IFS(AND(ISNUMBER(Educator!D120),Educator!D120&lt;&gt;9),"Grade "&amp;Educator!D120,Educator!D120=9,"Grade 9-12",ISTEXT(Educator!D120),Educator!D120)&amp;" "&amp;"Florida"&amp;" "&amp;"26-27"</f>
        <v>#N/A</v>
      </c>
      <c r="C115" s="49" t="e">
        <f t="shared" si="2"/>
        <v>#N/A</v>
      </c>
      <c r="E115" s="51" t="s">
        <v>102</v>
      </c>
      <c r="F115" s="49" t="b">
        <f>IF(Educator!B120&gt;0,"active")</f>
        <v>0</v>
      </c>
      <c r="J115" s="49" t="str">
        <f>"BP-"&amp;"TSWFL-"&amp;IF(ISNUMBER(Educator!D120),""&amp;Educator!D120,Educator!D120)&amp;"-"&amp;"2027"</f>
        <v>BP-TSWFL--2027</v>
      </c>
    </row>
    <row r="116" spans="1:10" x14ac:dyDescent="0.2">
      <c r="A1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","#",3))+1,1)&amp;"-"&amp;LEFT(Educator!B121, 3)&amp;"-"&amp;LEFT(Educator!A121, 3)&amp;"-"&amp;IF(ISNUMBER(Educator!D121),"G"&amp;Educator!D121,Educator!D121)&amp;"-"&amp;"2027"</f>
        <v>CID-FLH----2027</v>
      </c>
      <c r="B116" s="49" t="e" cm="1">
        <f t="array" ref="B116">Educator!B121&amp;" "&amp;_xlfn.IFS(AND(ISNUMBER(Educator!D121),Educator!D121&lt;&gt;9),"Grade "&amp;Educator!D121,Educator!D121=9,"Grade 9-12",ISTEXT(Educator!D121),Educator!D121)&amp;" "&amp;"Florida"&amp;" "&amp;"26-27"</f>
        <v>#N/A</v>
      </c>
      <c r="C116" s="49" t="e">
        <f t="shared" si="2"/>
        <v>#N/A</v>
      </c>
      <c r="E116" s="51" t="s">
        <v>102</v>
      </c>
      <c r="F116" s="49" t="b">
        <f>IF(Educator!B121&gt;0,"active")</f>
        <v>0</v>
      </c>
      <c r="J116" s="49" t="str">
        <f>"BP-"&amp;"TSWFL-"&amp;IF(ISNUMBER(Educator!D121),""&amp;Educator!D121,Educator!D121)&amp;"-"&amp;"2027"</f>
        <v>BP-TSWFL--2027</v>
      </c>
    </row>
    <row r="117" spans="1:10" x14ac:dyDescent="0.2">
      <c r="A1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","#",3))+1,1)&amp;"-"&amp;LEFT(Educator!B122, 3)&amp;"-"&amp;LEFT(Educator!A122, 3)&amp;"-"&amp;IF(ISNUMBER(Educator!D122),"G"&amp;Educator!D122,Educator!D122)&amp;"-"&amp;"2027"</f>
        <v>CID-FLH----2027</v>
      </c>
      <c r="B117" s="49" t="e" cm="1">
        <f t="array" ref="B117">Educator!B122&amp;" "&amp;_xlfn.IFS(AND(ISNUMBER(Educator!D122),Educator!D122&lt;&gt;9),"Grade "&amp;Educator!D122,Educator!D122=9,"Grade 9-12",ISTEXT(Educator!D122),Educator!D122)&amp;" "&amp;"Florida"&amp;" "&amp;"26-27"</f>
        <v>#N/A</v>
      </c>
      <c r="C117" s="49" t="e">
        <f t="shared" si="2"/>
        <v>#N/A</v>
      </c>
      <c r="E117" s="51" t="s">
        <v>102</v>
      </c>
      <c r="F117" s="49" t="b">
        <f>IF(Educator!B122&gt;0,"active")</f>
        <v>0</v>
      </c>
      <c r="J117" s="49" t="str">
        <f>"BP-"&amp;"TSWFL-"&amp;IF(ISNUMBER(Educator!D122),""&amp;Educator!D122,Educator!D122)&amp;"-"&amp;"2027"</f>
        <v>BP-TSWFL--2027</v>
      </c>
    </row>
    <row r="118" spans="1:10" x14ac:dyDescent="0.2">
      <c r="A1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","#",3))+1,1)&amp;"-"&amp;LEFT(Educator!B123, 3)&amp;"-"&amp;LEFT(Educator!A123, 3)&amp;"-"&amp;IF(ISNUMBER(Educator!D123),"G"&amp;Educator!D123,Educator!D123)&amp;"-"&amp;"2027"</f>
        <v>CID-FLH----2027</v>
      </c>
      <c r="B118" s="49" t="e" cm="1">
        <f t="array" ref="B118">Educator!B123&amp;" "&amp;_xlfn.IFS(AND(ISNUMBER(Educator!D123),Educator!D123&lt;&gt;9),"Grade "&amp;Educator!D123,Educator!D123=9,"Grade 9-12",ISTEXT(Educator!D123),Educator!D123)&amp;" "&amp;"Florida"&amp;" "&amp;"26-27"</f>
        <v>#N/A</v>
      </c>
      <c r="C118" s="49" t="e">
        <f t="shared" si="2"/>
        <v>#N/A</v>
      </c>
      <c r="E118" s="51" t="s">
        <v>102</v>
      </c>
      <c r="F118" s="49" t="b">
        <f>IF(Educator!B123&gt;0,"active")</f>
        <v>0</v>
      </c>
      <c r="J118" s="49" t="str">
        <f>"BP-"&amp;"TSWFL-"&amp;IF(ISNUMBER(Educator!D123),""&amp;Educator!D123,Educator!D123)&amp;"-"&amp;"2027"</f>
        <v>BP-TSWFL--2027</v>
      </c>
    </row>
    <row r="119" spans="1:10" x14ac:dyDescent="0.2">
      <c r="A1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","#",3))+1,1)&amp;"-"&amp;LEFT(Educator!B124, 3)&amp;"-"&amp;LEFT(Educator!A124, 3)&amp;"-"&amp;IF(ISNUMBER(Educator!D124),"G"&amp;Educator!D124,Educator!D124)&amp;"-"&amp;"2027"</f>
        <v>CID-FLH----2027</v>
      </c>
      <c r="B119" s="49" t="e" cm="1">
        <f t="array" ref="B119">Educator!B124&amp;" "&amp;_xlfn.IFS(AND(ISNUMBER(Educator!D124),Educator!D124&lt;&gt;9),"Grade "&amp;Educator!D124,Educator!D124=9,"Grade 9-12",ISTEXT(Educator!D124),Educator!D124)&amp;" "&amp;"Florida"&amp;" "&amp;"26-27"</f>
        <v>#N/A</v>
      </c>
      <c r="C119" s="49" t="e">
        <f t="shared" si="2"/>
        <v>#N/A</v>
      </c>
      <c r="E119" s="51" t="s">
        <v>102</v>
      </c>
      <c r="F119" s="49" t="b">
        <f>IF(Educator!B124&gt;0,"active")</f>
        <v>0</v>
      </c>
      <c r="J119" s="49" t="str">
        <f>"BP-"&amp;"TSWFL-"&amp;IF(ISNUMBER(Educator!D124),""&amp;Educator!D124,Educator!D124)&amp;"-"&amp;"2027"</f>
        <v>BP-TSWFL--2027</v>
      </c>
    </row>
    <row r="120" spans="1:10" x14ac:dyDescent="0.2">
      <c r="A1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","#",3))+1,1)&amp;"-"&amp;LEFT(Educator!B125, 3)&amp;"-"&amp;LEFT(Educator!A125, 3)&amp;"-"&amp;IF(ISNUMBER(Educator!D125),"G"&amp;Educator!D125,Educator!D125)&amp;"-"&amp;"2027"</f>
        <v>CID-FLH----2027</v>
      </c>
      <c r="B120" s="49" t="e" cm="1">
        <f t="array" ref="B120">Educator!B125&amp;" "&amp;_xlfn.IFS(AND(ISNUMBER(Educator!D125),Educator!D125&lt;&gt;9),"Grade "&amp;Educator!D125,Educator!D125=9,"Grade 9-12",ISTEXT(Educator!D125),Educator!D125)&amp;" "&amp;"Florida"&amp;" "&amp;"26-27"</f>
        <v>#N/A</v>
      </c>
      <c r="C120" s="49" t="e">
        <f t="shared" si="2"/>
        <v>#N/A</v>
      </c>
      <c r="E120" s="51" t="s">
        <v>102</v>
      </c>
      <c r="F120" s="49" t="b">
        <f>IF(Educator!B125&gt;0,"active")</f>
        <v>0</v>
      </c>
      <c r="J120" s="49" t="str">
        <f>"BP-"&amp;"TSWFL-"&amp;IF(ISNUMBER(Educator!D125),""&amp;Educator!D125,Educator!D125)&amp;"-"&amp;"2027"</f>
        <v>BP-TSWFL--2027</v>
      </c>
    </row>
    <row r="121" spans="1:10" x14ac:dyDescent="0.2">
      <c r="A1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","#",3))+1,1)&amp;"-"&amp;LEFT(Educator!B126, 3)&amp;"-"&amp;LEFT(Educator!A126, 3)&amp;"-"&amp;IF(ISNUMBER(Educator!D126),"G"&amp;Educator!D126,Educator!D126)&amp;"-"&amp;"2027"</f>
        <v>CID-FLH----2027</v>
      </c>
      <c r="B121" s="49" t="e" cm="1">
        <f t="array" ref="B121">Educator!B126&amp;" "&amp;_xlfn.IFS(AND(ISNUMBER(Educator!D126),Educator!D126&lt;&gt;9),"Grade "&amp;Educator!D126,Educator!D126=9,"Grade 9-12",ISTEXT(Educator!D126),Educator!D126)&amp;" "&amp;"Florida"&amp;" "&amp;"26-27"</f>
        <v>#N/A</v>
      </c>
      <c r="C121" s="49" t="e">
        <f t="shared" si="2"/>
        <v>#N/A</v>
      </c>
      <c r="E121" s="51" t="s">
        <v>102</v>
      </c>
      <c r="F121" s="49" t="b">
        <f>IF(Educator!B126&gt;0,"active")</f>
        <v>0</v>
      </c>
      <c r="J121" s="49" t="str">
        <f>"BP-"&amp;"TSWFL-"&amp;IF(ISNUMBER(Educator!D126),""&amp;Educator!D126,Educator!D126)&amp;"-"&amp;"2027"</f>
        <v>BP-TSWFL--2027</v>
      </c>
    </row>
    <row r="122" spans="1:10" x14ac:dyDescent="0.2">
      <c r="A1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","#",3))+1,1)&amp;"-"&amp;LEFT(Educator!B127, 3)&amp;"-"&amp;LEFT(Educator!A127, 3)&amp;"-"&amp;IF(ISNUMBER(Educator!D127),"G"&amp;Educator!D127,Educator!D127)&amp;"-"&amp;"2027"</f>
        <v>CID-FLH----2027</v>
      </c>
      <c r="B122" s="49" t="e" cm="1">
        <f t="array" ref="B122">Educator!B127&amp;" "&amp;_xlfn.IFS(AND(ISNUMBER(Educator!D127),Educator!D127&lt;&gt;9),"Grade "&amp;Educator!D127,Educator!D127=9,"Grade 9-12",ISTEXT(Educator!D127),Educator!D127)&amp;" "&amp;"Florida"&amp;" "&amp;"26-27"</f>
        <v>#N/A</v>
      </c>
      <c r="C122" s="49" t="e">
        <f t="shared" si="2"/>
        <v>#N/A</v>
      </c>
      <c r="E122" s="51" t="s">
        <v>102</v>
      </c>
      <c r="F122" s="49" t="b">
        <f>IF(Educator!B127&gt;0,"active")</f>
        <v>0</v>
      </c>
      <c r="J122" s="49" t="str">
        <f>"BP-"&amp;"TSWFL-"&amp;IF(ISNUMBER(Educator!D127),""&amp;Educator!D127,Educator!D127)&amp;"-"&amp;"2027"</f>
        <v>BP-TSWFL--2027</v>
      </c>
    </row>
    <row r="123" spans="1:10" x14ac:dyDescent="0.2">
      <c r="A1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","#",3))+1,1)&amp;"-"&amp;LEFT(Educator!B128, 3)&amp;"-"&amp;LEFT(Educator!A128, 3)&amp;"-"&amp;IF(ISNUMBER(Educator!D128),"G"&amp;Educator!D128,Educator!D128)&amp;"-"&amp;"2027"</f>
        <v>CID-FLH----2027</v>
      </c>
      <c r="B123" s="49" t="e" cm="1">
        <f t="array" ref="B123">Educator!B128&amp;" "&amp;_xlfn.IFS(AND(ISNUMBER(Educator!D128),Educator!D128&lt;&gt;9),"Grade "&amp;Educator!D128,Educator!D128=9,"Grade 9-12",ISTEXT(Educator!D128),Educator!D128)&amp;" "&amp;"Florida"&amp;" "&amp;"26-27"</f>
        <v>#N/A</v>
      </c>
      <c r="C123" s="49" t="e">
        <f t="shared" si="2"/>
        <v>#N/A</v>
      </c>
      <c r="E123" s="51" t="s">
        <v>102</v>
      </c>
      <c r="F123" s="49" t="b">
        <f>IF(Educator!B128&gt;0,"active")</f>
        <v>0</v>
      </c>
      <c r="J123" s="49" t="str">
        <f>"BP-"&amp;"TSWFL-"&amp;IF(ISNUMBER(Educator!D128),""&amp;Educator!D128,Educator!D128)&amp;"-"&amp;"2027"</f>
        <v>BP-TSWFL--2027</v>
      </c>
    </row>
    <row r="124" spans="1:10" x14ac:dyDescent="0.2">
      <c r="A1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","#",3))+1,1)&amp;"-"&amp;LEFT(Educator!B129, 3)&amp;"-"&amp;LEFT(Educator!A129, 3)&amp;"-"&amp;IF(ISNUMBER(Educator!D129),"G"&amp;Educator!D129,Educator!D129)&amp;"-"&amp;"2027"</f>
        <v>CID-FLH----2027</v>
      </c>
      <c r="B124" s="49" t="e" cm="1">
        <f t="array" ref="B124">Educator!B129&amp;" "&amp;_xlfn.IFS(AND(ISNUMBER(Educator!D129),Educator!D129&lt;&gt;9),"Grade "&amp;Educator!D129,Educator!D129=9,"Grade 9-12",ISTEXT(Educator!D129),Educator!D129)&amp;" "&amp;"Florida"&amp;" "&amp;"26-27"</f>
        <v>#N/A</v>
      </c>
      <c r="C124" s="49" t="e">
        <f t="shared" si="2"/>
        <v>#N/A</v>
      </c>
      <c r="E124" s="51" t="s">
        <v>102</v>
      </c>
      <c r="F124" s="49" t="b">
        <f>IF(Educator!B129&gt;0,"active")</f>
        <v>0</v>
      </c>
      <c r="J124" s="49" t="str">
        <f>"BP-"&amp;"TSWFL-"&amp;IF(ISNUMBER(Educator!D129),""&amp;Educator!D129,Educator!D129)&amp;"-"&amp;"2027"</f>
        <v>BP-TSWFL--2027</v>
      </c>
    </row>
    <row r="125" spans="1:10" x14ac:dyDescent="0.2">
      <c r="A1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","#",3))+1,1)&amp;"-"&amp;LEFT(Educator!B130, 3)&amp;"-"&amp;LEFT(Educator!A130, 3)&amp;"-"&amp;IF(ISNUMBER(Educator!D130),"G"&amp;Educator!D130,Educator!D130)&amp;"-"&amp;"2027"</f>
        <v>CID-FLH----2027</v>
      </c>
      <c r="B125" s="49" t="e" cm="1">
        <f t="array" ref="B125">Educator!B130&amp;" "&amp;_xlfn.IFS(AND(ISNUMBER(Educator!D130),Educator!D130&lt;&gt;9),"Grade "&amp;Educator!D130,Educator!D130=9,"Grade 9-12",ISTEXT(Educator!D130),Educator!D130)&amp;" "&amp;"Florida"&amp;" "&amp;"26-27"</f>
        <v>#N/A</v>
      </c>
      <c r="C125" s="49" t="e">
        <f t="shared" si="2"/>
        <v>#N/A</v>
      </c>
      <c r="E125" s="51" t="s">
        <v>102</v>
      </c>
      <c r="F125" s="49" t="b">
        <f>IF(Educator!B130&gt;0,"active")</f>
        <v>0</v>
      </c>
      <c r="J125" s="49" t="str">
        <f>"BP-"&amp;"TSWFL-"&amp;IF(ISNUMBER(Educator!D130),""&amp;Educator!D130,Educator!D130)&amp;"-"&amp;"2027"</f>
        <v>BP-TSWFL--2027</v>
      </c>
    </row>
    <row r="126" spans="1:10" x14ac:dyDescent="0.2">
      <c r="A1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","#",3))+1,1)&amp;"-"&amp;LEFT(Educator!B131, 3)&amp;"-"&amp;LEFT(Educator!A131, 3)&amp;"-"&amp;IF(ISNUMBER(Educator!D131),"G"&amp;Educator!D131,Educator!D131)&amp;"-"&amp;"2027"</f>
        <v>CID-FLH----2027</v>
      </c>
      <c r="B126" s="49" t="e" cm="1">
        <f t="array" ref="B126">Educator!B131&amp;" "&amp;_xlfn.IFS(AND(ISNUMBER(Educator!D131),Educator!D131&lt;&gt;9),"Grade "&amp;Educator!D131,Educator!D131=9,"Grade 9-12",ISTEXT(Educator!D131),Educator!D131)&amp;" "&amp;"Florida"&amp;" "&amp;"26-27"</f>
        <v>#N/A</v>
      </c>
      <c r="C126" s="49" t="e">
        <f t="shared" si="2"/>
        <v>#N/A</v>
      </c>
      <c r="E126" s="51" t="s">
        <v>102</v>
      </c>
      <c r="F126" s="49" t="b">
        <f>IF(Educator!B131&gt;0,"active")</f>
        <v>0</v>
      </c>
      <c r="J126" s="49" t="str">
        <f>"BP-"&amp;"TSWFL-"&amp;IF(ISNUMBER(Educator!D131),""&amp;Educator!D131,Educator!D131)&amp;"-"&amp;"2027"</f>
        <v>BP-TSWFL--2027</v>
      </c>
    </row>
    <row r="127" spans="1:10" x14ac:dyDescent="0.2">
      <c r="A1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","#",3))+1,1)&amp;"-"&amp;LEFT(Educator!B132, 3)&amp;"-"&amp;LEFT(Educator!A132, 3)&amp;"-"&amp;IF(ISNUMBER(Educator!D132),"G"&amp;Educator!D132,Educator!D132)&amp;"-"&amp;"2027"</f>
        <v>CID-FLH----2027</v>
      </c>
      <c r="B127" s="49" t="e" cm="1">
        <f t="array" ref="B127">Educator!B132&amp;" "&amp;_xlfn.IFS(AND(ISNUMBER(Educator!D132),Educator!D132&lt;&gt;9),"Grade "&amp;Educator!D132,Educator!D132=9,"Grade 9-12",ISTEXT(Educator!D132),Educator!D132)&amp;" "&amp;"Florida"&amp;" "&amp;"26-27"</f>
        <v>#N/A</v>
      </c>
      <c r="C127" s="49" t="e">
        <f t="shared" si="2"/>
        <v>#N/A</v>
      </c>
      <c r="E127" s="51" t="s">
        <v>102</v>
      </c>
      <c r="F127" s="49" t="b">
        <f>IF(Educator!B132&gt;0,"active")</f>
        <v>0</v>
      </c>
      <c r="J127" s="49" t="str">
        <f>"BP-"&amp;"TSWFL-"&amp;IF(ISNUMBER(Educator!D132),""&amp;Educator!D132,Educator!D132)&amp;"-"&amp;"2027"</f>
        <v>BP-TSWFL--2027</v>
      </c>
    </row>
    <row r="128" spans="1:10" x14ac:dyDescent="0.2">
      <c r="A1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","#",3))+1,1)&amp;"-"&amp;LEFT(Educator!B133, 3)&amp;"-"&amp;LEFT(Educator!A133, 3)&amp;"-"&amp;IF(ISNUMBER(Educator!D133),"G"&amp;Educator!D133,Educator!D133)&amp;"-"&amp;"2027"</f>
        <v>CID-FLH----2027</v>
      </c>
      <c r="B128" s="49" t="e" cm="1">
        <f t="array" ref="B128">Educator!B133&amp;" "&amp;_xlfn.IFS(AND(ISNUMBER(Educator!D133),Educator!D133&lt;&gt;9),"Grade "&amp;Educator!D133,Educator!D133=9,"Grade 9-12",ISTEXT(Educator!D133),Educator!D133)&amp;" "&amp;"Florida"&amp;" "&amp;"26-27"</f>
        <v>#N/A</v>
      </c>
      <c r="C128" s="49" t="e">
        <f t="shared" si="2"/>
        <v>#N/A</v>
      </c>
      <c r="E128" s="51" t="s">
        <v>102</v>
      </c>
      <c r="F128" s="49" t="b">
        <f>IF(Educator!B133&gt;0,"active")</f>
        <v>0</v>
      </c>
      <c r="J128" s="49" t="str">
        <f>"BP-"&amp;"TSWFL-"&amp;IF(ISNUMBER(Educator!D133),""&amp;Educator!D133,Educator!D133)&amp;"-"&amp;"2027"</f>
        <v>BP-TSWFL--2027</v>
      </c>
    </row>
    <row r="129" spans="1:10" x14ac:dyDescent="0.2">
      <c r="A1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","#",3))+1,1)&amp;"-"&amp;LEFT(Educator!B134, 3)&amp;"-"&amp;LEFT(Educator!A134, 3)&amp;"-"&amp;IF(ISNUMBER(Educator!D134),"G"&amp;Educator!D134,Educator!D134)&amp;"-"&amp;"2027"</f>
        <v>CID-FLH----2027</v>
      </c>
      <c r="B129" s="49" t="e" cm="1">
        <f t="array" ref="B129">Educator!B134&amp;" "&amp;_xlfn.IFS(AND(ISNUMBER(Educator!D134),Educator!D134&lt;&gt;9),"Grade "&amp;Educator!D134,Educator!D134=9,"Grade 9-12",ISTEXT(Educator!D134),Educator!D134)&amp;" "&amp;"Florida"&amp;" "&amp;"26-27"</f>
        <v>#N/A</v>
      </c>
      <c r="C129" s="49" t="e">
        <f t="shared" si="2"/>
        <v>#N/A</v>
      </c>
      <c r="E129" s="51" t="s">
        <v>102</v>
      </c>
      <c r="F129" s="49" t="b">
        <f>IF(Educator!B134&gt;0,"active")</f>
        <v>0</v>
      </c>
      <c r="J129" s="49" t="str">
        <f>"BP-"&amp;"TSWFL-"&amp;IF(ISNUMBER(Educator!D134),""&amp;Educator!D134,Educator!D134)&amp;"-"&amp;"2027"</f>
        <v>BP-TSWFL--2027</v>
      </c>
    </row>
    <row r="130" spans="1:10" x14ac:dyDescent="0.2">
      <c r="A1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","#",3))+1,1)&amp;"-"&amp;LEFT(Educator!B135, 3)&amp;"-"&amp;LEFT(Educator!A135, 3)&amp;"-"&amp;IF(ISNUMBER(Educator!D135),"G"&amp;Educator!D135,Educator!D135)&amp;"-"&amp;"2027"</f>
        <v>CID-FLH----2027</v>
      </c>
      <c r="B130" s="49" t="e" cm="1">
        <f t="array" ref="B130">Educator!B135&amp;" "&amp;_xlfn.IFS(AND(ISNUMBER(Educator!D135),Educator!D135&lt;&gt;9),"Grade "&amp;Educator!D135,Educator!D135=9,"Grade 9-12",ISTEXT(Educator!D135),Educator!D135)&amp;" "&amp;"Florida"&amp;" "&amp;"26-27"</f>
        <v>#N/A</v>
      </c>
      <c r="C130" s="49" t="e">
        <f t="shared" si="2"/>
        <v>#N/A</v>
      </c>
      <c r="E130" s="51" t="s">
        <v>102</v>
      </c>
      <c r="F130" s="49" t="b">
        <f>IF(Educator!B135&gt;0,"active")</f>
        <v>0</v>
      </c>
      <c r="J130" s="49" t="str">
        <f>"BP-"&amp;"TSWFL-"&amp;IF(ISNUMBER(Educator!D135),""&amp;Educator!D135,Educator!D135)&amp;"-"&amp;"2027"</f>
        <v>BP-TSWFL--2027</v>
      </c>
    </row>
    <row r="131" spans="1:10" x14ac:dyDescent="0.2">
      <c r="A1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","#",3))+1,1)&amp;"-"&amp;LEFT(Educator!B136, 3)&amp;"-"&amp;LEFT(Educator!A136, 3)&amp;"-"&amp;IF(ISNUMBER(Educator!D136),"G"&amp;Educator!D136,Educator!D136)&amp;"-"&amp;"2027"</f>
        <v>CID-FLH----2027</v>
      </c>
      <c r="B131" s="49" t="e" cm="1">
        <f t="array" ref="B131">Educator!B136&amp;" "&amp;_xlfn.IFS(AND(ISNUMBER(Educator!D136),Educator!D136&lt;&gt;9),"Grade "&amp;Educator!D136,Educator!D136=9,"Grade 9-12",ISTEXT(Educator!D136),Educator!D136)&amp;" "&amp;"Florida"&amp;" "&amp;"26-27"</f>
        <v>#N/A</v>
      </c>
      <c r="C131" s="49" t="e">
        <f t="shared" si="2"/>
        <v>#N/A</v>
      </c>
      <c r="E131" s="51" t="s">
        <v>102</v>
      </c>
      <c r="F131" s="49" t="b">
        <f>IF(Educator!B136&gt;0,"active")</f>
        <v>0</v>
      </c>
      <c r="J131" s="49" t="str">
        <f>"BP-"&amp;"TSWFL-"&amp;IF(ISNUMBER(Educator!D136),""&amp;Educator!D136,Educator!D136)&amp;"-"&amp;"2027"</f>
        <v>BP-TSWFL--2027</v>
      </c>
    </row>
    <row r="132" spans="1:10" x14ac:dyDescent="0.2">
      <c r="A1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","#",3))+1,1)&amp;"-"&amp;LEFT(Educator!B137, 3)&amp;"-"&amp;LEFT(Educator!A137, 3)&amp;"-"&amp;IF(ISNUMBER(Educator!D137),"G"&amp;Educator!D137,Educator!D137)&amp;"-"&amp;"2027"</f>
        <v>CID-FLH----2027</v>
      </c>
      <c r="B132" s="49" t="e" cm="1">
        <f t="array" ref="B132">Educator!B137&amp;" "&amp;_xlfn.IFS(AND(ISNUMBER(Educator!D137),Educator!D137&lt;&gt;9),"Grade "&amp;Educator!D137,Educator!D137=9,"Grade 9-12",ISTEXT(Educator!D137),Educator!D137)&amp;" "&amp;"Florida"&amp;" "&amp;"26-27"</f>
        <v>#N/A</v>
      </c>
      <c r="C132" s="49" t="e">
        <f t="shared" si="2"/>
        <v>#N/A</v>
      </c>
      <c r="E132" s="51" t="s">
        <v>102</v>
      </c>
      <c r="F132" s="49" t="b">
        <f>IF(Educator!B137&gt;0,"active")</f>
        <v>0</v>
      </c>
      <c r="J132" s="49" t="str">
        <f>"BP-"&amp;"TSWFL-"&amp;IF(ISNUMBER(Educator!D137),""&amp;Educator!D137,Educator!D137)&amp;"-"&amp;"2027"</f>
        <v>BP-TSWFL--2027</v>
      </c>
    </row>
    <row r="133" spans="1:10" x14ac:dyDescent="0.2">
      <c r="A1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","#",3))+1,1)&amp;"-"&amp;LEFT(Educator!B138, 3)&amp;"-"&amp;LEFT(Educator!A138, 3)&amp;"-"&amp;IF(ISNUMBER(Educator!D138),"G"&amp;Educator!D138,Educator!D138)&amp;"-"&amp;"2027"</f>
        <v>CID-FLH----2027</v>
      </c>
      <c r="B133" s="49" t="e" cm="1">
        <f t="array" ref="B133">Educator!B138&amp;" "&amp;_xlfn.IFS(AND(ISNUMBER(Educator!D138),Educator!D138&lt;&gt;9),"Grade "&amp;Educator!D138,Educator!D138=9,"Grade 9-12",ISTEXT(Educator!D138),Educator!D138)&amp;" "&amp;"Florida"&amp;" "&amp;"26-27"</f>
        <v>#N/A</v>
      </c>
      <c r="C133" s="49" t="e">
        <f t="shared" si="2"/>
        <v>#N/A</v>
      </c>
      <c r="E133" s="51" t="s">
        <v>102</v>
      </c>
      <c r="F133" s="49" t="b">
        <f>IF(Educator!B138&gt;0,"active")</f>
        <v>0</v>
      </c>
      <c r="J133" s="49" t="str">
        <f>"BP-"&amp;"TSWFL-"&amp;IF(ISNUMBER(Educator!D138),""&amp;Educator!D138,Educator!D138)&amp;"-"&amp;"2027"</f>
        <v>BP-TSWFL--2027</v>
      </c>
    </row>
    <row r="134" spans="1:10" x14ac:dyDescent="0.2">
      <c r="A1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","#",3))+1,1)&amp;"-"&amp;LEFT(Educator!B139, 3)&amp;"-"&amp;LEFT(Educator!A139, 3)&amp;"-"&amp;IF(ISNUMBER(Educator!D139),"G"&amp;Educator!D139,Educator!D139)&amp;"-"&amp;"2027"</f>
        <v>CID-FLH----2027</v>
      </c>
      <c r="B134" s="49" t="e" cm="1">
        <f t="array" ref="B134">Educator!B139&amp;" "&amp;_xlfn.IFS(AND(ISNUMBER(Educator!D139),Educator!D139&lt;&gt;9),"Grade "&amp;Educator!D139,Educator!D139=9,"Grade 9-12",ISTEXT(Educator!D139),Educator!D139)&amp;" "&amp;"Florida"&amp;" "&amp;"26-27"</f>
        <v>#N/A</v>
      </c>
      <c r="C134" s="49" t="e">
        <f t="shared" si="2"/>
        <v>#N/A</v>
      </c>
      <c r="E134" s="51" t="s">
        <v>102</v>
      </c>
      <c r="F134" s="49" t="b">
        <f>IF(Educator!B139&gt;0,"active")</f>
        <v>0</v>
      </c>
      <c r="J134" s="49" t="str">
        <f>"BP-"&amp;"TSWFL-"&amp;IF(ISNUMBER(Educator!D139),""&amp;Educator!D139,Educator!D139)&amp;"-"&amp;"2027"</f>
        <v>BP-TSWFL--2027</v>
      </c>
    </row>
    <row r="135" spans="1:10" x14ac:dyDescent="0.2">
      <c r="A1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","#",3))+1,1)&amp;"-"&amp;LEFT(Educator!B140, 3)&amp;"-"&amp;LEFT(Educator!A140, 3)&amp;"-"&amp;IF(ISNUMBER(Educator!D140),"G"&amp;Educator!D140,Educator!D140)&amp;"-"&amp;"2027"</f>
        <v>CID-FLH----2027</v>
      </c>
      <c r="B135" s="49" t="e" cm="1">
        <f t="array" ref="B135">Educator!B140&amp;" "&amp;_xlfn.IFS(AND(ISNUMBER(Educator!D140),Educator!D140&lt;&gt;9),"Grade "&amp;Educator!D140,Educator!D140=9,"Grade 9-12",ISTEXT(Educator!D140),Educator!D140)&amp;" "&amp;"Florida"&amp;" "&amp;"26-27"</f>
        <v>#N/A</v>
      </c>
      <c r="C135" s="49" t="e">
        <f t="shared" si="2"/>
        <v>#N/A</v>
      </c>
      <c r="E135" s="51" t="s">
        <v>102</v>
      </c>
      <c r="F135" s="49" t="b">
        <f>IF(Educator!B140&gt;0,"active")</f>
        <v>0</v>
      </c>
      <c r="J135" s="49" t="str">
        <f>"BP-"&amp;"TSWFL-"&amp;IF(ISNUMBER(Educator!D140),""&amp;Educator!D140,Educator!D140)&amp;"-"&amp;"2027"</f>
        <v>BP-TSWFL--2027</v>
      </c>
    </row>
    <row r="136" spans="1:10" x14ac:dyDescent="0.2">
      <c r="A1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","#",3))+1,1)&amp;"-"&amp;LEFT(Educator!B141, 3)&amp;"-"&amp;LEFT(Educator!A141, 3)&amp;"-"&amp;IF(ISNUMBER(Educator!D141),"G"&amp;Educator!D141,Educator!D141)&amp;"-"&amp;"2027"</f>
        <v>CID-FLH----2027</v>
      </c>
      <c r="B136" s="49" t="e" cm="1">
        <f t="array" ref="B136">Educator!B141&amp;" "&amp;_xlfn.IFS(AND(ISNUMBER(Educator!D141),Educator!D141&lt;&gt;9),"Grade "&amp;Educator!D141,Educator!D141=9,"Grade 9-12",ISTEXT(Educator!D141),Educator!D141)&amp;" "&amp;"Florida"&amp;" "&amp;"26-27"</f>
        <v>#N/A</v>
      </c>
      <c r="C136" s="49" t="e">
        <f t="shared" si="2"/>
        <v>#N/A</v>
      </c>
      <c r="E136" s="51" t="s">
        <v>102</v>
      </c>
      <c r="F136" s="49" t="b">
        <f>IF(Educator!B141&gt;0,"active")</f>
        <v>0</v>
      </c>
      <c r="J136" s="49" t="str">
        <f>"BP-"&amp;"TSWFL-"&amp;IF(ISNUMBER(Educator!D141),""&amp;Educator!D141,Educator!D141)&amp;"-"&amp;"2027"</f>
        <v>BP-TSWFL--2027</v>
      </c>
    </row>
    <row r="137" spans="1:10" x14ac:dyDescent="0.2">
      <c r="A1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","#",3))+1,1)&amp;"-"&amp;LEFT(Educator!B142, 3)&amp;"-"&amp;LEFT(Educator!A142, 3)&amp;"-"&amp;IF(ISNUMBER(Educator!D142),"G"&amp;Educator!D142,Educator!D142)&amp;"-"&amp;"2027"</f>
        <v>CID-FLH----2027</v>
      </c>
      <c r="B137" s="49" t="e" cm="1">
        <f t="array" ref="B137">Educator!B142&amp;" "&amp;_xlfn.IFS(AND(ISNUMBER(Educator!D142),Educator!D142&lt;&gt;9),"Grade "&amp;Educator!D142,Educator!D142=9,"Grade 9-12",ISTEXT(Educator!D142),Educator!D142)&amp;" "&amp;"Florida"&amp;" "&amp;"26-27"</f>
        <v>#N/A</v>
      </c>
      <c r="C137" s="49" t="e">
        <f t="shared" si="2"/>
        <v>#N/A</v>
      </c>
      <c r="E137" s="51" t="s">
        <v>102</v>
      </c>
      <c r="F137" s="49" t="b">
        <f>IF(Educator!B142&gt;0,"active")</f>
        <v>0</v>
      </c>
      <c r="J137" s="49" t="str">
        <f>"BP-"&amp;"TSWFL-"&amp;IF(ISNUMBER(Educator!D142),""&amp;Educator!D142,Educator!D142)&amp;"-"&amp;"2027"</f>
        <v>BP-TSWFL--2027</v>
      </c>
    </row>
    <row r="138" spans="1:10" x14ac:dyDescent="0.2">
      <c r="A1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","#",3))+1,1)&amp;"-"&amp;LEFT(Educator!B143, 3)&amp;"-"&amp;LEFT(Educator!A143, 3)&amp;"-"&amp;IF(ISNUMBER(Educator!D143),"G"&amp;Educator!D143,Educator!D143)&amp;"-"&amp;"2027"</f>
        <v>CID-FLH----2027</v>
      </c>
      <c r="B138" s="49" t="e" cm="1">
        <f t="array" ref="B138">Educator!B143&amp;" "&amp;_xlfn.IFS(AND(ISNUMBER(Educator!D143),Educator!D143&lt;&gt;9),"Grade "&amp;Educator!D143,Educator!D143=9,"Grade 9-12",ISTEXT(Educator!D143),Educator!D143)&amp;" "&amp;"Florida"&amp;" "&amp;"26-27"</f>
        <v>#N/A</v>
      </c>
      <c r="C138" s="49" t="e">
        <f t="shared" si="2"/>
        <v>#N/A</v>
      </c>
      <c r="E138" s="51" t="s">
        <v>102</v>
      </c>
      <c r="F138" s="49" t="b">
        <f>IF(Educator!B143&gt;0,"active")</f>
        <v>0</v>
      </c>
      <c r="J138" s="49" t="str">
        <f>"BP-"&amp;"TSWFL-"&amp;IF(ISNUMBER(Educator!D143),""&amp;Educator!D143,Educator!D143)&amp;"-"&amp;"2027"</f>
        <v>BP-TSWFL--2027</v>
      </c>
    </row>
    <row r="139" spans="1:10" x14ac:dyDescent="0.2">
      <c r="A1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","#",3))+1,1)&amp;"-"&amp;LEFT(Educator!B144, 3)&amp;"-"&amp;LEFT(Educator!A144, 3)&amp;"-"&amp;IF(ISNUMBER(Educator!D144),"G"&amp;Educator!D144,Educator!D144)&amp;"-"&amp;"2027"</f>
        <v>CID-FLH----2027</v>
      </c>
      <c r="B139" s="49" t="e" cm="1">
        <f t="array" ref="B139">Educator!B144&amp;" "&amp;_xlfn.IFS(AND(ISNUMBER(Educator!D144),Educator!D144&lt;&gt;9),"Grade "&amp;Educator!D144,Educator!D144=9,"Grade 9-12",ISTEXT(Educator!D144),Educator!D144)&amp;" "&amp;"Florida"&amp;" "&amp;"26-27"</f>
        <v>#N/A</v>
      </c>
      <c r="C139" s="49" t="e">
        <f t="shared" si="2"/>
        <v>#N/A</v>
      </c>
      <c r="E139" s="51" t="s">
        <v>102</v>
      </c>
      <c r="F139" s="49" t="b">
        <f>IF(Educator!B144&gt;0,"active")</f>
        <v>0</v>
      </c>
      <c r="J139" s="49" t="str">
        <f>"BP-"&amp;"TSWFL-"&amp;IF(ISNUMBER(Educator!D144),""&amp;Educator!D144,Educator!D144)&amp;"-"&amp;"2027"</f>
        <v>BP-TSWFL--2027</v>
      </c>
    </row>
    <row r="140" spans="1:10" x14ac:dyDescent="0.2">
      <c r="A1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","#",3))+1,1)&amp;"-"&amp;LEFT(Educator!B145, 3)&amp;"-"&amp;LEFT(Educator!A145, 3)&amp;"-"&amp;IF(ISNUMBER(Educator!D145),"G"&amp;Educator!D145,Educator!D145)&amp;"-"&amp;"2027"</f>
        <v>CID-FLH----2027</v>
      </c>
      <c r="B140" s="49" t="e" cm="1">
        <f t="array" ref="B140">Educator!B145&amp;" "&amp;_xlfn.IFS(AND(ISNUMBER(Educator!D145),Educator!D145&lt;&gt;9),"Grade "&amp;Educator!D145,Educator!D145=9,"Grade 9-12",ISTEXT(Educator!D145),Educator!D145)&amp;" "&amp;"Florida"&amp;" "&amp;"26-27"</f>
        <v>#N/A</v>
      </c>
      <c r="C140" s="49" t="e">
        <f t="shared" si="2"/>
        <v>#N/A</v>
      </c>
      <c r="E140" s="51" t="s">
        <v>102</v>
      </c>
      <c r="F140" s="49" t="b">
        <f>IF(Educator!B145&gt;0,"active")</f>
        <v>0</v>
      </c>
      <c r="J140" s="49" t="str">
        <f>"BP-"&amp;"TSWFL-"&amp;IF(ISNUMBER(Educator!D145),""&amp;Educator!D145,Educator!D145)&amp;"-"&amp;"2027"</f>
        <v>BP-TSWFL--2027</v>
      </c>
    </row>
    <row r="141" spans="1:10" x14ac:dyDescent="0.2">
      <c r="A1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","#",3))+1,1)&amp;"-"&amp;LEFT(Educator!B146, 3)&amp;"-"&amp;LEFT(Educator!A146, 3)&amp;"-"&amp;IF(ISNUMBER(Educator!D146),"G"&amp;Educator!D146,Educator!D146)&amp;"-"&amp;"2027"</f>
        <v>CID-FLH----2027</v>
      </c>
      <c r="B141" s="49" t="e" cm="1">
        <f t="array" ref="B141">Educator!B146&amp;" "&amp;_xlfn.IFS(AND(ISNUMBER(Educator!D146),Educator!D146&lt;&gt;9),"Grade "&amp;Educator!D146,Educator!D146=9,"Grade 9-12",ISTEXT(Educator!D146),Educator!D146)&amp;" "&amp;"Florida"&amp;" "&amp;"26-27"</f>
        <v>#N/A</v>
      </c>
      <c r="C141" s="49" t="e">
        <f t="shared" si="2"/>
        <v>#N/A</v>
      </c>
      <c r="E141" s="51" t="s">
        <v>102</v>
      </c>
      <c r="F141" s="49" t="b">
        <f>IF(Educator!B146&gt;0,"active")</f>
        <v>0</v>
      </c>
      <c r="J141" s="49" t="str">
        <f>"BP-"&amp;"TSWFL-"&amp;IF(ISNUMBER(Educator!D146),""&amp;Educator!D146,Educator!D146)&amp;"-"&amp;"2027"</f>
        <v>BP-TSWFL--2027</v>
      </c>
    </row>
    <row r="142" spans="1:10" x14ac:dyDescent="0.2">
      <c r="A1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","#",3))+1,1)&amp;"-"&amp;LEFT(Educator!B147, 3)&amp;"-"&amp;LEFT(Educator!A147, 3)&amp;"-"&amp;IF(ISNUMBER(Educator!D147),"G"&amp;Educator!D147,Educator!D147)&amp;"-"&amp;"2027"</f>
        <v>CID-FLH----2027</v>
      </c>
      <c r="B142" s="49" t="e" cm="1">
        <f t="array" ref="B142">Educator!B147&amp;" "&amp;_xlfn.IFS(AND(ISNUMBER(Educator!D147),Educator!D147&lt;&gt;9),"Grade "&amp;Educator!D147,Educator!D147=9,"Grade 9-12",ISTEXT(Educator!D147),Educator!D147)&amp;" "&amp;"Florida"&amp;" "&amp;"26-27"</f>
        <v>#N/A</v>
      </c>
      <c r="C142" s="49" t="e">
        <f t="shared" si="2"/>
        <v>#N/A</v>
      </c>
      <c r="E142" s="51" t="s">
        <v>102</v>
      </c>
      <c r="F142" s="49" t="b">
        <f>IF(Educator!B147&gt;0,"active")</f>
        <v>0</v>
      </c>
      <c r="J142" s="49" t="str">
        <f>"BP-"&amp;"TSWFL-"&amp;IF(ISNUMBER(Educator!D147),""&amp;Educator!D147,Educator!D147)&amp;"-"&amp;"2027"</f>
        <v>BP-TSWFL--2027</v>
      </c>
    </row>
    <row r="143" spans="1:10" x14ac:dyDescent="0.2">
      <c r="A1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","#",3))+1,1)&amp;"-"&amp;LEFT(Educator!B148, 3)&amp;"-"&amp;LEFT(Educator!A148, 3)&amp;"-"&amp;IF(ISNUMBER(Educator!D148),"G"&amp;Educator!D148,Educator!D148)&amp;"-"&amp;"2027"</f>
        <v>CID-FLH----2027</v>
      </c>
      <c r="B143" s="49" t="e" cm="1">
        <f t="array" ref="B143">Educator!B148&amp;" "&amp;_xlfn.IFS(AND(ISNUMBER(Educator!D148),Educator!D148&lt;&gt;9),"Grade "&amp;Educator!D148,Educator!D148=9,"Grade 9-12",ISTEXT(Educator!D148),Educator!D148)&amp;" "&amp;"Florida"&amp;" "&amp;"26-27"</f>
        <v>#N/A</v>
      </c>
      <c r="C143" s="49" t="e">
        <f t="shared" si="2"/>
        <v>#N/A</v>
      </c>
      <c r="E143" s="51" t="s">
        <v>102</v>
      </c>
      <c r="F143" s="49" t="b">
        <f>IF(Educator!B148&gt;0,"active")</f>
        <v>0</v>
      </c>
      <c r="J143" s="49" t="str">
        <f>"BP-"&amp;"TSWFL-"&amp;IF(ISNUMBER(Educator!D148),""&amp;Educator!D148,Educator!D148)&amp;"-"&amp;"2027"</f>
        <v>BP-TSWFL--2027</v>
      </c>
    </row>
    <row r="144" spans="1:10" x14ac:dyDescent="0.2">
      <c r="A1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","#",3))+1,1)&amp;"-"&amp;LEFT(Educator!B149, 3)&amp;"-"&amp;LEFT(Educator!A149, 3)&amp;"-"&amp;IF(ISNUMBER(Educator!D149),"G"&amp;Educator!D149,Educator!D149)&amp;"-"&amp;"2027"</f>
        <v>CID-FLH----2027</v>
      </c>
      <c r="B144" s="49" t="e" cm="1">
        <f t="array" ref="B144">Educator!B149&amp;" "&amp;_xlfn.IFS(AND(ISNUMBER(Educator!D149),Educator!D149&lt;&gt;9),"Grade "&amp;Educator!D149,Educator!D149=9,"Grade 9-12",ISTEXT(Educator!D149),Educator!D149)&amp;" "&amp;"Florida"&amp;" "&amp;"26-27"</f>
        <v>#N/A</v>
      </c>
      <c r="C144" s="49" t="e">
        <f t="shared" si="2"/>
        <v>#N/A</v>
      </c>
      <c r="E144" s="51" t="s">
        <v>102</v>
      </c>
      <c r="F144" s="49" t="b">
        <f>IF(Educator!B149&gt;0,"active")</f>
        <v>0</v>
      </c>
      <c r="J144" s="49" t="str">
        <f>"BP-"&amp;"TSWFL-"&amp;IF(ISNUMBER(Educator!D149),""&amp;Educator!D149,Educator!D149)&amp;"-"&amp;"2027"</f>
        <v>BP-TSWFL--2027</v>
      </c>
    </row>
    <row r="145" spans="1:10" x14ac:dyDescent="0.2">
      <c r="A1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","#",3))+1,1)&amp;"-"&amp;LEFT(Educator!B150, 3)&amp;"-"&amp;LEFT(Educator!A150, 3)&amp;"-"&amp;IF(ISNUMBER(Educator!D150),"G"&amp;Educator!D150,Educator!D150)&amp;"-"&amp;"2027"</f>
        <v>CID-FLH----2027</v>
      </c>
      <c r="B145" s="49" t="e" cm="1">
        <f t="array" ref="B145">Educator!B150&amp;" "&amp;_xlfn.IFS(AND(ISNUMBER(Educator!D150),Educator!D150&lt;&gt;9),"Grade "&amp;Educator!D150,Educator!D150=9,"Grade 9-12",ISTEXT(Educator!D150),Educator!D150)&amp;" "&amp;"Florida"&amp;" "&amp;"26-27"</f>
        <v>#N/A</v>
      </c>
      <c r="C145" s="49" t="e">
        <f t="shared" si="2"/>
        <v>#N/A</v>
      </c>
      <c r="E145" s="51" t="s">
        <v>102</v>
      </c>
      <c r="F145" s="49" t="b">
        <f>IF(Educator!B150&gt;0,"active")</f>
        <v>0</v>
      </c>
      <c r="J145" s="49" t="str">
        <f>"BP-"&amp;"TSWFL-"&amp;IF(ISNUMBER(Educator!D150),""&amp;Educator!D150,Educator!D150)&amp;"-"&amp;"2027"</f>
        <v>BP-TSWFL--2027</v>
      </c>
    </row>
    <row r="146" spans="1:10" x14ac:dyDescent="0.2">
      <c r="A1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","#",3))+1,1)&amp;"-"&amp;LEFT(Educator!B151, 3)&amp;"-"&amp;LEFT(Educator!A151, 3)&amp;"-"&amp;IF(ISNUMBER(Educator!D151),"G"&amp;Educator!D151,Educator!D151)&amp;"-"&amp;"2027"</f>
        <v>CID-FLH----2027</v>
      </c>
      <c r="B146" s="49" t="e" cm="1">
        <f t="array" ref="B146">Educator!B151&amp;" "&amp;_xlfn.IFS(AND(ISNUMBER(Educator!D151),Educator!D151&lt;&gt;9),"Grade "&amp;Educator!D151,Educator!D151=9,"Grade 9-12",ISTEXT(Educator!D151),Educator!D151)&amp;" "&amp;"Florida"&amp;" "&amp;"26-27"</f>
        <v>#N/A</v>
      </c>
      <c r="C146" s="49" t="e">
        <f t="shared" ref="C146:C209" si="3">B146</f>
        <v>#N/A</v>
      </c>
      <c r="E146" s="51" t="s">
        <v>102</v>
      </c>
      <c r="F146" s="49" t="b">
        <f>IF(Educator!B151&gt;0,"active")</f>
        <v>0</v>
      </c>
      <c r="J146" s="49" t="str">
        <f>"BP-"&amp;"TSWFL-"&amp;IF(ISNUMBER(Educator!D151),""&amp;Educator!D151,Educator!D151)&amp;"-"&amp;"2027"</f>
        <v>BP-TSWFL--2027</v>
      </c>
    </row>
    <row r="147" spans="1:10" x14ac:dyDescent="0.2">
      <c r="A1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","#",3))+1,1)&amp;"-"&amp;LEFT(Educator!B152, 3)&amp;"-"&amp;LEFT(Educator!A152, 3)&amp;"-"&amp;IF(ISNUMBER(Educator!D152),"G"&amp;Educator!D152,Educator!D152)&amp;"-"&amp;"2027"</f>
        <v>CID-FLH----2027</v>
      </c>
      <c r="B147" s="49" t="e" cm="1">
        <f t="array" ref="B147">Educator!B152&amp;" "&amp;_xlfn.IFS(AND(ISNUMBER(Educator!D152),Educator!D152&lt;&gt;9),"Grade "&amp;Educator!D152,Educator!D152=9,"Grade 9-12",ISTEXT(Educator!D152),Educator!D152)&amp;" "&amp;"Florida"&amp;" "&amp;"26-27"</f>
        <v>#N/A</v>
      </c>
      <c r="C147" s="49" t="e">
        <f t="shared" si="3"/>
        <v>#N/A</v>
      </c>
      <c r="E147" s="51" t="s">
        <v>102</v>
      </c>
      <c r="F147" s="49" t="b">
        <f>IF(Educator!B152&gt;0,"active")</f>
        <v>0</v>
      </c>
      <c r="J147" s="49" t="str">
        <f>"BP-"&amp;"TSWFL-"&amp;IF(ISNUMBER(Educator!D152),""&amp;Educator!D152,Educator!D152)&amp;"-"&amp;"2027"</f>
        <v>BP-TSWFL--2027</v>
      </c>
    </row>
    <row r="148" spans="1:10" x14ac:dyDescent="0.2">
      <c r="A1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","#",3))+1,1)&amp;"-"&amp;LEFT(Educator!B153, 3)&amp;"-"&amp;LEFT(Educator!A153, 3)&amp;"-"&amp;IF(ISNUMBER(Educator!D153),"G"&amp;Educator!D153,Educator!D153)&amp;"-"&amp;"2027"</f>
        <v>CID-FLH----2027</v>
      </c>
      <c r="B148" s="49" t="e" cm="1">
        <f t="array" ref="B148">Educator!B153&amp;" "&amp;_xlfn.IFS(AND(ISNUMBER(Educator!D153),Educator!D153&lt;&gt;9),"Grade "&amp;Educator!D153,Educator!D153=9,"Grade 9-12",ISTEXT(Educator!D153),Educator!D153)&amp;" "&amp;"Florida"&amp;" "&amp;"26-27"</f>
        <v>#N/A</v>
      </c>
      <c r="C148" s="49" t="e">
        <f t="shared" si="3"/>
        <v>#N/A</v>
      </c>
      <c r="E148" s="51" t="s">
        <v>102</v>
      </c>
      <c r="F148" s="49" t="b">
        <f>IF(Educator!B153&gt;0,"active")</f>
        <v>0</v>
      </c>
      <c r="J148" s="49" t="str">
        <f>"BP-"&amp;"TSWFL-"&amp;IF(ISNUMBER(Educator!D153),""&amp;Educator!D153,Educator!D153)&amp;"-"&amp;"2027"</f>
        <v>BP-TSWFL--2027</v>
      </c>
    </row>
    <row r="149" spans="1:10" x14ac:dyDescent="0.2">
      <c r="A1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","#",3))+1,1)&amp;"-"&amp;LEFT(Educator!B154, 3)&amp;"-"&amp;LEFT(Educator!A154, 3)&amp;"-"&amp;IF(ISNUMBER(Educator!D154),"G"&amp;Educator!D154,Educator!D154)&amp;"-"&amp;"2027"</f>
        <v>CID-FLH----2027</v>
      </c>
      <c r="B149" s="49" t="e" cm="1">
        <f t="array" ref="B149">Educator!B154&amp;" "&amp;_xlfn.IFS(AND(ISNUMBER(Educator!D154),Educator!D154&lt;&gt;9),"Grade "&amp;Educator!D154,Educator!D154=9,"Grade 9-12",ISTEXT(Educator!D154),Educator!D154)&amp;" "&amp;"Florida"&amp;" "&amp;"26-27"</f>
        <v>#N/A</v>
      </c>
      <c r="C149" s="49" t="e">
        <f t="shared" si="3"/>
        <v>#N/A</v>
      </c>
      <c r="E149" s="51" t="s">
        <v>102</v>
      </c>
      <c r="F149" s="49" t="b">
        <f>IF(Educator!B154&gt;0,"active")</f>
        <v>0</v>
      </c>
      <c r="J149" s="49" t="str">
        <f>"BP-"&amp;"TSWFL-"&amp;IF(ISNUMBER(Educator!D154),""&amp;Educator!D154,Educator!D154)&amp;"-"&amp;"2027"</f>
        <v>BP-TSWFL--2027</v>
      </c>
    </row>
    <row r="150" spans="1:10" x14ac:dyDescent="0.2">
      <c r="A1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","#",3))+1,1)&amp;"-"&amp;LEFT(Educator!B155, 3)&amp;"-"&amp;LEFT(Educator!A155, 3)&amp;"-"&amp;IF(ISNUMBER(Educator!D155),"G"&amp;Educator!D155,Educator!D155)&amp;"-"&amp;"2027"</f>
        <v>CID-FLH----2027</v>
      </c>
      <c r="B150" s="49" t="e" cm="1">
        <f t="array" ref="B150">Educator!B155&amp;" "&amp;_xlfn.IFS(AND(ISNUMBER(Educator!D155),Educator!D155&lt;&gt;9),"Grade "&amp;Educator!D155,Educator!D155=9,"Grade 9-12",ISTEXT(Educator!D155),Educator!D155)&amp;" "&amp;"Florida"&amp;" "&amp;"26-27"</f>
        <v>#N/A</v>
      </c>
      <c r="C150" s="49" t="e">
        <f t="shared" si="3"/>
        <v>#N/A</v>
      </c>
      <c r="E150" s="51" t="s">
        <v>102</v>
      </c>
      <c r="F150" s="49" t="b">
        <f>IF(Educator!B155&gt;0,"active")</f>
        <v>0</v>
      </c>
      <c r="J150" s="49" t="str">
        <f>"BP-"&amp;"TSWFL-"&amp;IF(ISNUMBER(Educator!D155),""&amp;Educator!D155,Educator!D155)&amp;"-"&amp;"2027"</f>
        <v>BP-TSWFL--2027</v>
      </c>
    </row>
    <row r="151" spans="1:10" x14ac:dyDescent="0.2">
      <c r="A1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","#",3))+1,1)&amp;"-"&amp;LEFT(Educator!B156, 3)&amp;"-"&amp;LEFT(Educator!A156, 3)&amp;"-"&amp;IF(ISNUMBER(Educator!D156),"G"&amp;Educator!D156,Educator!D156)&amp;"-"&amp;"2027"</f>
        <v>CID-FLH----2027</v>
      </c>
      <c r="B151" s="49" t="e" cm="1">
        <f t="array" ref="B151">Educator!B156&amp;" "&amp;_xlfn.IFS(AND(ISNUMBER(Educator!D156),Educator!D156&lt;&gt;9),"Grade "&amp;Educator!D156,Educator!D156=9,"Grade 9-12",ISTEXT(Educator!D156),Educator!D156)&amp;" "&amp;"Florida"&amp;" "&amp;"26-27"</f>
        <v>#N/A</v>
      </c>
      <c r="C151" s="49" t="e">
        <f t="shared" si="3"/>
        <v>#N/A</v>
      </c>
      <c r="E151" s="51" t="s">
        <v>102</v>
      </c>
      <c r="F151" s="49" t="b">
        <f>IF(Educator!B156&gt;0,"active")</f>
        <v>0</v>
      </c>
      <c r="J151" s="49" t="str">
        <f>"BP-"&amp;"TSWFL-"&amp;IF(ISNUMBER(Educator!D156),""&amp;Educator!D156,Educator!D156)&amp;"-"&amp;"2027"</f>
        <v>BP-TSWFL--2027</v>
      </c>
    </row>
    <row r="152" spans="1:10" x14ac:dyDescent="0.2">
      <c r="A1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","#",3))+1,1)&amp;"-"&amp;LEFT(Educator!B157, 3)&amp;"-"&amp;LEFT(Educator!A157, 3)&amp;"-"&amp;IF(ISNUMBER(Educator!D157),"G"&amp;Educator!D157,Educator!D157)&amp;"-"&amp;"2027"</f>
        <v>CID-FLH----2027</v>
      </c>
      <c r="B152" s="49" t="e" cm="1">
        <f t="array" ref="B152">Educator!B157&amp;" "&amp;_xlfn.IFS(AND(ISNUMBER(Educator!D157),Educator!D157&lt;&gt;9),"Grade "&amp;Educator!D157,Educator!D157=9,"Grade 9-12",ISTEXT(Educator!D157),Educator!D157)&amp;" "&amp;"Florida"&amp;" "&amp;"26-27"</f>
        <v>#N/A</v>
      </c>
      <c r="C152" s="49" t="e">
        <f t="shared" si="3"/>
        <v>#N/A</v>
      </c>
      <c r="E152" s="51" t="s">
        <v>102</v>
      </c>
      <c r="F152" s="49" t="b">
        <f>IF(Educator!B157&gt;0,"active")</f>
        <v>0</v>
      </c>
      <c r="J152" s="49" t="str">
        <f>"BP-"&amp;"TSWFL-"&amp;IF(ISNUMBER(Educator!D157),""&amp;Educator!D157,Educator!D157)&amp;"-"&amp;"2027"</f>
        <v>BP-TSWFL--2027</v>
      </c>
    </row>
    <row r="153" spans="1:10" x14ac:dyDescent="0.2">
      <c r="A1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","#",3))+1,1)&amp;"-"&amp;LEFT(Educator!B158, 3)&amp;"-"&amp;LEFT(Educator!A158, 3)&amp;"-"&amp;IF(ISNUMBER(Educator!D158),"G"&amp;Educator!D158,Educator!D158)&amp;"-"&amp;"2027"</f>
        <v>CID-FLH----2027</v>
      </c>
      <c r="B153" s="49" t="e" cm="1">
        <f t="array" ref="B153">Educator!B158&amp;" "&amp;_xlfn.IFS(AND(ISNUMBER(Educator!D158),Educator!D158&lt;&gt;9),"Grade "&amp;Educator!D158,Educator!D158=9,"Grade 9-12",ISTEXT(Educator!D158),Educator!D158)&amp;" "&amp;"Florida"&amp;" "&amp;"26-27"</f>
        <v>#N/A</v>
      </c>
      <c r="C153" s="49" t="e">
        <f t="shared" si="3"/>
        <v>#N/A</v>
      </c>
      <c r="E153" s="51" t="s">
        <v>102</v>
      </c>
      <c r="F153" s="49" t="b">
        <f>IF(Educator!B158&gt;0,"active")</f>
        <v>0</v>
      </c>
      <c r="J153" s="49" t="str">
        <f>"BP-"&amp;"TSWFL-"&amp;IF(ISNUMBER(Educator!D158),""&amp;Educator!D158,Educator!D158)&amp;"-"&amp;"2027"</f>
        <v>BP-TSWFL--2027</v>
      </c>
    </row>
    <row r="154" spans="1:10" x14ac:dyDescent="0.2">
      <c r="A1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","#",3))+1,1)&amp;"-"&amp;LEFT(Educator!B159, 3)&amp;"-"&amp;LEFT(Educator!A159, 3)&amp;"-"&amp;IF(ISNUMBER(Educator!D159),"G"&amp;Educator!D159,Educator!D159)&amp;"-"&amp;"2027"</f>
        <v>CID-FLH----2027</v>
      </c>
      <c r="B154" s="49" t="e" cm="1">
        <f t="array" ref="B154">Educator!B159&amp;" "&amp;_xlfn.IFS(AND(ISNUMBER(Educator!D159),Educator!D159&lt;&gt;9),"Grade "&amp;Educator!D159,Educator!D159=9,"Grade 9-12",ISTEXT(Educator!D159),Educator!D159)&amp;" "&amp;"Florida"&amp;" "&amp;"26-27"</f>
        <v>#N/A</v>
      </c>
      <c r="C154" s="49" t="e">
        <f t="shared" si="3"/>
        <v>#N/A</v>
      </c>
      <c r="E154" s="51" t="s">
        <v>102</v>
      </c>
      <c r="F154" s="49" t="b">
        <f>IF(Educator!B159&gt;0,"active")</f>
        <v>0</v>
      </c>
      <c r="J154" s="49" t="str">
        <f>"BP-"&amp;"TSWFL-"&amp;IF(ISNUMBER(Educator!D159),""&amp;Educator!D159,Educator!D159)&amp;"-"&amp;"2027"</f>
        <v>BP-TSWFL--2027</v>
      </c>
    </row>
    <row r="155" spans="1:10" x14ac:dyDescent="0.2">
      <c r="A1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","#",3))+1,1)&amp;"-"&amp;LEFT(Educator!B160, 3)&amp;"-"&amp;LEFT(Educator!A160, 3)&amp;"-"&amp;IF(ISNUMBER(Educator!D160),"G"&amp;Educator!D160,Educator!D160)&amp;"-"&amp;"2027"</f>
        <v>CID-FLH----2027</v>
      </c>
      <c r="B155" s="49" t="e" cm="1">
        <f t="array" ref="B155">Educator!B160&amp;" "&amp;_xlfn.IFS(AND(ISNUMBER(Educator!D160),Educator!D160&lt;&gt;9),"Grade "&amp;Educator!D160,Educator!D160=9,"Grade 9-12",ISTEXT(Educator!D160),Educator!D160)&amp;" "&amp;"Florida"&amp;" "&amp;"26-27"</f>
        <v>#N/A</v>
      </c>
      <c r="C155" s="49" t="e">
        <f t="shared" si="3"/>
        <v>#N/A</v>
      </c>
      <c r="E155" s="51" t="s">
        <v>102</v>
      </c>
      <c r="F155" s="49" t="b">
        <f>IF(Educator!B160&gt;0,"active")</f>
        <v>0</v>
      </c>
      <c r="J155" s="49" t="str">
        <f>"BP-"&amp;"TSWFL-"&amp;IF(ISNUMBER(Educator!D160),""&amp;Educator!D160,Educator!D160)&amp;"-"&amp;"2027"</f>
        <v>BP-TSWFL--2027</v>
      </c>
    </row>
    <row r="156" spans="1:10" x14ac:dyDescent="0.2">
      <c r="A1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","#",3))+1,1)&amp;"-"&amp;LEFT(Educator!B161, 3)&amp;"-"&amp;LEFT(Educator!A161, 3)&amp;"-"&amp;IF(ISNUMBER(Educator!D161),"G"&amp;Educator!D161,Educator!D161)&amp;"-"&amp;"2027"</f>
        <v>CID-FLH----2027</v>
      </c>
      <c r="B156" s="49" t="e" cm="1">
        <f t="array" ref="B156">Educator!B161&amp;" "&amp;_xlfn.IFS(AND(ISNUMBER(Educator!D161),Educator!D161&lt;&gt;9),"Grade "&amp;Educator!D161,Educator!D161=9,"Grade 9-12",ISTEXT(Educator!D161),Educator!D161)&amp;" "&amp;"Florida"&amp;" "&amp;"26-27"</f>
        <v>#N/A</v>
      </c>
      <c r="C156" s="49" t="e">
        <f t="shared" si="3"/>
        <v>#N/A</v>
      </c>
      <c r="E156" s="51" t="s">
        <v>102</v>
      </c>
      <c r="F156" s="49" t="b">
        <f>IF(Educator!B161&gt;0,"active")</f>
        <v>0</v>
      </c>
      <c r="J156" s="49" t="str">
        <f>"BP-"&amp;"TSWFL-"&amp;IF(ISNUMBER(Educator!D161),""&amp;Educator!D161,Educator!D161)&amp;"-"&amp;"2027"</f>
        <v>BP-TSWFL--2027</v>
      </c>
    </row>
    <row r="157" spans="1:10" x14ac:dyDescent="0.2">
      <c r="A1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","#",3))+1,1)&amp;"-"&amp;LEFT(Educator!B162, 3)&amp;"-"&amp;LEFT(Educator!A162, 3)&amp;"-"&amp;IF(ISNUMBER(Educator!D162),"G"&amp;Educator!D162,Educator!D162)&amp;"-"&amp;"2027"</f>
        <v>CID-FLH----2027</v>
      </c>
      <c r="B157" s="49" t="e" cm="1">
        <f t="array" ref="B157">Educator!B162&amp;" "&amp;_xlfn.IFS(AND(ISNUMBER(Educator!D162),Educator!D162&lt;&gt;9),"Grade "&amp;Educator!D162,Educator!D162=9,"Grade 9-12",ISTEXT(Educator!D162),Educator!D162)&amp;" "&amp;"Florida"&amp;" "&amp;"26-27"</f>
        <v>#N/A</v>
      </c>
      <c r="C157" s="49" t="e">
        <f t="shared" si="3"/>
        <v>#N/A</v>
      </c>
      <c r="E157" s="51" t="s">
        <v>102</v>
      </c>
      <c r="F157" s="49" t="b">
        <f>IF(Educator!B162&gt;0,"active")</f>
        <v>0</v>
      </c>
      <c r="J157" s="49" t="str">
        <f>"BP-"&amp;"TSWFL-"&amp;IF(ISNUMBER(Educator!D162),""&amp;Educator!D162,Educator!D162)&amp;"-"&amp;"2027"</f>
        <v>BP-TSWFL--2027</v>
      </c>
    </row>
    <row r="158" spans="1:10" x14ac:dyDescent="0.2">
      <c r="A1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","#",3))+1,1)&amp;"-"&amp;LEFT(Educator!B163, 3)&amp;"-"&amp;LEFT(Educator!A163, 3)&amp;"-"&amp;IF(ISNUMBER(Educator!D163),"G"&amp;Educator!D163,Educator!D163)&amp;"-"&amp;"2027"</f>
        <v>CID-FLH----2027</v>
      </c>
      <c r="B158" s="49" t="e" cm="1">
        <f t="array" ref="B158">Educator!B163&amp;" "&amp;_xlfn.IFS(AND(ISNUMBER(Educator!D163),Educator!D163&lt;&gt;9),"Grade "&amp;Educator!D163,Educator!D163=9,"Grade 9-12",ISTEXT(Educator!D163),Educator!D163)&amp;" "&amp;"Florida"&amp;" "&amp;"26-27"</f>
        <v>#N/A</v>
      </c>
      <c r="C158" s="49" t="e">
        <f t="shared" si="3"/>
        <v>#N/A</v>
      </c>
      <c r="E158" s="51" t="s">
        <v>102</v>
      </c>
      <c r="F158" s="49" t="b">
        <f>IF(Educator!B163&gt;0,"active")</f>
        <v>0</v>
      </c>
      <c r="J158" s="49" t="str">
        <f>"BP-"&amp;"TSWFL-"&amp;IF(ISNUMBER(Educator!D163),""&amp;Educator!D163,Educator!D163)&amp;"-"&amp;"2027"</f>
        <v>BP-TSWFL--2027</v>
      </c>
    </row>
    <row r="159" spans="1:10" x14ac:dyDescent="0.2">
      <c r="A1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","#",3))+1,1)&amp;"-"&amp;LEFT(Educator!B164, 3)&amp;"-"&amp;LEFT(Educator!A164, 3)&amp;"-"&amp;IF(ISNUMBER(Educator!D164),"G"&amp;Educator!D164,Educator!D164)&amp;"-"&amp;"2027"</f>
        <v>CID-FLH----2027</v>
      </c>
      <c r="B159" s="49" t="e" cm="1">
        <f t="array" ref="B159">Educator!B164&amp;" "&amp;_xlfn.IFS(AND(ISNUMBER(Educator!D164),Educator!D164&lt;&gt;9),"Grade "&amp;Educator!D164,Educator!D164=9,"Grade 9-12",ISTEXT(Educator!D164),Educator!D164)&amp;" "&amp;"Florida"&amp;" "&amp;"26-27"</f>
        <v>#N/A</v>
      </c>
      <c r="C159" s="49" t="e">
        <f t="shared" si="3"/>
        <v>#N/A</v>
      </c>
      <c r="E159" s="51" t="s">
        <v>102</v>
      </c>
      <c r="F159" s="49" t="b">
        <f>IF(Educator!B164&gt;0,"active")</f>
        <v>0</v>
      </c>
      <c r="J159" s="49" t="str">
        <f>"BP-"&amp;"TSWFL-"&amp;IF(ISNUMBER(Educator!D164),""&amp;Educator!D164,Educator!D164)&amp;"-"&amp;"2027"</f>
        <v>BP-TSWFL--2027</v>
      </c>
    </row>
    <row r="160" spans="1:10" x14ac:dyDescent="0.2">
      <c r="A1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","#",3))+1,1)&amp;"-"&amp;LEFT(Educator!B165, 3)&amp;"-"&amp;LEFT(Educator!A165, 3)&amp;"-"&amp;IF(ISNUMBER(Educator!D165),"G"&amp;Educator!D165,Educator!D165)&amp;"-"&amp;"2027"</f>
        <v>CID-FLH----2027</v>
      </c>
      <c r="B160" s="49" t="e" cm="1">
        <f t="array" ref="B160">Educator!B165&amp;" "&amp;_xlfn.IFS(AND(ISNUMBER(Educator!D165),Educator!D165&lt;&gt;9),"Grade "&amp;Educator!D165,Educator!D165=9,"Grade 9-12",ISTEXT(Educator!D165),Educator!D165)&amp;" "&amp;"Florida"&amp;" "&amp;"26-27"</f>
        <v>#N/A</v>
      </c>
      <c r="C160" s="49" t="e">
        <f t="shared" si="3"/>
        <v>#N/A</v>
      </c>
      <c r="E160" s="51" t="s">
        <v>102</v>
      </c>
      <c r="F160" s="49" t="b">
        <f>IF(Educator!B165&gt;0,"active")</f>
        <v>0</v>
      </c>
      <c r="J160" s="49" t="str">
        <f>"BP-"&amp;"TSWFL-"&amp;IF(ISNUMBER(Educator!D165),""&amp;Educator!D165,Educator!D165)&amp;"-"&amp;"2027"</f>
        <v>BP-TSWFL--2027</v>
      </c>
    </row>
    <row r="161" spans="1:10" x14ac:dyDescent="0.2">
      <c r="A1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","#",3))+1,1)&amp;"-"&amp;LEFT(Educator!B166, 3)&amp;"-"&amp;LEFT(Educator!A166, 3)&amp;"-"&amp;IF(ISNUMBER(Educator!D166),"G"&amp;Educator!D166,Educator!D166)&amp;"-"&amp;"2027"</f>
        <v>CID-FLH----2027</v>
      </c>
      <c r="B161" s="49" t="e" cm="1">
        <f t="array" ref="B161">Educator!B166&amp;" "&amp;_xlfn.IFS(AND(ISNUMBER(Educator!D166),Educator!D166&lt;&gt;9),"Grade "&amp;Educator!D166,Educator!D166=9,"Grade 9-12",ISTEXT(Educator!D166),Educator!D166)&amp;" "&amp;"Florida"&amp;" "&amp;"26-27"</f>
        <v>#N/A</v>
      </c>
      <c r="C161" s="49" t="e">
        <f t="shared" si="3"/>
        <v>#N/A</v>
      </c>
      <c r="E161" s="51" t="s">
        <v>102</v>
      </c>
      <c r="F161" s="49" t="b">
        <f>IF(Educator!B166&gt;0,"active")</f>
        <v>0</v>
      </c>
      <c r="J161" s="49" t="str">
        <f>"BP-"&amp;"TSWFL-"&amp;IF(ISNUMBER(Educator!D166),""&amp;Educator!D166,Educator!D166)&amp;"-"&amp;"2027"</f>
        <v>BP-TSWFL--2027</v>
      </c>
    </row>
    <row r="162" spans="1:10" x14ac:dyDescent="0.2">
      <c r="A1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","#",3))+1,1)&amp;"-"&amp;LEFT(Educator!B167, 3)&amp;"-"&amp;LEFT(Educator!A167, 3)&amp;"-"&amp;IF(ISNUMBER(Educator!D167),"G"&amp;Educator!D167,Educator!D167)&amp;"-"&amp;"2027"</f>
        <v>CID-FLH----2027</v>
      </c>
      <c r="B162" s="49" t="e" cm="1">
        <f t="array" ref="B162">Educator!B167&amp;" "&amp;_xlfn.IFS(AND(ISNUMBER(Educator!D167),Educator!D167&lt;&gt;9),"Grade "&amp;Educator!D167,Educator!D167=9,"Grade 9-12",ISTEXT(Educator!D167),Educator!D167)&amp;" "&amp;"Florida"&amp;" "&amp;"26-27"</f>
        <v>#N/A</v>
      </c>
      <c r="C162" s="49" t="e">
        <f t="shared" si="3"/>
        <v>#N/A</v>
      </c>
      <c r="E162" s="51" t="s">
        <v>102</v>
      </c>
      <c r="F162" s="49" t="b">
        <f>IF(Educator!B167&gt;0,"active")</f>
        <v>0</v>
      </c>
      <c r="J162" s="49" t="str">
        <f>"BP-"&amp;"TSWFL-"&amp;IF(ISNUMBER(Educator!D167),""&amp;Educator!D167,Educator!D167)&amp;"-"&amp;"2027"</f>
        <v>BP-TSWFL--2027</v>
      </c>
    </row>
    <row r="163" spans="1:10" x14ac:dyDescent="0.2">
      <c r="A1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","#",3))+1,1)&amp;"-"&amp;LEFT(Educator!B168, 3)&amp;"-"&amp;LEFT(Educator!A168, 3)&amp;"-"&amp;IF(ISNUMBER(Educator!D168),"G"&amp;Educator!D168,Educator!D168)&amp;"-"&amp;"2027"</f>
        <v>CID-FLH----2027</v>
      </c>
      <c r="B163" s="49" t="e" cm="1">
        <f t="array" ref="B163">Educator!B168&amp;" "&amp;_xlfn.IFS(AND(ISNUMBER(Educator!D168),Educator!D168&lt;&gt;9),"Grade "&amp;Educator!D168,Educator!D168=9,"Grade 9-12",ISTEXT(Educator!D168),Educator!D168)&amp;" "&amp;"Florida"&amp;" "&amp;"26-27"</f>
        <v>#N/A</v>
      </c>
      <c r="C163" s="49" t="e">
        <f t="shared" si="3"/>
        <v>#N/A</v>
      </c>
      <c r="E163" s="51" t="s">
        <v>102</v>
      </c>
      <c r="F163" s="49" t="b">
        <f>IF(Educator!B168&gt;0,"active")</f>
        <v>0</v>
      </c>
      <c r="J163" s="49" t="str">
        <f>"BP-"&amp;"TSWFL-"&amp;IF(ISNUMBER(Educator!D168),""&amp;Educator!D168,Educator!D168)&amp;"-"&amp;"2027"</f>
        <v>BP-TSWFL--2027</v>
      </c>
    </row>
    <row r="164" spans="1:10" x14ac:dyDescent="0.2">
      <c r="A1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","#",3))+1,1)&amp;"-"&amp;LEFT(Educator!B169, 3)&amp;"-"&amp;LEFT(Educator!A169, 3)&amp;"-"&amp;IF(ISNUMBER(Educator!D169),"G"&amp;Educator!D169,Educator!D169)&amp;"-"&amp;"2027"</f>
        <v>CID-FLH----2027</v>
      </c>
      <c r="B164" s="49" t="e" cm="1">
        <f t="array" ref="B164">Educator!B169&amp;" "&amp;_xlfn.IFS(AND(ISNUMBER(Educator!D169),Educator!D169&lt;&gt;9),"Grade "&amp;Educator!D169,Educator!D169=9,"Grade 9-12",ISTEXT(Educator!D169),Educator!D169)&amp;" "&amp;"Florida"&amp;" "&amp;"26-27"</f>
        <v>#N/A</v>
      </c>
      <c r="C164" s="49" t="e">
        <f t="shared" si="3"/>
        <v>#N/A</v>
      </c>
      <c r="E164" s="51" t="s">
        <v>102</v>
      </c>
      <c r="F164" s="49" t="b">
        <f>IF(Educator!B169&gt;0,"active")</f>
        <v>0</v>
      </c>
      <c r="J164" s="49" t="str">
        <f>"BP-"&amp;"TSWFL-"&amp;IF(ISNUMBER(Educator!D169),""&amp;Educator!D169,Educator!D169)&amp;"-"&amp;"2027"</f>
        <v>BP-TSWFL--2027</v>
      </c>
    </row>
    <row r="165" spans="1:10" x14ac:dyDescent="0.2">
      <c r="A1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","#",3))+1,1)&amp;"-"&amp;LEFT(Educator!B170, 3)&amp;"-"&amp;LEFT(Educator!A170, 3)&amp;"-"&amp;IF(ISNUMBER(Educator!D170),"G"&amp;Educator!D170,Educator!D170)&amp;"-"&amp;"2027"</f>
        <v>CID-FLH----2027</v>
      </c>
      <c r="B165" s="49" t="e" cm="1">
        <f t="array" ref="B165">Educator!B170&amp;" "&amp;_xlfn.IFS(AND(ISNUMBER(Educator!D170),Educator!D170&lt;&gt;9),"Grade "&amp;Educator!D170,Educator!D170=9,"Grade 9-12",ISTEXT(Educator!D170),Educator!D170)&amp;" "&amp;"Florida"&amp;" "&amp;"26-27"</f>
        <v>#N/A</v>
      </c>
      <c r="C165" s="49" t="e">
        <f t="shared" si="3"/>
        <v>#N/A</v>
      </c>
      <c r="E165" s="51" t="s">
        <v>102</v>
      </c>
      <c r="F165" s="49" t="b">
        <f>IF(Educator!B170&gt;0,"active")</f>
        <v>0</v>
      </c>
      <c r="J165" s="49" t="str">
        <f>"BP-"&amp;"TSWFL-"&amp;IF(ISNUMBER(Educator!D170),""&amp;Educator!D170,Educator!D170)&amp;"-"&amp;"2027"</f>
        <v>BP-TSWFL--2027</v>
      </c>
    </row>
    <row r="166" spans="1:10" x14ac:dyDescent="0.2">
      <c r="A1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","#",3))+1,1)&amp;"-"&amp;LEFT(Educator!B171, 3)&amp;"-"&amp;LEFT(Educator!A171, 3)&amp;"-"&amp;IF(ISNUMBER(Educator!D171),"G"&amp;Educator!D171,Educator!D171)&amp;"-"&amp;"2027"</f>
        <v>CID-FLH----2027</v>
      </c>
      <c r="B166" s="49" t="e" cm="1">
        <f t="array" ref="B166">Educator!B171&amp;" "&amp;_xlfn.IFS(AND(ISNUMBER(Educator!D171),Educator!D171&lt;&gt;9),"Grade "&amp;Educator!D171,Educator!D171=9,"Grade 9-12",ISTEXT(Educator!D171),Educator!D171)&amp;" "&amp;"Florida"&amp;" "&amp;"26-27"</f>
        <v>#N/A</v>
      </c>
      <c r="C166" s="49" t="e">
        <f t="shared" si="3"/>
        <v>#N/A</v>
      </c>
      <c r="E166" s="51" t="s">
        <v>102</v>
      </c>
      <c r="F166" s="49" t="b">
        <f>IF(Educator!B171&gt;0,"active")</f>
        <v>0</v>
      </c>
      <c r="J166" s="49" t="str">
        <f>"BP-"&amp;"TSWFL-"&amp;IF(ISNUMBER(Educator!D171),""&amp;Educator!D171,Educator!D171)&amp;"-"&amp;"2027"</f>
        <v>BP-TSWFL--2027</v>
      </c>
    </row>
    <row r="167" spans="1:10" x14ac:dyDescent="0.2">
      <c r="A1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","#",3))+1,1)&amp;"-"&amp;LEFT(Educator!B172, 3)&amp;"-"&amp;LEFT(Educator!A172, 3)&amp;"-"&amp;IF(ISNUMBER(Educator!D172),"G"&amp;Educator!D172,Educator!D172)&amp;"-"&amp;"2027"</f>
        <v>CID-FLH----2027</v>
      </c>
      <c r="B167" s="49" t="e" cm="1">
        <f t="array" ref="B167">Educator!B172&amp;" "&amp;_xlfn.IFS(AND(ISNUMBER(Educator!D172),Educator!D172&lt;&gt;9),"Grade "&amp;Educator!D172,Educator!D172=9,"Grade 9-12",ISTEXT(Educator!D172),Educator!D172)&amp;" "&amp;"Florida"&amp;" "&amp;"26-27"</f>
        <v>#N/A</v>
      </c>
      <c r="C167" s="49" t="e">
        <f t="shared" si="3"/>
        <v>#N/A</v>
      </c>
      <c r="E167" s="51" t="s">
        <v>102</v>
      </c>
      <c r="F167" s="49" t="b">
        <f>IF(Educator!B172&gt;0,"active")</f>
        <v>0</v>
      </c>
      <c r="J167" s="49" t="str">
        <f>"BP-"&amp;"TSWFL-"&amp;IF(ISNUMBER(Educator!D172),""&amp;Educator!D172,Educator!D172)&amp;"-"&amp;"2027"</f>
        <v>BP-TSWFL--2027</v>
      </c>
    </row>
    <row r="168" spans="1:10" x14ac:dyDescent="0.2">
      <c r="A1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","#",3))+1,1)&amp;"-"&amp;LEFT(Educator!B173, 3)&amp;"-"&amp;LEFT(Educator!A173, 3)&amp;"-"&amp;IF(ISNUMBER(Educator!D173),"G"&amp;Educator!D173,Educator!D173)&amp;"-"&amp;"2027"</f>
        <v>CID-FLH----2027</v>
      </c>
      <c r="B168" s="49" t="e" cm="1">
        <f t="array" ref="B168">Educator!B173&amp;" "&amp;_xlfn.IFS(AND(ISNUMBER(Educator!D173),Educator!D173&lt;&gt;9),"Grade "&amp;Educator!D173,Educator!D173=9,"Grade 9-12",ISTEXT(Educator!D173),Educator!D173)&amp;" "&amp;"Florida"&amp;" "&amp;"26-27"</f>
        <v>#N/A</v>
      </c>
      <c r="C168" s="49" t="e">
        <f t="shared" si="3"/>
        <v>#N/A</v>
      </c>
      <c r="E168" s="51" t="s">
        <v>102</v>
      </c>
      <c r="F168" s="49" t="b">
        <f>IF(Educator!B173&gt;0,"active")</f>
        <v>0</v>
      </c>
      <c r="J168" s="49" t="str">
        <f>"BP-"&amp;"TSWFL-"&amp;IF(ISNUMBER(Educator!D173),""&amp;Educator!D173,Educator!D173)&amp;"-"&amp;"2027"</f>
        <v>BP-TSWFL--2027</v>
      </c>
    </row>
    <row r="169" spans="1:10" x14ac:dyDescent="0.2">
      <c r="A1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","#",3))+1,1)&amp;"-"&amp;LEFT(Educator!B174, 3)&amp;"-"&amp;LEFT(Educator!A174, 3)&amp;"-"&amp;IF(ISNUMBER(Educator!D174),"G"&amp;Educator!D174,Educator!D174)&amp;"-"&amp;"2027"</f>
        <v>CID-FLH----2027</v>
      </c>
      <c r="B169" s="49" t="e" cm="1">
        <f t="array" ref="B169">Educator!B174&amp;" "&amp;_xlfn.IFS(AND(ISNUMBER(Educator!D174),Educator!D174&lt;&gt;9),"Grade "&amp;Educator!D174,Educator!D174=9,"Grade 9-12",ISTEXT(Educator!D174),Educator!D174)&amp;" "&amp;"Florida"&amp;" "&amp;"26-27"</f>
        <v>#N/A</v>
      </c>
      <c r="C169" s="49" t="e">
        <f t="shared" si="3"/>
        <v>#N/A</v>
      </c>
      <c r="E169" s="51" t="s">
        <v>102</v>
      </c>
      <c r="F169" s="49" t="b">
        <f>IF(Educator!B174&gt;0,"active")</f>
        <v>0</v>
      </c>
      <c r="J169" s="49" t="str">
        <f>"BP-"&amp;"TSWFL-"&amp;IF(ISNUMBER(Educator!D174),""&amp;Educator!D174,Educator!D174)&amp;"-"&amp;"2027"</f>
        <v>BP-TSWFL--2027</v>
      </c>
    </row>
    <row r="170" spans="1:10" x14ac:dyDescent="0.2">
      <c r="A1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","#",3))+1,1)&amp;"-"&amp;LEFT(Educator!B175, 3)&amp;"-"&amp;LEFT(Educator!A175, 3)&amp;"-"&amp;IF(ISNUMBER(Educator!D175),"G"&amp;Educator!D175,Educator!D175)&amp;"-"&amp;"2027"</f>
        <v>CID-FLH----2027</v>
      </c>
      <c r="B170" s="49" t="e" cm="1">
        <f t="array" ref="B170">Educator!B175&amp;" "&amp;_xlfn.IFS(AND(ISNUMBER(Educator!D175),Educator!D175&lt;&gt;9),"Grade "&amp;Educator!D175,Educator!D175=9,"Grade 9-12",ISTEXT(Educator!D175),Educator!D175)&amp;" "&amp;"Florida"&amp;" "&amp;"26-27"</f>
        <v>#N/A</v>
      </c>
      <c r="C170" s="49" t="e">
        <f t="shared" si="3"/>
        <v>#N/A</v>
      </c>
      <c r="E170" s="51" t="s">
        <v>102</v>
      </c>
      <c r="F170" s="49" t="b">
        <f>IF(Educator!B175&gt;0,"active")</f>
        <v>0</v>
      </c>
      <c r="J170" s="49" t="str">
        <f>"BP-"&amp;"TSWFL-"&amp;IF(ISNUMBER(Educator!D175),""&amp;Educator!D175,Educator!D175)&amp;"-"&amp;"2027"</f>
        <v>BP-TSWFL--2027</v>
      </c>
    </row>
    <row r="171" spans="1:10" x14ac:dyDescent="0.2">
      <c r="A1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","#",3))+1,1)&amp;"-"&amp;LEFT(Educator!B176, 3)&amp;"-"&amp;LEFT(Educator!A176, 3)&amp;"-"&amp;IF(ISNUMBER(Educator!D176),"G"&amp;Educator!D176,Educator!D176)&amp;"-"&amp;"2027"</f>
        <v>CID-FLH----2027</v>
      </c>
      <c r="B171" s="49" t="e" cm="1">
        <f t="array" ref="B171">Educator!B176&amp;" "&amp;_xlfn.IFS(AND(ISNUMBER(Educator!D176),Educator!D176&lt;&gt;9),"Grade "&amp;Educator!D176,Educator!D176=9,"Grade 9-12",ISTEXT(Educator!D176),Educator!D176)&amp;" "&amp;"Florida"&amp;" "&amp;"26-27"</f>
        <v>#N/A</v>
      </c>
      <c r="C171" s="49" t="e">
        <f t="shared" si="3"/>
        <v>#N/A</v>
      </c>
      <c r="E171" s="51" t="s">
        <v>102</v>
      </c>
      <c r="F171" s="49" t="b">
        <f>IF(Educator!B176&gt;0,"active")</f>
        <v>0</v>
      </c>
      <c r="J171" s="49" t="str">
        <f>"BP-"&amp;"TSWFL-"&amp;IF(ISNUMBER(Educator!D176),""&amp;Educator!D176,Educator!D176)&amp;"-"&amp;"2027"</f>
        <v>BP-TSWFL--2027</v>
      </c>
    </row>
    <row r="172" spans="1:10" x14ac:dyDescent="0.2">
      <c r="A1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","#",3))+1,1)&amp;"-"&amp;LEFT(Educator!B177, 3)&amp;"-"&amp;LEFT(Educator!A177, 3)&amp;"-"&amp;IF(ISNUMBER(Educator!D177),"G"&amp;Educator!D177,Educator!D177)&amp;"-"&amp;"2027"</f>
        <v>CID-FLH----2027</v>
      </c>
      <c r="B172" s="49" t="e" cm="1">
        <f t="array" ref="B172">Educator!B177&amp;" "&amp;_xlfn.IFS(AND(ISNUMBER(Educator!D177),Educator!D177&lt;&gt;9),"Grade "&amp;Educator!D177,Educator!D177=9,"Grade 9-12",ISTEXT(Educator!D177),Educator!D177)&amp;" "&amp;"Florida"&amp;" "&amp;"26-27"</f>
        <v>#N/A</v>
      </c>
      <c r="C172" s="49" t="e">
        <f t="shared" si="3"/>
        <v>#N/A</v>
      </c>
      <c r="E172" s="51" t="s">
        <v>102</v>
      </c>
      <c r="F172" s="49" t="b">
        <f>IF(Educator!B177&gt;0,"active")</f>
        <v>0</v>
      </c>
      <c r="J172" s="49" t="str">
        <f>"BP-"&amp;"TSWFL-"&amp;IF(ISNUMBER(Educator!D177),""&amp;Educator!D177,Educator!D177)&amp;"-"&amp;"2027"</f>
        <v>BP-TSWFL--2027</v>
      </c>
    </row>
    <row r="173" spans="1:10" x14ac:dyDescent="0.2">
      <c r="A1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","#",3))+1,1)&amp;"-"&amp;LEFT(Educator!B178, 3)&amp;"-"&amp;LEFT(Educator!A178, 3)&amp;"-"&amp;IF(ISNUMBER(Educator!D178),"G"&amp;Educator!D178,Educator!D178)&amp;"-"&amp;"2027"</f>
        <v>CID-FLH----2027</v>
      </c>
      <c r="B173" s="49" t="e" cm="1">
        <f t="array" ref="B173">Educator!B178&amp;" "&amp;_xlfn.IFS(AND(ISNUMBER(Educator!D178),Educator!D178&lt;&gt;9),"Grade "&amp;Educator!D178,Educator!D178=9,"Grade 9-12",ISTEXT(Educator!D178),Educator!D178)&amp;" "&amp;"Florida"&amp;" "&amp;"26-27"</f>
        <v>#N/A</v>
      </c>
      <c r="C173" s="49" t="e">
        <f t="shared" si="3"/>
        <v>#N/A</v>
      </c>
      <c r="E173" s="51" t="s">
        <v>102</v>
      </c>
      <c r="F173" s="49" t="b">
        <f>IF(Educator!B178&gt;0,"active")</f>
        <v>0</v>
      </c>
      <c r="J173" s="49" t="str">
        <f>"BP-"&amp;"TSWFL-"&amp;IF(ISNUMBER(Educator!D178),""&amp;Educator!D178,Educator!D178)&amp;"-"&amp;"2027"</f>
        <v>BP-TSWFL--2027</v>
      </c>
    </row>
    <row r="174" spans="1:10" x14ac:dyDescent="0.2">
      <c r="A1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","#",3))+1,1)&amp;"-"&amp;LEFT(Educator!B179, 3)&amp;"-"&amp;LEFT(Educator!A179, 3)&amp;"-"&amp;IF(ISNUMBER(Educator!D179),"G"&amp;Educator!D179,Educator!D179)&amp;"-"&amp;"2027"</f>
        <v>CID-FLH----2027</v>
      </c>
      <c r="B174" s="49" t="e" cm="1">
        <f t="array" ref="B174">Educator!B179&amp;" "&amp;_xlfn.IFS(AND(ISNUMBER(Educator!D179),Educator!D179&lt;&gt;9),"Grade "&amp;Educator!D179,Educator!D179=9,"Grade 9-12",ISTEXT(Educator!D179),Educator!D179)&amp;" "&amp;"Florida"&amp;" "&amp;"26-27"</f>
        <v>#N/A</v>
      </c>
      <c r="C174" s="49" t="e">
        <f t="shared" si="3"/>
        <v>#N/A</v>
      </c>
      <c r="E174" s="51" t="s">
        <v>102</v>
      </c>
      <c r="F174" s="49" t="b">
        <f>IF(Educator!B179&gt;0,"active")</f>
        <v>0</v>
      </c>
      <c r="J174" s="49" t="str">
        <f>"BP-"&amp;"TSWFL-"&amp;IF(ISNUMBER(Educator!D179),""&amp;Educator!D179,Educator!D179)&amp;"-"&amp;"2027"</f>
        <v>BP-TSWFL--2027</v>
      </c>
    </row>
    <row r="175" spans="1:10" x14ac:dyDescent="0.2">
      <c r="A1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","#",3))+1,1)&amp;"-"&amp;LEFT(Educator!B180, 3)&amp;"-"&amp;LEFT(Educator!A180, 3)&amp;"-"&amp;IF(ISNUMBER(Educator!D180),"G"&amp;Educator!D180,Educator!D180)&amp;"-"&amp;"2027"</f>
        <v>CID-FLH----2027</v>
      </c>
      <c r="B175" s="49" t="e" cm="1">
        <f t="array" ref="B175">Educator!B180&amp;" "&amp;_xlfn.IFS(AND(ISNUMBER(Educator!D180),Educator!D180&lt;&gt;9),"Grade "&amp;Educator!D180,Educator!D180=9,"Grade 9-12",ISTEXT(Educator!D180),Educator!D180)&amp;" "&amp;"Florida"&amp;" "&amp;"26-27"</f>
        <v>#N/A</v>
      </c>
      <c r="C175" s="49" t="e">
        <f t="shared" si="3"/>
        <v>#N/A</v>
      </c>
      <c r="E175" s="51" t="s">
        <v>102</v>
      </c>
      <c r="F175" s="49" t="b">
        <f>IF(Educator!B180&gt;0,"active")</f>
        <v>0</v>
      </c>
      <c r="J175" s="49" t="str">
        <f>"BP-"&amp;"TSWFL-"&amp;IF(ISNUMBER(Educator!D180),""&amp;Educator!D180,Educator!D180)&amp;"-"&amp;"2027"</f>
        <v>BP-TSWFL--2027</v>
      </c>
    </row>
    <row r="176" spans="1:10" x14ac:dyDescent="0.2">
      <c r="A1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","#",3))+1,1)&amp;"-"&amp;LEFT(Educator!B181, 3)&amp;"-"&amp;LEFT(Educator!A181, 3)&amp;"-"&amp;IF(ISNUMBER(Educator!D181),"G"&amp;Educator!D181,Educator!D181)&amp;"-"&amp;"2027"</f>
        <v>CID-FLH----2027</v>
      </c>
      <c r="B176" s="49" t="e" cm="1">
        <f t="array" ref="B176">Educator!B181&amp;" "&amp;_xlfn.IFS(AND(ISNUMBER(Educator!D181),Educator!D181&lt;&gt;9),"Grade "&amp;Educator!D181,Educator!D181=9,"Grade 9-12",ISTEXT(Educator!D181),Educator!D181)&amp;" "&amp;"Florida"&amp;" "&amp;"26-27"</f>
        <v>#N/A</v>
      </c>
      <c r="C176" s="49" t="e">
        <f t="shared" si="3"/>
        <v>#N/A</v>
      </c>
      <c r="E176" s="51" t="s">
        <v>102</v>
      </c>
      <c r="F176" s="49" t="b">
        <f>IF(Educator!B181&gt;0,"active")</f>
        <v>0</v>
      </c>
      <c r="J176" s="49" t="str">
        <f>"BP-"&amp;"TSWFL-"&amp;IF(ISNUMBER(Educator!D181),""&amp;Educator!D181,Educator!D181)&amp;"-"&amp;"2027"</f>
        <v>BP-TSWFL--2027</v>
      </c>
    </row>
    <row r="177" spans="1:10" x14ac:dyDescent="0.2">
      <c r="A1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","#",3))+1,1)&amp;"-"&amp;LEFT(Educator!B182, 3)&amp;"-"&amp;LEFT(Educator!A182, 3)&amp;"-"&amp;IF(ISNUMBER(Educator!D182),"G"&amp;Educator!D182,Educator!D182)&amp;"-"&amp;"2027"</f>
        <v>CID-FLH----2027</v>
      </c>
      <c r="B177" s="49" t="e" cm="1">
        <f t="array" ref="B177">Educator!B182&amp;" "&amp;_xlfn.IFS(AND(ISNUMBER(Educator!D182),Educator!D182&lt;&gt;9),"Grade "&amp;Educator!D182,Educator!D182=9,"Grade 9-12",ISTEXT(Educator!D182),Educator!D182)&amp;" "&amp;"Florida"&amp;" "&amp;"26-27"</f>
        <v>#N/A</v>
      </c>
      <c r="C177" s="49" t="e">
        <f t="shared" si="3"/>
        <v>#N/A</v>
      </c>
      <c r="E177" s="51" t="s">
        <v>102</v>
      </c>
      <c r="F177" s="49" t="b">
        <f>IF(Educator!B182&gt;0,"active")</f>
        <v>0</v>
      </c>
      <c r="J177" s="49" t="str">
        <f>"BP-"&amp;"TSWFL-"&amp;IF(ISNUMBER(Educator!D182),""&amp;Educator!D182,Educator!D182)&amp;"-"&amp;"2027"</f>
        <v>BP-TSWFL--2027</v>
      </c>
    </row>
    <row r="178" spans="1:10" x14ac:dyDescent="0.2">
      <c r="A1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","#",3))+1,1)&amp;"-"&amp;LEFT(Educator!B183, 3)&amp;"-"&amp;LEFT(Educator!A183, 3)&amp;"-"&amp;IF(ISNUMBER(Educator!D183),"G"&amp;Educator!D183,Educator!D183)&amp;"-"&amp;"2027"</f>
        <v>CID-FLH----2027</v>
      </c>
      <c r="B178" s="49" t="e" cm="1">
        <f t="array" ref="B178">Educator!B183&amp;" "&amp;_xlfn.IFS(AND(ISNUMBER(Educator!D183),Educator!D183&lt;&gt;9),"Grade "&amp;Educator!D183,Educator!D183=9,"Grade 9-12",ISTEXT(Educator!D183),Educator!D183)&amp;" "&amp;"Florida"&amp;" "&amp;"26-27"</f>
        <v>#N/A</v>
      </c>
      <c r="C178" s="49" t="e">
        <f t="shared" si="3"/>
        <v>#N/A</v>
      </c>
      <c r="E178" s="51" t="s">
        <v>102</v>
      </c>
      <c r="F178" s="49" t="b">
        <f>IF(Educator!B183&gt;0,"active")</f>
        <v>0</v>
      </c>
      <c r="J178" s="49" t="str">
        <f>"BP-"&amp;"TSWFL-"&amp;IF(ISNUMBER(Educator!D183),""&amp;Educator!D183,Educator!D183)&amp;"-"&amp;"2027"</f>
        <v>BP-TSWFL--2027</v>
      </c>
    </row>
    <row r="179" spans="1:10" x14ac:dyDescent="0.2">
      <c r="A1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","#",3))+1,1)&amp;"-"&amp;LEFT(Educator!B184, 3)&amp;"-"&amp;LEFT(Educator!A184, 3)&amp;"-"&amp;IF(ISNUMBER(Educator!D184),"G"&amp;Educator!D184,Educator!D184)&amp;"-"&amp;"2027"</f>
        <v>CID-FLH----2027</v>
      </c>
      <c r="B179" s="49" t="e" cm="1">
        <f t="array" ref="B179">Educator!B184&amp;" "&amp;_xlfn.IFS(AND(ISNUMBER(Educator!D184),Educator!D184&lt;&gt;9),"Grade "&amp;Educator!D184,Educator!D184=9,"Grade 9-12",ISTEXT(Educator!D184),Educator!D184)&amp;" "&amp;"Florida"&amp;" "&amp;"26-27"</f>
        <v>#N/A</v>
      </c>
      <c r="C179" s="49" t="e">
        <f t="shared" si="3"/>
        <v>#N/A</v>
      </c>
      <c r="E179" s="51" t="s">
        <v>102</v>
      </c>
      <c r="F179" s="49" t="b">
        <f>IF(Educator!B184&gt;0,"active")</f>
        <v>0</v>
      </c>
      <c r="J179" s="49" t="str">
        <f>"BP-"&amp;"TSWFL-"&amp;IF(ISNUMBER(Educator!D184),""&amp;Educator!D184,Educator!D184)&amp;"-"&amp;"2027"</f>
        <v>BP-TSWFL--2027</v>
      </c>
    </row>
    <row r="180" spans="1:10" x14ac:dyDescent="0.2">
      <c r="A1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","#",3))+1,1)&amp;"-"&amp;LEFT(Educator!B185, 3)&amp;"-"&amp;LEFT(Educator!A185, 3)&amp;"-"&amp;IF(ISNUMBER(Educator!D185),"G"&amp;Educator!D185,Educator!D185)&amp;"-"&amp;"2027"</f>
        <v>CID-FLH----2027</v>
      </c>
      <c r="B180" s="49" t="e" cm="1">
        <f t="array" ref="B180">Educator!B185&amp;" "&amp;_xlfn.IFS(AND(ISNUMBER(Educator!D185),Educator!D185&lt;&gt;9),"Grade "&amp;Educator!D185,Educator!D185=9,"Grade 9-12",ISTEXT(Educator!D185),Educator!D185)&amp;" "&amp;"Florida"&amp;" "&amp;"26-27"</f>
        <v>#N/A</v>
      </c>
      <c r="C180" s="49" t="e">
        <f t="shared" si="3"/>
        <v>#N/A</v>
      </c>
      <c r="E180" s="51" t="s">
        <v>102</v>
      </c>
      <c r="F180" s="49" t="b">
        <f>IF(Educator!B185&gt;0,"active")</f>
        <v>0</v>
      </c>
      <c r="J180" s="49" t="str">
        <f>"BP-"&amp;"TSWFL-"&amp;IF(ISNUMBER(Educator!D185),""&amp;Educator!D185,Educator!D185)&amp;"-"&amp;"2027"</f>
        <v>BP-TSWFL--2027</v>
      </c>
    </row>
    <row r="181" spans="1:10" x14ac:dyDescent="0.2">
      <c r="A1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","#",3))+1,1)&amp;"-"&amp;LEFT(Educator!B186, 3)&amp;"-"&amp;LEFT(Educator!A186, 3)&amp;"-"&amp;IF(ISNUMBER(Educator!D186),"G"&amp;Educator!D186,Educator!D186)&amp;"-"&amp;"2027"</f>
        <v>CID-FLH----2027</v>
      </c>
      <c r="B181" s="49" t="e" cm="1">
        <f t="array" ref="B181">Educator!B186&amp;" "&amp;_xlfn.IFS(AND(ISNUMBER(Educator!D186),Educator!D186&lt;&gt;9),"Grade "&amp;Educator!D186,Educator!D186=9,"Grade 9-12",ISTEXT(Educator!D186),Educator!D186)&amp;" "&amp;"Florida"&amp;" "&amp;"26-27"</f>
        <v>#N/A</v>
      </c>
      <c r="C181" s="49" t="e">
        <f t="shared" si="3"/>
        <v>#N/A</v>
      </c>
      <c r="E181" s="51" t="s">
        <v>102</v>
      </c>
      <c r="F181" s="49" t="b">
        <f>IF(Educator!B186&gt;0,"active")</f>
        <v>0</v>
      </c>
      <c r="J181" s="49" t="str">
        <f>"BP-"&amp;"TSWFL-"&amp;IF(ISNUMBER(Educator!D186),""&amp;Educator!D186,Educator!D186)&amp;"-"&amp;"2027"</f>
        <v>BP-TSWFL--2027</v>
      </c>
    </row>
    <row r="182" spans="1:10" x14ac:dyDescent="0.2">
      <c r="A1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","#",3))+1,1)&amp;"-"&amp;LEFT(Educator!B187, 3)&amp;"-"&amp;LEFT(Educator!A187, 3)&amp;"-"&amp;IF(ISNUMBER(Educator!D187),"G"&amp;Educator!D187,Educator!D187)&amp;"-"&amp;"2027"</f>
        <v>CID-FLH----2027</v>
      </c>
      <c r="B182" s="49" t="e" cm="1">
        <f t="array" ref="B182">Educator!B187&amp;" "&amp;_xlfn.IFS(AND(ISNUMBER(Educator!D187),Educator!D187&lt;&gt;9),"Grade "&amp;Educator!D187,Educator!D187=9,"Grade 9-12",ISTEXT(Educator!D187),Educator!D187)&amp;" "&amp;"Florida"&amp;" "&amp;"26-27"</f>
        <v>#N/A</v>
      </c>
      <c r="C182" s="49" t="e">
        <f t="shared" si="3"/>
        <v>#N/A</v>
      </c>
      <c r="E182" s="51" t="s">
        <v>102</v>
      </c>
      <c r="F182" s="49" t="b">
        <f>IF(Educator!B187&gt;0,"active")</f>
        <v>0</v>
      </c>
      <c r="J182" s="49" t="str">
        <f>"BP-"&amp;"TSWFL-"&amp;IF(ISNUMBER(Educator!D187),""&amp;Educator!D187,Educator!D187)&amp;"-"&amp;"2027"</f>
        <v>BP-TSWFL--2027</v>
      </c>
    </row>
    <row r="183" spans="1:10" x14ac:dyDescent="0.2">
      <c r="A1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","#",3))+1,1)&amp;"-"&amp;LEFT(Educator!B188, 3)&amp;"-"&amp;LEFT(Educator!A188, 3)&amp;"-"&amp;IF(ISNUMBER(Educator!D188),"G"&amp;Educator!D188,Educator!D188)&amp;"-"&amp;"2027"</f>
        <v>CID-FLH----2027</v>
      </c>
      <c r="B183" s="49" t="e" cm="1">
        <f t="array" ref="B183">Educator!B188&amp;" "&amp;_xlfn.IFS(AND(ISNUMBER(Educator!D188),Educator!D188&lt;&gt;9),"Grade "&amp;Educator!D188,Educator!D188=9,"Grade 9-12",ISTEXT(Educator!D188),Educator!D188)&amp;" "&amp;"Florida"&amp;" "&amp;"26-27"</f>
        <v>#N/A</v>
      </c>
      <c r="C183" s="49" t="e">
        <f t="shared" si="3"/>
        <v>#N/A</v>
      </c>
      <c r="E183" s="51" t="s">
        <v>102</v>
      </c>
      <c r="F183" s="49" t="b">
        <f>IF(Educator!B188&gt;0,"active")</f>
        <v>0</v>
      </c>
      <c r="J183" s="49" t="str">
        <f>"BP-"&amp;"TSWFL-"&amp;IF(ISNUMBER(Educator!D188),""&amp;Educator!D188,Educator!D188)&amp;"-"&amp;"2027"</f>
        <v>BP-TSWFL--2027</v>
      </c>
    </row>
    <row r="184" spans="1:10" x14ac:dyDescent="0.2">
      <c r="A1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","#",3))+1,1)&amp;"-"&amp;LEFT(Educator!B189, 3)&amp;"-"&amp;LEFT(Educator!A189, 3)&amp;"-"&amp;IF(ISNUMBER(Educator!D189),"G"&amp;Educator!D189,Educator!D189)&amp;"-"&amp;"2027"</f>
        <v>CID-FLH----2027</v>
      </c>
      <c r="B184" s="49" t="e" cm="1">
        <f t="array" ref="B184">Educator!B189&amp;" "&amp;_xlfn.IFS(AND(ISNUMBER(Educator!D189),Educator!D189&lt;&gt;9),"Grade "&amp;Educator!D189,Educator!D189=9,"Grade 9-12",ISTEXT(Educator!D189),Educator!D189)&amp;" "&amp;"Florida"&amp;" "&amp;"26-27"</f>
        <v>#N/A</v>
      </c>
      <c r="C184" s="49" t="e">
        <f t="shared" si="3"/>
        <v>#N/A</v>
      </c>
      <c r="E184" s="51" t="s">
        <v>102</v>
      </c>
      <c r="F184" s="49" t="b">
        <f>IF(Educator!B189&gt;0,"active")</f>
        <v>0</v>
      </c>
      <c r="J184" s="49" t="str">
        <f>"BP-"&amp;"TSWFL-"&amp;IF(ISNUMBER(Educator!D189),""&amp;Educator!D189,Educator!D189)&amp;"-"&amp;"2027"</f>
        <v>BP-TSWFL--2027</v>
      </c>
    </row>
    <row r="185" spans="1:10" x14ac:dyDescent="0.2">
      <c r="A1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","#",3))+1,1)&amp;"-"&amp;LEFT(Educator!B190, 3)&amp;"-"&amp;LEFT(Educator!A190, 3)&amp;"-"&amp;IF(ISNUMBER(Educator!D190),"G"&amp;Educator!D190,Educator!D190)&amp;"-"&amp;"2027"</f>
        <v>CID-FLH----2027</v>
      </c>
      <c r="B185" s="49" t="e" cm="1">
        <f t="array" ref="B185">Educator!B190&amp;" "&amp;_xlfn.IFS(AND(ISNUMBER(Educator!D190),Educator!D190&lt;&gt;9),"Grade "&amp;Educator!D190,Educator!D190=9,"Grade 9-12",ISTEXT(Educator!D190),Educator!D190)&amp;" "&amp;"Florida"&amp;" "&amp;"26-27"</f>
        <v>#N/A</v>
      </c>
      <c r="C185" s="49" t="e">
        <f t="shared" si="3"/>
        <v>#N/A</v>
      </c>
      <c r="E185" s="51" t="s">
        <v>102</v>
      </c>
      <c r="F185" s="49" t="b">
        <f>IF(Educator!B190&gt;0,"active")</f>
        <v>0</v>
      </c>
      <c r="J185" s="49" t="str">
        <f>"BP-"&amp;"TSWFL-"&amp;IF(ISNUMBER(Educator!D190),""&amp;Educator!D190,Educator!D190)&amp;"-"&amp;"2027"</f>
        <v>BP-TSWFL--2027</v>
      </c>
    </row>
    <row r="186" spans="1:10" x14ac:dyDescent="0.2">
      <c r="A1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","#",3))+1,1)&amp;"-"&amp;LEFT(Educator!B191, 3)&amp;"-"&amp;LEFT(Educator!A191, 3)&amp;"-"&amp;IF(ISNUMBER(Educator!D191),"G"&amp;Educator!D191,Educator!D191)&amp;"-"&amp;"2027"</f>
        <v>CID-FLH----2027</v>
      </c>
      <c r="B186" s="49" t="e" cm="1">
        <f t="array" ref="B186">Educator!B191&amp;" "&amp;_xlfn.IFS(AND(ISNUMBER(Educator!D191),Educator!D191&lt;&gt;9),"Grade "&amp;Educator!D191,Educator!D191=9,"Grade 9-12",ISTEXT(Educator!D191),Educator!D191)&amp;" "&amp;"Florida"&amp;" "&amp;"26-27"</f>
        <v>#N/A</v>
      </c>
      <c r="C186" s="49" t="e">
        <f t="shared" si="3"/>
        <v>#N/A</v>
      </c>
      <c r="E186" s="51" t="s">
        <v>102</v>
      </c>
      <c r="F186" s="49" t="b">
        <f>IF(Educator!B191&gt;0,"active")</f>
        <v>0</v>
      </c>
      <c r="J186" s="49" t="str">
        <f>"BP-"&amp;"TSWFL-"&amp;IF(ISNUMBER(Educator!D191),""&amp;Educator!D191,Educator!D191)&amp;"-"&amp;"2027"</f>
        <v>BP-TSWFL--2027</v>
      </c>
    </row>
    <row r="187" spans="1:10" x14ac:dyDescent="0.2">
      <c r="A1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","#",3))+1,1)&amp;"-"&amp;LEFT(Educator!B192, 3)&amp;"-"&amp;LEFT(Educator!A192, 3)&amp;"-"&amp;IF(ISNUMBER(Educator!D192),"G"&amp;Educator!D192,Educator!D192)&amp;"-"&amp;"2027"</f>
        <v>CID-FLH----2027</v>
      </c>
      <c r="B187" s="49" t="e" cm="1">
        <f t="array" ref="B187">Educator!B192&amp;" "&amp;_xlfn.IFS(AND(ISNUMBER(Educator!D192),Educator!D192&lt;&gt;9),"Grade "&amp;Educator!D192,Educator!D192=9,"Grade 9-12",ISTEXT(Educator!D192),Educator!D192)&amp;" "&amp;"Florida"&amp;" "&amp;"26-27"</f>
        <v>#N/A</v>
      </c>
      <c r="C187" s="49" t="e">
        <f t="shared" si="3"/>
        <v>#N/A</v>
      </c>
      <c r="E187" s="51" t="s">
        <v>102</v>
      </c>
      <c r="F187" s="49" t="b">
        <f>IF(Educator!B192&gt;0,"active")</f>
        <v>0</v>
      </c>
      <c r="J187" s="49" t="str">
        <f>"BP-"&amp;"TSWFL-"&amp;IF(ISNUMBER(Educator!D192),""&amp;Educator!D192,Educator!D192)&amp;"-"&amp;"2027"</f>
        <v>BP-TSWFL--2027</v>
      </c>
    </row>
    <row r="188" spans="1:10" x14ac:dyDescent="0.2">
      <c r="A1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","#",3))+1,1)&amp;"-"&amp;LEFT(Educator!B193, 3)&amp;"-"&amp;LEFT(Educator!A193, 3)&amp;"-"&amp;IF(ISNUMBER(Educator!D193),"G"&amp;Educator!D193,Educator!D193)&amp;"-"&amp;"2027"</f>
        <v>CID-FLH----2027</v>
      </c>
      <c r="B188" s="49" t="e" cm="1">
        <f t="array" ref="B188">Educator!B193&amp;" "&amp;_xlfn.IFS(AND(ISNUMBER(Educator!D193),Educator!D193&lt;&gt;9),"Grade "&amp;Educator!D193,Educator!D193=9,"Grade 9-12",ISTEXT(Educator!D193),Educator!D193)&amp;" "&amp;"Florida"&amp;" "&amp;"26-27"</f>
        <v>#N/A</v>
      </c>
      <c r="C188" s="49" t="e">
        <f t="shared" si="3"/>
        <v>#N/A</v>
      </c>
      <c r="E188" s="51" t="s">
        <v>102</v>
      </c>
      <c r="F188" s="49" t="b">
        <f>IF(Educator!B193&gt;0,"active")</f>
        <v>0</v>
      </c>
      <c r="J188" s="49" t="str">
        <f>"BP-"&amp;"TSWFL-"&amp;IF(ISNUMBER(Educator!D193),""&amp;Educator!D193,Educator!D193)&amp;"-"&amp;"2027"</f>
        <v>BP-TSWFL--2027</v>
      </c>
    </row>
    <row r="189" spans="1:10" x14ac:dyDescent="0.2">
      <c r="A1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","#",3))+1,1)&amp;"-"&amp;LEFT(Educator!B194, 3)&amp;"-"&amp;LEFT(Educator!A194, 3)&amp;"-"&amp;IF(ISNUMBER(Educator!D194),"G"&amp;Educator!D194,Educator!D194)&amp;"-"&amp;"2027"</f>
        <v>CID-FLH----2027</v>
      </c>
      <c r="B189" s="49" t="e" cm="1">
        <f t="array" ref="B189">Educator!B194&amp;" "&amp;_xlfn.IFS(AND(ISNUMBER(Educator!D194),Educator!D194&lt;&gt;9),"Grade "&amp;Educator!D194,Educator!D194=9,"Grade 9-12",ISTEXT(Educator!D194),Educator!D194)&amp;" "&amp;"Florida"&amp;" "&amp;"26-27"</f>
        <v>#N/A</v>
      </c>
      <c r="C189" s="49" t="e">
        <f t="shared" si="3"/>
        <v>#N/A</v>
      </c>
      <c r="E189" s="51" t="s">
        <v>102</v>
      </c>
      <c r="F189" s="49" t="b">
        <f>IF(Educator!B194&gt;0,"active")</f>
        <v>0</v>
      </c>
      <c r="J189" s="49" t="str">
        <f>"BP-"&amp;"TSWFL-"&amp;IF(ISNUMBER(Educator!D194),""&amp;Educator!D194,Educator!D194)&amp;"-"&amp;"2027"</f>
        <v>BP-TSWFL--2027</v>
      </c>
    </row>
    <row r="190" spans="1:10" x14ac:dyDescent="0.2">
      <c r="A1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","#",3))+1,1)&amp;"-"&amp;LEFT(Educator!B195, 3)&amp;"-"&amp;LEFT(Educator!A195, 3)&amp;"-"&amp;IF(ISNUMBER(Educator!D195),"G"&amp;Educator!D195,Educator!D195)&amp;"-"&amp;"2027"</f>
        <v>CID-FLH----2027</v>
      </c>
      <c r="B190" s="49" t="e" cm="1">
        <f t="array" ref="B190">Educator!B195&amp;" "&amp;_xlfn.IFS(AND(ISNUMBER(Educator!D195),Educator!D195&lt;&gt;9),"Grade "&amp;Educator!D195,Educator!D195=9,"Grade 9-12",ISTEXT(Educator!D195),Educator!D195)&amp;" "&amp;"Florida"&amp;" "&amp;"26-27"</f>
        <v>#N/A</v>
      </c>
      <c r="C190" s="49" t="e">
        <f t="shared" si="3"/>
        <v>#N/A</v>
      </c>
      <c r="E190" s="51" t="s">
        <v>102</v>
      </c>
      <c r="F190" s="49" t="b">
        <f>IF(Educator!B195&gt;0,"active")</f>
        <v>0</v>
      </c>
      <c r="J190" s="49" t="str">
        <f>"BP-"&amp;"TSWFL-"&amp;IF(ISNUMBER(Educator!D195),""&amp;Educator!D195,Educator!D195)&amp;"-"&amp;"2027"</f>
        <v>BP-TSWFL--2027</v>
      </c>
    </row>
    <row r="191" spans="1:10" x14ac:dyDescent="0.2">
      <c r="A1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","#",3))+1,1)&amp;"-"&amp;LEFT(Educator!B196, 3)&amp;"-"&amp;LEFT(Educator!A196, 3)&amp;"-"&amp;IF(ISNUMBER(Educator!D196),"G"&amp;Educator!D196,Educator!D196)&amp;"-"&amp;"2027"</f>
        <v>CID-FLH----2027</v>
      </c>
      <c r="B191" s="49" t="e" cm="1">
        <f t="array" ref="B191">Educator!B196&amp;" "&amp;_xlfn.IFS(AND(ISNUMBER(Educator!D196),Educator!D196&lt;&gt;9),"Grade "&amp;Educator!D196,Educator!D196=9,"Grade 9-12",ISTEXT(Educator!D196),Educator!D196)&amp;" "&amp;"Florida"&amp;" "&amp;"26-27"</f>
        <v>#N/A</v>
      </c>
      <c r="C191" s="49" t="e">
        <f t="shared" si="3"/>
        <v>#N/A</v>
      </c>
      <c r="E191" s="51" t="s">
        <v>102</v>
      </c>
      <c r="F191" s="49" t="b">
        <f>IF(Educator!B196&gt;0,"active")</f>
        <v>0</v>
      </c>
      <c r="J191" s="49" t="str">
        <f>"BP-"&amp;"TSWFL-"&amp;IF(ISNUMBER(Educator!D196),""&amp;Educator!D196,Educator!D196)&amp;"-"&amp;"2027"</f>
        <v>BP-TSWFL--2027</v>
      </c>
    </row>
    <row r="192" spans="1:10" x14ac:dyDescent="0.2">
      <c r="A1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","#",3))+1,1)&amp;"-"&amp;LEFT(Educator!B197, 3)&amp;"-"&amp;LEFT(Educator!A197, 3)&amp;"-"&amp;IF(ISNUMBER(Educator!D197),"G"&amp;Educator!D197,Educator!D197)&amp;"-"&amp;"2027"</f>
        <v>CID-FLH----2027</v>
      </c>
      <c r="B192" s="49" t="e" cm="1">
        <f t="array" ref="B192">Educator!B197&amp;" "&amp;_xlfn.IFS(AND(ISNUMBER(Educator!D197),Educator!D197&lt;&gt;9),"Grade "&amp;Educator!D197,Educator!D197=9,"Grade 9-12",ISTEXT(Educator!D197),Educator!D197)&amp;" "&amp;"Florida"&amp;" "&amp;"26-27"</f>
        <v>#N/A</v>
      </c>
      <c r="C192" s="49" t="e">
        <f t="shared" si="3"/>
        <v>#N/A</v>
      </c>
      <c r="E192" s="51" t="s">
        <v>102</v>
      </c>
      <c r="F192" s="49" t="b">
        <f>IF(Educator!B197&gt;0,"active")</f>
        <v>0</v>
      </c>
      <c r="J192" s="49" t="str">
        <f>"BP-"&amp;"TSWFL-"&amp;IF(ISNUMBER(Educator!D197),""&amp;Educator!D197,Educator!D197)&amp;"-"&amp;"2027"</f>
        <v>BP-TSWFL--2027</v>
      </c>
    </row>
    <row r="193" spans="1:10" x14ac:dyDescent="0.2">
      <c r="A1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","#",3))+1,1)&amp;"-"&amp;LEFT(Educator!B198, 3)&amp;"-"&amp;LEFT(Educator!A198, 3)&amp;"-"&amp;IF(ISNUMBER(Educator!D198),"G"&amp;Educator!D198,Educator!D198)&amp;"-"&amp;"2027"</f>
        <v>CID-FLH----2027</v>
      </c>
      <c r="B193" s="49" t="e" cm="1">
        <f t="array" ref="B193">Educator!B198&amp;" "&amp;_xlfn.IFS(AND(ISNUMBER(Educator!D198),Educator!D198&lt;&gt;9),"Grade "&amp;Educator!D198,Educator!D198=9,"Grade 9-12",ISTEXT(Educator!D198),Educator!D198)&amp;" "&amp;"Florida"&amp;" "&amp;"26-27"</f>
        <v>#N/A</v>
      </c>
      <c r="C193" s="49" t="e">
        <f t="shared" si="3"/>
        <v>#N/A</v>
      </c>
      <c r="E193" s="51" t="s">
        <v>102</v>
      </c>
      <c r="F193" s="49" t="b">
        <f>IF(Educator!B198&gt;0,"active")</f>
        <v>0</v>
      </c>
      <c r="J193" s="49" t="str">
        <f>"BP-"&amp;"TSWFL-"&amp;IF(ISNUMBER(Educator!D198),""&amp;Educator!D198,Educator!D198)&amp;"-"&amp;"2027"</f>
        <v>BP-TSWFL--2027</v>
      </c>
    </row>
    <row r="194" spans="1:10" x14ac:dyDescent="0.2">
      <c r="A1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","#",3))+1,1)&amp;"-"&amp;LEFT(Educator!B199, 3)&amp;"-"&amp;LEFT(Educator!A199, 3)&amp;"-"&amp;IF(ISNUMBER(Educator!D199),"G"&amp;Educator!D199,Educator!D199)&amp;"-"&amp;"2027"</f>
        <v>CID-FLH----2027</v>
      </c>
      <c r="B194" s="49" t="e" cm="1">
        <f t="array" ref="B194">Educator!B199&amp;" "&amp;_xlfn.IFS(AND(ISNUMBER(Educator!D199),Educator!D199&lt;&gt;9),"Grade "&amp;Educator!D199,Educator!D199=9,"Grade 9-12",ISTEXT(Educator!D199),Educator!D199)&amp;" "&amp;"Florida"&amp;" "&amp;"26-27"</f>
        <v>#N/A</v>
      </c>
      <c r="C194" s="49" t="e">
        <f t="shared" si="3"/>
        <v>#N/A</v>
      </c>
      <c r="E194" s="51" t="s">
        <v>102</v>
      </c>
      <c r="F194" s="49" t="b">
        <f>IF(Educator!B199&gt;0,"active")</f>
        <v>0</v>
      </c>
      <c r="J194" s="49" t="str">
        <f>"BP-"&amp;"TSWFL-"&amp;IF(ISNUMBER(Educator!D199),""&amp;Educator!D199,Educator!D199)&amp;"-"&amp;"2027"</f>
        <v>BP-TSWFL--2027</v>
      </c>
    </row>
    <row r="195" spans="1:10" x14ac:dyDescent="0.2">
      <c r="A1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","#",3))+1,1)&amp;"-"&amp;LEFT(Educator!B200, 3)&amp;"-"&amp;LEFT(Educator!A200, 3)&amp;"-"&amp;IF(ISNUMBER(Educator!D200),"G"&amp;Educator!D200,Educator!D200)&amp;"-"&amp;"2027"</f>
        <v>CID-FLH----2027</v>
      </c>
      <c r="B195" s="49" t="e" cm="1">
        <f t="array" ref="B195">Educator!B200&amp;" "&amp;_xlfn.IFS(AND(ISNUMBER(Educator!D200),Educator!D200&lt;&gt;9),"Grade "&amp;Educator!D200,Educator!D200=9,"Grade 9-12",ISTEXT(Educator!D200),Educator!D200)&amp;" "&amp;"Florida"&amp;" "&amp;"26-27"</f>
        <v>#N/A</v>
      </c>
      <c r="C195" s="49" t="e">
        <f t="shared" si="3"/>
        <v>#N/A</v>
      </c>
      <c r="E195" s="51" t="s">
        <v>102</v>
      </c>
      <c r="F195" s="49" t="b">
        <f>IF(Educator!B200&gt;0,"active")</f>
        <v>0</v>
      </c>
      <c r="J195" s="49" t="str">
        <f>"BP-"&amp;"TSWFL-"&amp;IF(ISNUMBER(Educator!D200),""&amp;Educator!D200,Educator!D200)&amp;"-"&amp;"2027"</f>
        <v>BP-TSWFL--2027</v>
      </c>
    </row>
    <row r="196" spans="1:10" x14ac:dyDescent="0.2">
      <c r="A1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","#",3))+1,1)&amp;"-"&amp;LEFT(Educator!B201, 3)&amp;"-"&amp;LEFT(Educator!A201, 3)&amp;"-"&amp;IF(ISNUMBER(Educator!D201),"G"&amp;Educator!D201,Educator!D201)&amp;"-"&amp;"2027"</f>
        <v>CID-FLH----2027</v>
      </c>
      <c r="B196" s="49" t="e" cm="1">
        <f t="array" ref="B196">Educator!B201&amp;" "&amp;_xlfn.IFS(AND(ISNUMBER(Educator!D201),Educator!D201&lt;&gt;9),"Grade "&amp;Educator!D201,Educator!D201=9,"Grade 9-12",ISTEXT(Educator!D201),Educator!D201)&amp;" "&amp;"Florida"&amp;" "&amp;"26-27"</f>
        <v>#N/A</v>
      </c>
      <c r="C196" s="49" t="e">
        <f t="shared" si="3"/>
        <v>#N/A</v>
      </c>
      <c r="E196" s="51" t="s">
        <v>102</v>
      </c>
      <c r="F196" s="49" t="b">
        <f>IF(Educator!B201&gt;0,"active")</f>
        <v>0</v>
      </c>
      <c r="J196" s="49" t="str">
        <f>"BP-"&amp;"TSWFL-"&amp;IF(ISNUMBER(Educator!D201),""&amp;Educator!D201,Educator!D201)&amp;"-"&amp;"2027"</f>
        <v>BP-TSWFL--2027</v>
      </c>
    </row>
    <row r="197" spans="1:10" x14ac:dyDescent="0.2">
      <c r="A1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","#",3))+1,1)&amp;"-"&amp;LEFT(Educator!B202, 3)&amp;"-"&amp;LEFT(Educator!A202, 3)&amp;"-"&amp;IF(ISNUMBER(Educator!D202),"G"&amp;Educator!D202,Educator!D202)&amp;"-"&amp;"2027"</f>
        <v>CID-FLH----2027</v>
      </c>
      <c r="B197" s="49" t="e" cm="1">
        <f t="array" ref="B197">Educator!B202&amp;" "&amp;_xlfn.IFS(AND(ISNUMBER(Educator!D202),Educator!D202&lt;&gt;9),"Grade "&amp;Educator!D202,Educator!D202=9,"Grade 9-12",ISTEXT(Educator!D202),Educator!D202)&amp;" "&amp;"Florida"&amp;" "&amp;"26-27"</f>
        <v>#N/A</v>
      </c>
      <c r="C197" s="49" t="e">
        <f t="shared" si="3"/>
        <v>#N/A</v>
      </c>
      <c r="E197" s="51" t="s">
        <v>102</v>
      </c>
      <c r="F197" s="49" t="b">
        <f>IF(Educator!B202&gt;0,"active")</f>
        <v>0</v>
      </c>
      <c r="J197" s="49" t="str">
        <f>"BP-"&amp;"TSWFL-"&amp;IF(ISNUMBER(Educator!D202),""&amp;Educator!D202,Educator!D202)&amp;"-"&amp;"2027"</f>
        <v>BP-TSWFL--2027</v>
      </c>
    </row>
    <row r="198" spans="1:10" x14ac:dyDescent="0.2">
      <c r="A1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","#",3))+1,1)&amp;"-"&amp;LEFT(Educator!B203, 3)&amp;"-"&amp;LEFT(Educator!A203, 3)&amp;"-"&amp;IF(ISNUMBER(Educator!D203),"G"&amp;Educator!D203,Educator!D203)&amp;"-"&amp;"2027"</f>
        <v>CID-FLH----2027</v>
      </c>
      <c r="B198" s="49" t="e" cm="1">
        <f t="array" ref="B198">Educator!B203&amp;" "&amp;_xlfn.IFS(AND(ISNUMBER(Educator!D203),Educator!D203&lt;&gt;9),"Grade "&amp;Educator!D203,Educator!D203=9,"Grade 9-12",ISTEXT(Educator!D203),Educator!D203)&amp;" "&amp;"Florida"&amp;" "&amp;"26-27"</f>
        <v>#N/A</v>
      </c>
      <c r="C198" s="49" t="e">
        <f t="shared" si="3"/>
        <v>#N/A</v>
      </c>
      <c r="E198" s="51" t="s">
        <v>102</v>
      </c>
      <c r="F198" s="49" t="b">
        <f>IF(Educator!B203&gt;0,"active")</f>
        <v>0</v>
      </c>
      <c r="J198" s="49" t="str">
        <f>"BP-"&amp;"TSWFL-"&amp;IF(ISNUMBER(Educator!D203),""&amp;Educator!D203,Educator!D203)&amp;"-"&amp;"2027"</f>
        <v>BP-TSWFL--2027</v>
      </c>
    </row>
    <row r="199" spans="1:10" x14ac:dyDescent="0.2">
      <c r="A1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","#",3))+1,1)&amp;"-"&amp;LEFT(Educator!B204, 3)&amp;"-"&amp;LEFT(Educator!A204, 3)&amp;"-"&amp;IF(ISNUMBER(Educator!D204),"G"&amp;Educator!D204,Educator!D204)&amp;"-"&amp;"2027"</f>
        <v>CID-FLH----2027</v>
      </c>
      <c r="B199" s="49" t="e" cm="1">
        <f t="array" ref="B199">Educator!B204&amp;" "&amp;_xlfn.IFS(AND(ISNUMBER(Educator!D204),Educator!D204&lt;&gt;9),"Grade "&amp;Educator!D204,Educator!D204=9,"Grade 9-12",ISTEXT(Educator!D204),Educator!D204)&amp;" "&amp;"Florida"&amp;" "&amp;"26-27"</f>
        <v>#N/A</v>
      </c>
      <c r="C199" s="49" t="e">
        <f t="shared" si="3"/>
        <v>#N/A</v>
      </c>
      <c r="E199" s="51" t="s">
        <v>102</v>
      </c>
      <c r="F199" s="49" t="b">
        <f>IF(Educator!B204&gt;0,"active")</f>
        <v>0</v>
      </c>
      <c r="J199" s="49" t="str">
        <f>"BP-"&amp;"TSWFL-"&amp;IF(ISNUMBER(Educator!D204),""&amp;Educator!D204,Educator!D204)&amp;"-"&amp;"2027"</f>
        <v>BP-TSWFL--2027</v>
      </c>
    </row>
    <row r="200" spans="1:10" x14ac:dyDescent="0.2">
      <c r="A2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","#",3))+1,1)&amp;"-"&amp;LEFT(Educator!B205, 3)&amp;"-"&amp;LEFT(Educator!A205, 3)&amp;"-"&amp;IF(ISNUMBER(Educator!D205),"G"&amp;Educator!D205,Educator!D205)&amp;"-"&amp;"2027"</f>
        <v>CID-FLH----2027</v>
      </c>
      <c r="B200" s="49" t="e" cm="1">
        <f t="array" ref="B200">Educator!B205&amp;" "&amp;_xlfn.IFS(AND(ISNUMBER(Educator!D205),Educator!D205&lt;&gt;9),"Grade "&amp;Educator!D205,Educator!D205=9,"Grade 9-12",ISTEXT(Educator!D205),Educator!D205)&amp;" "&amp;"Florida"&amp;" "&amp;"26-27"</f>
        <v>#N/A</v>
      </c>
      <c r="C200" s="49" t="e">
        <f t="shared" si="3"/>
        <v>#N/A</v>
      </c>
      <c r="E200" s="51" t="s">
        <v>102</v>
      </c>
      <c r="F200" s="49" t="b">
        <f>IF(Educator!B205&gt;0,"active")</f>
        <v>0</v>
      </c>
      <c r="J200" s="49" t="str">
        <f>"BP-"&amp;"TSWFL-"&amp;IF(ISNUMBER(Educator!D205),""&amp;Educator!D205,Educator!D205)&amp;"-"&amp;"2027"</f>
        <v>BP-TSWFL--2027</v>
      </c>
    </row>
    <row r="201" spans="1:10" x14ac:dyDescent="0.2">
      <c r="A2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","#",3))+1,1)&amp;"-"&amp;LEFT(Educator!B206, 3)&amp;"-"&amp;LEFT(Educator!A206, 3)&amp;"-"&amp;IF(ISNUMBER(Educator!D206),"G"&amp;Educator!D206,Educator!D206)&amp;"-"&amp;"2027"</f>
        <v>CID-FLH----2027</v>
      </c>
      <c r="B201" s="49" t="e" cm="1">
        <f t="array" ref="B201">Educator!B206&amp;" "&amp;_xlfn.IFS(AND(ISNUMBER(Educator!D206),Educator!D206&lt;&gt;9),"Grade "&amp;Educator!D206,Educator!D206=9,"Grade 9-12",ISTEXT(Educator!D206),Educator!D206)&amp;" "&amp;"Florida"&amp;" "&amp;"26-27"</f>
        <v>#N/A</v>
      </c>
      <c r="C201" s="49" t="e">
        <f t="shared" si="3"/>
        <v>#N/A</v>
      </c>
      <c r="E201" s="51" t="s">
        <v>102</v>
      </c>
      <c r="F201" s="49" t="b">
        <f>IF(Educator!B206&gt;0,"active")</f>
        <v>0</v>
      </c>
      <c r="J201" s="49" t="str">
        <f>"BP-"&amp;"TSWFL-"&amp;IF(ISNUMBER(Educator!D206),""&amp;Educator!D206,Educator!D206)&amp;"-"&amp;"2027"</f>
        <v>BP-TSWFL--2027</v>
      </c>
    </row>
    <row r="202" spans="1:10" x14ac:dyDescent="0.2">
      <c r="A2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","#",3))+1,1)&amp;"-"&amp;LEFT(Educator!B207, 3)&amp;"-"&amp;LEFT(Educator!A207, 3)&amp;"-"&amp;IF(ISNUMBER(Educator!D207),"G"&amp;Educator!D207,Educator!D207)&amp;"-"&amp;"2027"</f>
        <v>CID-FLH----2027</v>
      </c>
      <c r="B202" s="49" t="e" cm="1">
        <f t="array" ref="B202">Educator!B207&amp;" "&amp;_xlfn.IFS(AND(ISNUMBER(Educator!D207),Educator!D207&lt;&gt;9),"Grade "&amp;Educator!D207,Educator!D207=9,"Grade 9-12",ISTEXT(Educator!D207),Educator!D207)&amp;" "&amp;"Florida"&amp;" "&amp;"26-27"</f>
        <v>#N/A</v>
      </c>
      <c r="C202" s="49" t="e">
        <f t="shared" si="3"/>
        <v>#N/A</v>
      </c>
      <c r="E202" s="51" t="s">
        <v>102</v>
      </c>
      <c r="F202" s="49" t="b">
        <f>IF(Educator!B207&gt;0,"active")</f>
        <v>0</v>
      </c>
      <c r="J202" s="49" t="str">
        <f>"BP-"&amp;"TSWFL-"&amp;IF(ISNUMBER(Educator!D207),""&amp;Educator!D207,Educator!D207)&amp;"-"&amp;"2027"</f>
        <v>BP-TSWFL--2027</v>
      </c>
    </row>
    <row r="203" spans="1:10" x14ac:dyDescent="0.2">
      <c r="A2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","#",3))+1,1)&amp;"-"&amp;LEFT(Educator!B208, 3)&amp;"-"&amp;LEFT(Educator!A208, 3)&amp;"-"&amp;IF(ISNUMBER(Educator!D208),"G"&amp;Educator!D208,Educator!D208)&amp;"-"&amp;"2027"</f>
        <v>CID-FLH----2027</v>
      </c>
      <c r="B203" s="49" t="e" cm="1">
        <f t="array" ref="B203">Educator!B208&amp;" "&amp;_xlfn.IFS(AND(ISNUMBER(Educator!D208),Educator!D208&lt;&gt;9),"Grade "&amp;Educator!D208,Educator!D208=9,"Grade 9-12",ISTEXT(Educator!D208),Educator!D208)&amp;" "&amp;"Florida"&amp;" "&amp;"26-27"</f>
        <v>#N/A</v>
      </c>
      <c r="C203" s="49" t="e">
        <f t="shared" si="3"/>
        <v>#N/A</v>
      </c>
      <c r="E203" s="51" t="s">
        <v>102</v>
      </c>
      <c r="F203" s="49" t="b">
        <f>IF(Educator!B208&gt;0,"active")</f>
        <v>0</v>
      </c>
      <c r="J203" s="49" t="str">
        <f>"BP-"&amp;"TSWFL-"&amp;IF(ISNUMBER(Educator!D208),""&amp;Educator!D208,Educator!D208)&amp;"-"&amp;"2027"</f>
        <v>BP-TSWFL--2027</v>
      </c>
    </row>
    <row r="204" spans="1:10" x14ac:dyDescent="0.2">
      <c r="A2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","#",3))+1,1)&amp;"-"&amp;LEFT(Educator!B209, 3)&amp;"-"&amp;LEFT(Educator!A209, 3)&amp;"-"&amp;IF(ISNUMBER(Educator!D209),"G"&amp;Educator!D209,Educator!D209)&amp;"-"&amp;"2027"</f>
        <v>CID-FLH----2027</v>
      </c>
      <c r="B204" s="49" t="e" cm="1">
        <f t="array" ref="B204">Educator!B209&amp;" "&amp;_xlfn.IFS(AND(ISNUMBER(Educator!D209),Educator!D209&lt;&gt;9),"Grade "&amp;Educator!D209,Educator!D209=9,"Grade 9-12",ISTEXT(Educator!D209),Educator!D209)&amp;" "&amp;"Florida"&amp;" "&amp;"26-27"</f>
        <v>#N/A</v>
      </c>
      <c r="C204" s="49" t="e">
        <f t="shared" si="3"/>
        <v>#N/A</v>
      </c>
      <c r="E204" s="51" t="s">
        <v>102</v>
      </c>
      <c r="F204" s="49" t="b">
        <f>IF(Educator!B209&gt;0,"active")</f>
        <v>0</v>
      </c>
      <c r="J204" s="49" t="str">
        <f>"BP-"&amp;"TSWFL-"&amp;IF(ISNUMBER(Educator!D209),""&amp;Educator!D209,Educator!D209)&amp;"-"&amp;"2027"</f>
        <v>BP-TSWFL--2027</v>
      </c>
    </row>
    <row r="205" spans="1:10" x14ac:dyDescent="0.2">
      <c r="A2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","#",3))+1,1)&amp;"-"&amp;LEFT(Educator!B210, 3)&amp;"-"&amp;LEFT(Educator!A210, 3)&amp;"-"&amp;IF(ISNUMBER(Educator!D210),"G"&amp;Educator!D210,Educator!D210)&amp;"-"&amp;"2027"</f>
        <v>CID-FLH----2027</v>
      </c>
      <c r="B205" s="49" t="e" cm="1">
        <f t="array" ref="B205">Educator!B210&amp;" "&amp;_xlfn.IFS(AND(ISNUMBER(Educator!D210),Educator!D210&lt;&gt;9),"Grade "&amp;Educator!D210,Educator!D210=9,"Grade 9-12",ISTEXT(Educator!D210),Educator!D210)&amp;" "&amp;"Florida"&amp;" "&amp;"26-27"</f>
        <v>#N/A</v>
      </c>
      <c r="C205" s="49" t="e">
        <f t="shared" si="3"/>
        <v>#N/A</v>
      </c>
      <c r="E205" s="51" t="s">
        <v>102</v>
      </c>
      <c r="F205" s="49" t="b">
        <f>IF(Educator!B210&gt;0,"active")</f>
        <v>0</v>
      </c>
      <c r="J205" s="49" t="str">
        <f>"BP-"&amp;"TSWFL-"&amp;IF(ISNUMBER(Educator!D210),""&amp;Educator!D210,Educator!D210)&amp;"-"&amp;"2027"</f>
        <v>BP-TSWFL--2027</v>
      </c>
    </row>
    <row r="206" spans="1:10" x14ac:dyDescent="0.2">
      <c r="A2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","#",3))+1,1)&amp;"-"&amp;LEFT(Educator!B211, 3)&amp;"-"&amp;LEFT(Educator!A211, 3)&amp;"-"&amp;IF(ISNUMBER(Educator!D211),"G"&amp;Educator!D211,Educator!D211)&amp;"-"&amp;"2027"</f>
        <v>CID-FLH----2027</v>
      </c>
      <c r="B206" s="49" t="e" cm="1">
        <f t="array" ref="B206">Educator!B211&amp;" "&amp;_xlfn.IFS(AND(ISNUMBER(Educator!D211),Educator!D211&lt;&gt;9),"Grade "&amp;Educator!D211,Educator!D211=9,"Grade 9-12",ISTEXT(Educator!D211),Educator!D211)&amp;" "&amp;"Florida"&amp;" "&amp;"26-27"</f>
        <v>#N/A</v>
      </c>
      <c r="C206" s="49" t="e">
        <f t="shared" si="3"/>
        <v>#N/A</v>
      </c>
      <c r="E206" s="51" t="s">
        <v>102</v>
      </c>
      <c r="F206" s="49" t="b">
        <f>IF(Educator!B211&gt;0,"active")</f>
        <v>0</v>
      </c>
      <c r="J206" s="49" t="str">
        <f>"BP-"&amp;"TSWFL-"&amp;IF(ISNUMBER(Educator!D211),""&amp;Educator!D211,Educator!D211)&amp;"-"&amp;"2027"</f>
        <v>BP-TSWFL--2027</v>
      </c>
    </row>
    <row r="207" spans="1:10" x14ac:dyDescent="0.2">
      <c r="A2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","#",3))+1,1)&amp;"-"&amp;LEFT(Educator!B212, 3)&amp;"-"&amp;LEFT(Educator!A212, 3)&amp;"-"&amp;IF(ISNUMBER(Educator!D212),"G"&amp;Educator!D212,Educator!D212)&amp;"-"&amp;"2027"</f>
        <v>CID-FLH----2027</v>
      </c>
      <c r="B207" s="49" t="e" cm="1">
        <f t="array" ref="B207">Educator!B212&amp;" "&amp;_xlfn.IFS(AND(ISNUMBER(Educator!D212),Educator!D212&lt;&gt;9),"Grade "&amp;Educator!D212,Educator!D212=9,"Grade 9-12",ISTEXT(Educator!D212),Educator!D212)&amp;" "&amp;"Florida"&amp;" "&amp;"26-27"</f>
        <v>#N/A</v>
      </c>
      <c r="C207" s="49" t="e">
        <f t="shared" si="3"/>
        <v>#N/A</v>
      </c>
      <c r="E207" s="51" t="s">
        <v>102</v>
      </c>
      <c r="F207" s="49" t="b">
        <f>IF(Educator!B212&gt;0,"active")</f>
        <v>0</v>
      </c>
      <c r="J207" s="49" t="str">
        <f>"BP-"&amp;"TSWFL-"&amp;IF(ISNUMBER(Educator!D212),""&amp;Educator!D212,Educator!D212)&amp;"-"&amp;"2027"</f>
        <v>BP-TSWFL--2027</v>
      </c>
    </row>
    <row r="208" spans="1:10" x14ac:dyDescent="0.2">
      <c r="A2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","#",3))+1,1)&amp;"-"&amp;LEFT(Educator!B213, 3)&amp;"-"&amp;LEFT(Educator!A213, 3)&amp;"-"&amp;IF(ISNUMBER(Educator!D213),"G"&amp;Educator!D213,Educator!D213)&amp;"-"&amp;"2027"</f>
        <v>CID-FLH----2027</v>
      </c>
      <c r="B208" s="49" t="e" cm="1">
        <f t="array" ref="B208">Educator!B213&amp;" "&amp;_xlfn.IFS(AND(ISNUMBER(Educator!D213),Educator!D213&lt;&gt;9),"Grade "&amp;Educator!D213,Educator!D213=9,"Grade 9-12",ISTEXT(Educator!D213),Educator!D213)&amp;" "&amp;"Florida"&amp;" "&amp;"26-27"</f>
        <v>#N/A</v>
      </c>
      <c r="C208" s="49" t="e">
        <f t="shared" si="3"/>
        <v>#N/A</v>
      </c>
      <c r="E208" s="51" t="s">
        <v>102</v>
      </c>
      <c r="F208" s="49" t="b">
        <f>IF(Educator!B213&gt;0,"active")</f>
        <v>0</v>
      </c>
      <c r="J208" s="49" t="str">
        <f>"BP-"&amp;"TSWFL-"&amp;IF(ISNUMBER(Educator!D213),""&amp;Educator!D213,Educator!D213)&amp;"-"&amp;"2027"</f>
        <v>BP-TSWFL--2027</v>
      </c>
    </row>
    <row r="209" spans="1:10" x14ac:dyDescent="0.2">
      <c r="A2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","#",3))+1,1)&amp;"-"&amp;LEFT(Educator!B214, 3)&amp;"-"&amp;LEFT(Educator!A214, 3)&amp;"-"&amp;IF(ISNUMBER(Educator!D214),"G"&amp;Educator!D214,Educator!D214)&amp;"-"&amp;"2027"</f>
        <v>CID-FLH----2027</v>
      </c>
      <c r="B209" s="49" t="e" cm="1">
        <f t="array" ref="B209">Educator!B214&amp;" "&amp;_xlfn.IFS(AND(ISNUMBER(Educator!D214),Educator!D214&lt;&gt;9),"Grade "&amp;Educator!D214,Educator!D214=9,"Grade 9-12",ISTEXT(Educator!D214),Educator!D214)&amp;" "&amp;"Florida"&amp;" "&amp;"26-27"</f>
        <v>#N/A</v>
      </c>
      <c r="C209" s="49" t="e">
        <f t="shared" si="3"/>
        <v>#N/A</v>
      </c>
      <c r="E209" s="51" t="s">
        <v>102</v>
      </c>
      <c r="F209" s="49" t="b">
        <f>IF(Educator!B214&gt;0,"active")</f>
        <v>0</v>
      </c>
      <c r="J209" s="49" t="str">
        <f>"BP-"&amp;"TSWFL-"&amp;IF(ISNUMBER(Educator!D214),""&amp;Educator!D214,Educator!D214)&amp;"-"&amp;"2027"</f>
        <v>BP-TSWFL--2027</v>
      </c>
    </row>
    <row r="210" spans="1:10" x14ac:dyDescent="0.2">
      <c r="A2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","#",3))+1,1)&amp;"-"&amp;LEFT(Educator!B215, 3)&amp;"-"&amp;LEFT(Educator!A215, 3)&amp;"-"&amp;IF(ISNUMBER(Educator!D215),"G"&amp;Educator!D215,Educator!D215)&amp;"-"&amp;"2027"</f>
        <v>CID-FLH----2027</v>
      </c>
      <c r="B210" s="49" t="e" cm="1">
        <f t="array" ref="B210">Educator!B215&amp;" "&amp;_xlfn.IFS(AND(ISNUMBER(Educator!D215),Educator!D215&lt;&gt;9),"Grade "&amp;Educator!D215,Educator!D215=9,"Grade 9-12",ISTEXT(Educator!D215),Educator!D215)&amp;" "&amp;"Florida"&amp;" "&amp;"26-27"</f>
        <v>#N/A</v>
      </c>
      <c r="C210" s="49" t="e">
        <f t="shared" ref="C210:C273" si="4">B210</f>
        <v>#N/A</v>
      </c>
      <c r="E210" s="51" t="s">
        <v>102</v>
      </c>
      <c r="F210" s="49" t="b">
        <f>IF(Educator!B215&gt;0,"active")</f>
        <v>0</v>
      </c>
      <c r="J210" s="49" t="str">
        <f>"BP-"&amp;"TSWFL-"&amp;IF(ISNUMBER(Educator!D215),""&amp;Educator!D215,Educator!D215)&amp;"-"&amp;"2027"</f>
        <v>BP-TSWFL--2027</v>
      </c>
    </row>
    <row r="211" spans="1:10" x14ac:dyDescent="0.2">
      <c r="A2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","#",3))+1,1)&amp;"-"&amp;LEFT(Educator!B216, 3)&amp;"-"&amp;LEFT(Educator!A216, 3)&amp;"-"&amp;IF(ISNUMBER(Educator!D216),"G"&amp;Educator!D216,Educator!D216)&amp;"-"&amp;"2027"</f>
        <v>CID-FLH----2027</v>
      </c>
      <c r="B211" s="49" t="e" cm="1">
        <f t="array" ref="B211">Educator!B216&amp;" "&amp;_xlfn.IFS(AND(ISNUMBER(Educator!D216),Educator!D216&lt;&gt;9),"Grade "&amp;Educator!D216,Educator!D216=9,"Grade 9-12",ISTEXT(Educator!D216),Educator!D216)&amp;" "&amp;"Florida"&amp;" "&amp;"26-27"</f>
        <v>#N/A</v>
      </c>
      <c r="C211" s="49" t="e">
        <f t="shared" si="4"/>
        <v>#N/A</v>
      </c>
      <c r="E211" s="51" t="s">
        <v>102</v>
      </c>
      <c r="F211" s="49" t="b">
        <f>IF(Educator!B216&gt;0,"active")</f>
        <v>0</v>
      </c>
      <c r="J211" s="49" t="str">
        <f>"BP-"&amp;"TSWFL-"&amp;IF(ISNUMBER(Educator!D216),""&amp;Educator!D216,Educator!D216)&amp;"-"&amp;"2027"</f>
        <v>BP-TSWFL--2027</v>
      </c>
    </row>
    <row r="212" spans="1:10" x14ac:dyDescent="0.2">
      <c r="A2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","#",3))+1,1)&amp;"-"&amp;LEFT(Educator!B217, 3)&amp;"-"&amp;LEFT(Educator!A217, 3)&amp;"-"&amp;IF(ISNUMBER(Educator!D217),"G"&amp;Educator!D217,Educator!D217)&amp;"-"&amp;"2027"</f>
        <v>CID-FLH----2027</v>
      </c>
      <c r="B212" s="49" t="e" cm="1">
        <f t="array" ref="B212">Educator!B217&amp;" "&amp;_xlfn.IFS(AND(ISNUMBER(Educator!D217),Educator!D217&lt;&gt;9),"Grade "&amp;Educator!D217,Educator!D217=9,"Grade 9-12",ISTEXT(Educator!D217),Educator!D217)&amp;" "&amp;"Florida"&amp;" "&amp;"26-27"</f>
        <v>#N/A</v>
      </c>
      <c r="C212" s="49" t="e">
        <f t="shared" si="4"/>
        <v>#N/A</v>
      </c>
      <c r="E212" s="51" t="s">
        <v>102</v>
      </c>
      <c r="F212" s="49" t="b">
        <f>IF(Educator!B217&gt;0,"active")</f>
        <v>0</v>
      </c>
      <c r="J212" s="49" t="str">
        <f>"BP-"&amp;"TSWFL-"&amp;IF(ISNUMBER(Educator!D217),""&amp;Educator!D217,Educator!D217)&amp;"-"&amp;"2027"</f>
        <v>BP-TSWFL--2027</v>
      </c>
    </row>
    <row r="213" spans="1:10" x14ac:dyDescent="0.2">
      <c r="A2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","#",3))+1,1)&amp;"-"&amp;LEFT(Educator!B218, 3)&amp;"-"&amp;LEFT(Educator!A218, 3)&amp;"-"&amp;IF(ISNUMBER(Educator!D218),"G"&amp;Educator!D218,Educator!D218)&amp;"-"&amp;"2027"</f>
        <v>CID-FLH----2027</v>
      </c>
      <c r="B213" s="49" t="e" cm="1">
        <f t="array" ref="B213">Educator!B218&amp;" "&amp;_xlfn.IFS(AND(ISNUMBER(Educator!D218),Educator!D218&lt;&gt;9),"Grade "&amp;Educator!D218,Educator!D218=9,"Grade 9-12",ISTEXT(Educator!D218),Educator!D218)&amp;" "&amp;"Florida"&amp;" "&amp;"26-27"</f>
        <v>#N/A</v>
      </c>
      <c r="C213" s="49" t="e">
        <f t="shared" si="4"/>
        <v>#N/A</v>
      </c>
      <c r="E213" s="51" t="s">
        <v>102</v>
      </c>
      <c r="F213" s="49" t="b">
        <f>IF(Educator!B218&gt;0,"active")</f>
        <v>0</v>
      </c>
      <c r="J213" s="49" t="str">
        <f>"BP-"&amp;"TSWFL-"&amp;IF(ISNUMBER(Educator!D218),""&amp;Educator!D218,Educator!D218)&amp;"-"&amp;"2027"</f>
        <v>BP-TSWFL--2027</v>
      </c>
    </row>
    <row r="214" spans="1:10" x14ac:dyDescent="0.2">
      <c r="A2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","#",3))+1,1)&amp;"-"&amp;LEFT(Educator!B219, 3)&amp;"-"&amp;LEFT(Educator!A219, 3)&amp;"-"&amp;IF(ISNUMBER(Educator!D219),"G"&amp;Educator!D219,Educator!D219)&amp;"-"&amp;"2027"</f>
        <v>CID-FLH----2027</v>
      </c>
      <c r="B214" s="49" t="e" cm="1">
        <f t="array" ref="B214">Educator!B219&amp;" "&amp;_xlfn.IFS(AND(ISNUMBER(Educator!D219),Educator!D219&lt;&gt;9),"Grade "&amp;Educator!D219,Educator!D219=9,"Grade 9-12",ISTEXT(Educator!D219),Educator!D219)&amp;" "&amp;"Florida"&amp;" "&amp;"26-27"</f>
        <v>#N/A</v>
      </c>
      <c r="C214" s="49" t="e">
        <f t="shared" si="4"/>
        <v>#N/A</v>
      </c>
      <c r="E214" s="51" t="s">
        <v>102</v>
      </c>
      <c r="F214" s="49" t="b">
        <f>IF(Educator!B219&gt;0,"active")</f>
        <v>0</v>
      </c>
      <c r="J214" s="49" t="str">
        <f>"BP-"&amp;"TSWFL-"&amp;IF(ISNUMBER(Educator!D219),""&amp;Educator!D219,Educator!D219)&amp;"-"&amp;"2027"</f>
        <v>BP-TSWFL--2027</v>
      </c>
    </row>
    <row r="215" spans="1:10" x14ac:dyDescent="0.2">
      <c r="A2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","#",3))+1,1)&amp;"-"&amp;LEFT(Educator!B220, 3)&amp;"-"&amp;LEFT(Educator!A220, 3)&amp;"-"&amp;IF(ISNUMBER(Educator!D220),"G"&amp;Educator!D220,Educator!D220)&amp;"-"&amp;"2027"</f>
        <v>CID-FLH----2027</v>
      </c>
      <c r="B215" s="49" t="e" cm="1">
        <f t="array" ref="B215">Educator!B220&amp;" "&amp;_xlfn.IFS(AND(ISNUMBER(Educator!D220),Educator!D220&lt;&gt;9),"Grade "&amp;Educator!D220,Educator!D220=9,"Grade 9-12",ISTEXT(Educator!D220),Educator!D220)&amp;" "&amp;"Florida"&amp;" "&amp;"26-27"</f>
        <v>#N/A</v>
      </c>
      <c r="C215" s="49" t="e">
        <f t="shared" si="4"/>
        <v>#N/A</v>
      </c>
      <c r="E215" s="51" t="s">
        <v>102</v>
      </c>
      <c r="F215" s="49" t="b">
        <f>IF(Educator!B220&gt;0,"active")</f>
        <v>0</v>
      </c>
      <c r="J215" s="49" t="str">
        <f>"BP-"&amp;"TSWFL-"&amp;IF(ISNUMBER(Educator!D220),""&amp;Educator!D220,Educator!D220)&amp;"-"&amp;"2027"</f>
        <v>BP-TSWFL--2027</v>
      </c>
    </row>
    <row r="216" spans="1:10" x14ac:dyDescent="0.2">
      <c r="A2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","#",3))+1,1)&amp;"-"&amp;LEFT(Educator!B221, 3)&amp;"-"&amp;LEFT(Educator!A221, 3)&amp;"-"&amp;IF(ISNUMBER(Educator!D221),"G"&amp;Educator!D221,Educator!D221)&amp;"-"&amp;"2027"</f>
        <v>CID-FLH----2027</v>
      </c>
      <c r="B216" s="49" t="e" cm="1">
        <f t="array" ref="B216">Educator!B221&amp;" "&amp;_xlfn.IFS(AND(ISNUMBER(Educator!D221),Educator!D221&lt;&gt;9),"Grade "&amp;Educator!D221,Educator!D221=9,"Grade 9-12",ISTEXT(Educator!D221),Educator!D221)&amp;" "&amp;"Florida"&amp;" "&amp;"26-27"</f>
        <v>#N/A</v>
      </c>
      <c r="C216" s="49" t="e">
        <f t="shared" si="4"/>
        <v>#N/A</v>
      </c>
      <c r="E216" s="51" t="s">
        <v>102</v>
      </c>
      <c r="F216" s="49" t="b">
        <f>IF(Educator!B221&gt;0,"active")</f>
        <v>0</v>
      </c>
      <c r="J216" s="49" t="str">
        <f>"BP-"&amp;"TSWFL-"&amp;IF(ISNUMBER(Educator!D221),""&amp;Educator!D221,Educator!D221)&amp;"-"&amp;"2027"</f>
        <v>BP-TSWFL--2027</v>
      </c>
    </row>
    <row r="217" spans="1:10" x14ac:dyDescent="0.2">
      <c r="A2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","#",3))+1,1)&amp;"-"&amp;LEFT(Educator!B222, 3)&amp;"-"&amp;LEFT(Educator!A222, 3)&amp;"-"&amp;IF(ISNUMBER(Educator!D222),"G"&amp;Educator!D222,Educator!D222)&amp;"-"&amp;"2027"</f>
        <v>CID-FLH----2027</v>
      </c>
      <c r="B217" s="49" t="e" cm="1">
        <f t="array" ref="B217">Educator!B222&amp;" "&amp;_xlfn.IFS(AND(ISNUMBER(Educator!D222),Educator!D222&lt;&gt;9),"Grade "&amp;Educator!D222,Educator!D222=9,"Grade 9-12",ISTEXT(Educator!D222),Educator!D222)&amp;" "&amp;"Florida"&amp;" "&amp;"26-27"</f>
        <v>#N/A</v>
      </c>
      <c r="C217" s="49" t="e">
        <f t="shared" si="4"/>
        <v>#N/A</v>
      </c>
      <c r="E217" s="51" t="s">
        <v>102</v>
      </c>
      <c r="F217" s="49" t="b">
        <f>IF(Educator!B222&gt;0,"active")</f>
        <v>0</v>
      </c>
      <c r="J217" s="49" t="str">
        <f>"BP-"&amp;"TSWFL-"&amp;IF(ISNUMBER(Educator!D222),""&amp;Educator!D222,Educator!D222)&amp;"-"&amp;"2027"</f>
        <v>BP-TSWFL--2027</v>
      </c>
    </row>
    <row r="218" spans="1:10" x14ac:dyDescent="0.2">
      <c r="A2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","#",3))+1,1)&amp;"-"&amp;LEFT(Educator!B223, 3)&amp;"-"&amp;LEFT(Educator!A223, 3)&amp;"-"&amp;IF(ISNUMBER(Educator!D223),"G"&amp;Educator!D223,Educator!D223)&amp;"-"&amp;"2027"</f>
        <v>CID-FLH----2027</v>
      </c>
      <c r="B218" s="49" t="e" cm="1">
        <f t="array" ref="B218">Educator!B223&amp;" "&amp;_xlfn.IFS(AND(ISNUMBER(Educator!D223),Educator!D223&lt;&gt;9),"Grade "&amp;Educator!D223,Educator!D223=9,"Grade 9-12",ISTEXT(Educator!D223),Educator!D223)&amp;" "&amp;"Florida"&amp;" "&amp;"26-27"</f>
        <v>#N/A</v>
      </c>
      <c r="C218" s="49" t="e">
        <f t="shared" si="4"/>
        <v>#N/A</v>
      </c>
      <c r="E218" s="51" t="s">
        <v>102</v>
      </c>
      <c r="F218" s="49" t="b">
        <f>IF(Educator!B223&gt;0,"active")</f>
        <v>0</v>
      </c>
      <c r="J218" s="49" t="str">
        <f>"BP-"&amp;"TSWFL-"&amp;IF(ISNUMBER(Educator!D223),""&amp;Educator!D223,Educator!D223)&amp;"-"&amp;"2027"</f>
        <v>BP-TSWFL--2027</v>
      </c>
    </row>
    <row r="219" spans="1:10" x14ac:dyDescent="0.2">
      <c r="A2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","#",3))+1,1)&amp;"-"&amp;LEFT(Educator!B224, 3)&amp;"-"&amp;LEFT(Educator!A224, 3)&amp;"-"&amp;IF(ISNUMBER(Educator!D224),"G"&amp;Educator!D224,Educator!D224)&amp;"-"&amp;"2027"</f>
        <v>CID-FLH----2027</v>
      </c>
      <c r="B219" s="49" t="e" cm="1">
        <f t="array" ref="B219">Educator!B224&amp;" "&amp;_xlfn.IFS(AND(ISNUMBER(Educator!D224),Educator!D224&lt;&gt;9),"Grade "&amp;Educator!D224,Educator!D224=9,"Grade 9-12",ISTEXT(Educator!D224),Educator!D224)&amp;" "&amp;"Florida"&amp;" "&amp;"26-27"</f>
        <v>#N/A</v>
      </c>
      <c r="C219" s="49" t="e">
        <f t="shared" si="4"/>
        <v>#N/A</v>
      </c>
      <c r="E219" s="51" t="s">
        <v>102</v>
      </c>
      <c r="F219" s="49" t="b">
        <f>IF(Educator!B224&gt;0,"active")</f>
        <v>0</v>
      </c>
      <c r="J219" s="49" t="str">
        <f>"BP-"&amp;"TSWFL-"&amp;IF(ISNUMBER(Educator!D224),""&amp;Educator!D224,Educator!D224)&amp;"-"&amp;"2027"</f>
        <v>BP-TSWFL--2027</v>
      </c>
    </row>
    <row r="220" spans="1:10" x14ac:dyDescent="0.2">
      <c r="A2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","#",3))+1,1)&amp;"-"&amp;LEFT(Educator!B225, 3)&amp;"-"&amp;LEFT(Educator!A225, 3)&amp;"-"&amp;IF(ISNUMBER(Educator!D225),"G"&amp;Educator!D225,Educator!D225)&amp;"-"&amp;"2027"</f>
        <v>CID-FLH----2027</v>
      </c>
      <c r="B220" s="49" t="e" cm="1">
        <f t="array" ref="B220">Educator!B225&amp;" "&amp;_xlfn.IFS(AND(ISNUMBER(Educator!D225),Educator!D225&lt;&gt;9),"Grade "&amp;Educator!D225,Educator!D225=9,"Grade 9-12",ISTEXT(Educator!D225),Educator!D225)&amp;" "&amp;"Florida"&amp;" "&amp;"26-27"</f>
        <v>#N/A</v>
      </c>
      <c r="C220" s="49" t="e">
        <f t="shared" si="4"/>
        <v>#N/A</v>
      </c>
      <c r="E220" s="51" t="s">
        <v>102</v>
      </c>
      <c r="F220" s="49" t="b">
        <f>IF(Educator!B225&gt;0,"active")</f>
        <v>0</v>
      </c>
      <c r="J220" s="49" t="str">
        <f>"BP-"&amp;"TSWFL-"&amp;IF(ISNUMBER(Educator!D225),""&amp;Educator!D225,Educator!D225)&amp;"-"&amp;"2027"</f>
        <v>BP-TSWFL--2027</v>
      </c>
    </row>
    <row r="221" spans="1:10" x14ac:dyDescent="0.2">
      <c r="A2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","#",3))+1,1)&amp;"-"&amp;LEFT(Educator!B226, 3)&amp;"-"&amp;LEFT(Educator!A226, 3)&amp;"-"&amp;IF(ISNUMBER(Educator!D226),"G"&amp;Educator!D226,Educator!D226)&amp;"-"&amp;"2027"</f>
        <v>CID-FLH----2027</v>
      </c>
      <c r="B221" s="49" t="e" cm="1">
        <f t="array" ref="B221">Educator!B226&amp;" "&amp;_xlfn.IFS(AND(ISNUMBER(Educator!D226),Educator!D226&lt;&gt;9),"Grade "&amp;Educator!D226,Educator!D226=9,"Grade 9-12",ISTEXT(Educator!D226),Educator!D226)&amp;" "&amp;"Florida"&amp;" "&amp;"26-27"</f>
        <v>#N/A</v>
      </c>
      <c r="C221" s="49" t="e">
        <f t="shared" si="4"/>
        <v>#N/A</v>
      </c>
      <c r="E221" s="51" t="s">
        <v>102</v>
      </c>
      <c r="F221" s="49" t="b">
        <f>IF(Educator!B226&gt;0,"active")</f>
        <v>0</v>
      </c>
      <c r="J221" s="49" t="str">
        <f>"BP-"&amp;"TSWFL-"&amp;IF(ISNUMBER(Educator!D226),""&amp;Educator!D226,Educator!D226)&amp;"-"&amp;"2027"</f>
        <v>BP-TSWFL--2027</v>
      </c>
    </row>
    <row r="222" spans="1:10" x14ac:dyDescent="0.2">
      <c r="A2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","#",3))+1,1)&amp;"-"&amp;LEFT(Educator!B227, 3)&amp;"-"&amp;LEFT(Educator!A227, 3)&amp;"-"&amp;IF(ISNUMBER(Educator!D227),"G"&amp;Educator!D227,Educator!D227)&amp;"-"&amp;"2027"</f>
        <v>CID-FLH----2027</v>
      </c>
      <c r="B222" s="49" t="e" cm="1">
        <f t="array" ref="B222">Educator!B227&amp;" "&amp;_xlfn.IFS(AND(ISNUMBER(Educator!D227),Educator!D227&lt;&gt;9),"Grade "&amp;Educator!D227,Educator!D227=9,"Grade 9-12",ISTEXT(Educator!D227),Educator!D227)&amp;" "&amp;"Florida"&amp;" "&amp;"26-27"</f>
        <v>#N/A</v>
      </c>
      <c r="C222" s="49" t="e">
        <f t="shared" si="4"/>
        <v>#N/A</v>
      </c>
      <c r="E222" s="51" t="s">
        <v>102</v>
      </c>
      <c r="F222" s="49" t="b">
        <f>IF(Educator!B227&gt;0,"active")</f>
        <v>0</v>
      </c>
      <c r="J222" s="49" t="str">
        <f>"BP-"&amp;"TSWFL-"&amp;IF(ISNUMBER(Educator!D227),""&amp;Educator!D227,Educator!D227)&amp;"-"&amp;"2027"</f>
        <v>BP-TSWFL--2027</v>
      </c>
    </row>
    <row r="223" spans="1:10" x14ac:dyDescent="0.2">
      <c r="A2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","#",3))+1,1)&amp;"-"&amp;LEFT(Educator!B228, 3)&amp;"-"&amp;LEFT(Educator!A228, 3)&amp;"-"&amp;IF(ISNUMBER(Educator!D228),"G"&amp;Educator!D228,Educator!D228)&amp;"-"&amp;"2027"</f>
        <v>CID-FLH----2027</v>
      </c>
      <c r="B223" s="49" t="e" cm="1">
        <f t="array" ref="B223">Educator!B228&amp;" "&amp;_xlfn.IFS(AND(ISNUMBER(Educator!D228),Educator!D228&lt;&gt;9),"Grade "&amp;Educator!D228,Educator!D228=9,"Grade 9-12",ISTEXT(Educator!D228),Educator!D228)&amp;" "&amp;"Florida"&amp;" "&amp;"26-27"</f>
        <v>#N/A</v>
      </c>
      <c r="C223" s="49" t="e">
        <f t="shared" si="4"/>
        <v>#N/A</v>
      </c>
      <c r="E223" s="51" t="s">
        <v>102</v>
      </c>
      <c r="F223" s="49" t="b">
        <f>IF(Educator!B228&gt;0,"active")</f>
        <v>0</v>
      </c>
      <c r="J223" s="49" t="str">
        <f>"BP-"&amp;"TSWFL-"&amp;IF(ISNUMBER(Educator!D228),""&amp;Educator!D228,Educator!D228)&amp;"-"&amp;"2027"</f>
        <v>BP-TSWFL--2027</v>
      </c>
    </row>
    <row r="224" spans="1:10" x14ac:dyDescent="0.2">
      <c r="A2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","#",3))+1,1)&amp;"-"&amp;LEFT(Educator!B229, 3)&amp;"-"&amp;LEFT(Educator!A229, 3)&amp;"-"&amp;IF(ISNUMBER(Educator!D229),"G"&amp;Educator!D229,Educator!D229)&amp;"-"&amp;"2027"</f>
        <v>CID-FLH----2027</v>
      </c>
      <c r="B224" s="49" t="e" cm="1">
        <f t="array" ref="B224">Educator!B229&amp;" "&amp;_xlfn.IFS(AND(ISNUMBER(Educator!D229),Educator!D229&lt;&gt;9),"Grade "&amp;Educator!D229,Educator!D229=9,"Grade 9-12",ISTEXT(Educator!D229),Educator!D229)&amp;" "&amp;"Florida"&amp;" "&amp;"26-27"</f>
        <v>#N/A</v>
      </c>
      <c r="C224" s="49" t="e">
        <f t="shared" si="4"/>
        <v>#N/A</v>
      </c>
      <c r="E224" s="51" t="s">
        <v>102</v>
      </c>
      <c r="F224" s="49" t="b">
        <f>IF(Educator!B229&gt;0,"active")</f>
        <v>0</v>
      </c>
      <c r="J224" s="49" t="str">
        <f>"BP-"&amp;"TSWFL-"&amp;IF(ISNUMBER(Educator!D229),""&amp;Educator!D229,Educator!D229)&amp;"-"&amp;"2027"</f>
        <v>BP-TSWFL--2027</v>
      </c>
    </row>
    <row r="225" spans="1:10" x14ac:dyDescent="0.2">
      <c r="A2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","#",3))+1,1)&amp;"-"&amp;LEFT(Educator!B230, 3)&amp;"-"&amp;LEFT(Educator!A230, 3)&amp;"-"&amp;IF(ISNUMBER(Educator!D230),"G"&amp;Educator!D230,Educator!D230)&amp;"-"&amp;"2027"</f>
        <v>CID-FLH----2027</v>
      </c>
      <c r="B225" s="49" t="e" cm="1">
        <f t="array" ref="B225">Educator!B230&amp;" "&amp;_xlfn.IFS(AND(ISNUMBER(Educator!D230),Educator!D230&lt;&gt;9),"Grade "&amp;Educator!D230,Educator!D230=9,"Grade 9-12",ISTEXT(Educator!D230),Educator!D230)&amp;" "&amp;"Florida"&amp;" "&amp;"26-27"</f>
        <v>#N/A</v>
      </c>
      <c r="C225" s="49" t="e">
        <f t="shared" si="4"/>
        <v>#N/A</v>
      </c>
      <c r="E225" s="51" t="s">
        <v>102</v>
      </c>
      <c r="F225" s="49" t="b">
        <f>IF(Educator!B230&gt;0,"active")</f>
        <v>0</v>
      </c>
      <c r="J225" s="49" t="str">
        <f>"BP-"&amp;"TSWFL-"&amp;IF(ISNUMBER(Educator!D230),""&amp;Educator!D230,Educator!D230)&amp;"-"&amp;"2027"</f>
        <v>BP-TSWFL--2027</v>
      </c>
    </row>
    <row r="226" spans="1:10" x14ac:dyDescent="0.2">
      <c r="A2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","#",3))+1,1)&amp;"-"&amp;LEFT(Educator!B231, 3)&amp;"-"&amp;LEFT(Educator!A231, 3)&amp;"-"&amp;IF(ISNUMBER(Educator!D231),"G"&amp;Educator!D231,Educator!D231)&amp;"-"&amp;"2027"</f>
        <v>CID-FLH----2027</v>
      </c>
      <c r="B226" s="49" t="e" cm="1">
        <f t="array" ref="B226">Educator!B231&amp;" "&amp;_xlfn.IFS(AND(ISNUMBER(Educator!D231),Educator!D231&lt;&gt;9),"Grade "&amp;Educator!D231,Educator!D231=9,"Grade 9-12",ISTEXT(Educator!D231),Educator!D231)&amp;" "&amp;"Florida"&amp;" "&amp;"26-27"</f>
        <v>#N/A</v>
      </c>
      <c r="C226" s="49" t="e">
        <f t="shared" si="4"/>
        <v>#N/A</v>
      </c>
      <c r="E226" s="51" t="s">
        <v>102</v>
      </c>
      <c r="F226" s="49" t="b">
        <f>IF(Educator!B231&gt;0,"active")</f>
        <v>0</v>
      </c>
      <c r="J226" s="49" t="str">
        <f>"BP-"&amp;"TSWFL-"&amp;IF(ISNUMBER(Educator!D231),""&amp;Educator!D231,Educator!D231)&amp;"-"&amp;"2027"</f>
        <v>BP-TSWFL--2027</v>
      </c>
    </row>
    <row r="227" spans="1:10" x14ac:dyDescent="0.2">
      <c r="A2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","#",3))+1,1)&amp;"-"&amp;LEFT(Educator!B232, 3)&amp;"-"&amp;LEFT(Educator!A232, 3)&amp;"-"&amp;IF(ISNUMBER(Educator!D232),"G"&amp;Educator!D232,Educator!D232)&amp;"-"&amp;"2027"</f>
        <v>CID-FLH----2027</v>
      </c>
      <c r="B227" s="49" t="e" cm="1">
        <f t="array" ref="B227">Educator!B232&amp;" "&amp;_xlfn.IFS(AND(ISNUMBER(Educator!D232),Educator!D232&lt;&gt;9),"Grade "&amp;Educator!D232,Educator!D232=9,"Grade 9-12",ISTEXT(Educator!D232),Educator!D232)&amp;" "&amp;"Florida"&amp;" "&amp;"26-27"</f>
        <v>#N/A</v>
      </c>
      <c r="C227" s="49" t="e">
        <f t="shared" si="4"/>
        <v>#N/A</v>
      </c>
      <c r="E227" s="51" t="s">
        <v>102</v>
      </c>
      <c r="F227" s="49" t="b">
        <f>IF(Educator!B232&gt;0,"active")</f>
        <v>0</v>
      </c>
      <c r="J227" s="49" t="str">
        <f>"BP-"&amp;"TSWFL-"&amp;IF(ISNUMBER(Educator!D232),""&amp;Educator!D232,Educator!D232)&amp;"-"&amp;"2027"</f>
        <v>BP-TSWFL--2027</v>
      </c>
    </row>
    <row r="228" spans="1:10" x14ac:dyDescent="0.2">
      <c r="A2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","#",3))+1,1)&amp;"-"&amp;LEFT(Educator!B233, 3)&amp;"-"&amp;LEFT(Educator!A233, 3)&amp;"-"&amp;IF(ISNUMBER(Educator!D233),"G"&amp;Educator!D233,Educator!D233)&amp;"-"&amp;"2027"</f>
        <v>CID-FLH----2027</v>
      </c>
      <c r="B228" s="49" t="e" cm="1">
        <f t="array" ref="B228">Educator!B233&amp;" "&amp;_xlfn.IFS(AND(ISNUMBER(Educator!D233),Educator!D233&lt;&gt;9),"Grade "&amp;Educator!D233,Educator!D233=9,"Grade 9-12",ISTEXT(Educator!D233),Educator!D233)&amp;" "&amp;"Florida"&amp;" "&amp;"26-27"</f>
        <v>#N/A</v>
      </c>
      <c r="C228" s="49" t="e">
        <f t="shared" si="4"/>
        <v>#N/A</v>
      </c>
      <c r="E228" s="51" t="s">
        <v>102</v>
      </c>
      <c r="F228" s="49" t="b">
        <f>IF(Educator!B233&gt;0,"active")</f>
        <v>0</v>
      </c>
      <c r="J228" s="49" t="str">
        <f>"BP-"&amp;"TSWFL-"&amp;IF(ISNUMBER(Educator!D233),""&amp;Educator!D233,Educator!D233)&amp;"-"&amp;"2027"</f>
        <v>BP-TSWFL--2027</v>
      </c>
    </row>
    <row r="229" spans="1:10" x14ac:dyDescent="0.2">
      <c r="A2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","#",3))+1,1)&amp;"-"&amp;LEFT(Educator!B234, 3)&amp;"-"&amp;LEFT(Educator!A234, 3)&amp;"-"&amp;IF(ISNUMBER(Educator!D234),"G"&amp;Educator!D234,Educator!D234)&amp;"-"&amp;"2027"</f>
        <v>CID-FLH----2027</v>
      </c>
      <c r="B229" s="49" t="e" cm="1">
        <f t="array" ref="B229">Educator!B234&amp;" "&amp;_xlfn.IFS(AND(ISNUMBER(Educator!D234),Educator!D234&lt;&gt;9),"Grade "&amp;Educator!D234,Educator!D234=9,"Grade 9-12",ISTEXT(Educator!D234),Educator!D234)&amp;" "&amp;"Florida"&amp;" "&amp;"26-27"</f>
        <v>#N/A</v>
      </c>
      <c r="C229" s="49" t="e">
        <f t="shared" si="4"/>
        <v>#N/A</v>
      </c>
      <c r="E229" s="51" t="s">
        <v>102</v>
      </c>
      <c r="F229" s="49" t="b">
        <f>IF(Educator!B234&gt;0,"active")</f>
        <v>0</v>
      </c>
      <c r="J229" s="49" t="str">
        <f>"BP-"&amp;"TSWFL-"&amp;IF(ISNUMBER(Educator!D234),""&amp;Educator!D234,Educator!D234)&amp;"-"&amp;"2027"</f>
        <v>BP-TSWFL--2027</v>
      </c>
    </row>
    <row r="230" spans="1:10" x14ac:dyDescent="0.2">
      <c r="A2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","#",3))+1,1)&amp;"-"&amp;LEFT(Educator!B235, 3)&amp;"-"&amp;LEFT(Educator!A235, 3)&amp;"-"&amp;IF(ISNUMBER(Educator!D235),"G"&amp;Educator!D235,Educator!D235)&amp;"-"&amp;"2027"</f>
        <v>CID-FLH----2027</v>
      </c>
      <c r="B230" s="49" t="e" cm="1">
        <f t="array" ref="B230">Educator!B235&amp;" "&amp;_xlfn.IFS(AND(ISNUMBER(Educator!D235),Educator!D235&lt;&gt;9),"Grade "&amp;Educator!D235,Educator!D235=9,"Grade 9-12",ISTEXT(Educator!D235),Educator!D235)&amp;" "&amp;"Florida"&amp;" "&amp;"26-27"</f>
        <v>#N/A</v>
      </c>
      <c r="C230" s="49" t="e">
        <f t="shared" si="4"/>
        <v>#N/A</v>
      </c>
      <c r="E230" s="51" t="s">
        <v>102</v>
      </c>
      <c r="F230" s="49" t="b">
        <f>IF(Educator!B235&gt;0,"active")</f>
        <v>0</v>
      </c>
      <c r="J230" s="49" t="str">
        <f>"BP-"&amp;"TSWFL-"&amp;IF(ISNUMBER(Educator!D235),""&amp;Educator!D235,Educator!D235)&amp;"-"&amp;"2027"</f>
        <v>BP-TSWFL--2027</v>
      </c>
    </row>
    <row r="231" spans="1:10" x14ac:dyDescent="0.2">
      <c r="A2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","#",3))+1,1)&amp;"-"&amp;LEFT(Educator!B236, 3)&amp;"-"&amp;LEFT(Educator!A236, 3)&amp;"-"&amp;IF(ISNUMBER(Educator!D236),"G"&amp;Educator!D236,Educator!D236)&amp;"-"&amp;"2027"</f>
        <v>CID-FLH----2027</v>
      </c>
      <c r="B231" s="49" t="e" cm="1">
        <f t="array" ref="B231">Educator!B236&amp;" "&amp;_xlfn.IFS(AND(ISNUMBER(Educator!D236),Educator!D236&lt;&gt;9),"Grade "&amp;Educator!D236,Educator!D236=9,"Grade 9-12",ISTEXT(Educator!D236),Educator!D236)&amp;" "&amp;"Florida"&amp;" "&amp;"26-27"</f>
        <v>#N/A</v>
      </c>
      <c r="C231" s="49" t="e">
        <f t="shared" si="4"/>
        <v>#N/A</v>
      </c>
      <c r="E231" s="51" t="s">
        <v>102</v>
      </c>
      <c r="F231" s="49" t="b">
        <f>IF(Educator!B236&gt;0,"active")</f>
        <v>0</v>
      </c>
      <c r="J231" s="49" t="str">
        <f>"BP-"&amp;"TSWFL-"&amp;IF(ISNUMBER(Educator!D236),""&amp;Educator!D236,Educator!D236)&amp;"-"&amp;"2027"</f>
        <v>BP-TSWFL--2027</v>
      </c>
    </row>
    <row r="232" spans="1:10" x14ac:dyDescent="0.2">
      <c r="A2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","#",3))+1,1)&amp;"-"&amp;LEFT(Educator!B237, 3)&amp;"-"&amp;LEFT(Educator!A237, 3)&amp;"-"&amp;IF(ISNUMBER(Educator!D237),"G"&amp;Educator!D237,Educator!D237)&amp;"-"&amp;"2027"</f>
        <v>CID-FLH----2027</v>
      </c>
      <c r="B232" s="49" t="e" cm="1">
        <f t="array" ref="B232">Educator!B237&amp;" "&amp;_xlfn.IFS(AND(ISNUMBER(Educator!D237),Educator!D237&lt;&gt;9),"Grade "&amp;Educator!D237,Educator!D237=9,"Grade 9-12",ISTEXT(Educator!D237),Educator!D237)&amp;" "&amp;"Florida"&amp;" "&amp;"26-27"</f>
        <v>#N/A</v>
      </c>
      <c r="C232" s="49" t="e">
        <f t="shared" si="4"/>
        <v>#N/A</v>
      </c>
      <c r="E232" s="51" t="s">
        <v>102</v>
      </c>
      <c r="F232" s="49" t="b">
        <f>IF(Educator!B237&gt;0,"active")</f>
        <v>0</v>
      </c>
      <c r="J232" s="49" t="str">
        <f>"BP-"&amp;"TSWFL-"&amp;IF(ISNUMBER(Educator!D237),""&amp;Educator!D237,Educator!D237)&amp;"-"&amp;"2027"</f>
        <v>BP-TSWFL--2027</v>
      </c>
    </row>
    <row r="233" spans="1:10" x14ac:dyDescent="0.2">
      <c r="A2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","#",3))+1,1)&amp;"-"&amp;LEFT(Educator!B238, 3)&amp;"-"&amp;LEFT(Educator!A238, 3)&amp;"-"&amp;IF(ISNUMBER(Educator!D238),"G"&amp;Educator!D238,Educator!D238)&amp;"-"&amp;"2027"</f>
        <v>CID-FLH----2027</v>
      </c>
      <c r="B233" s="49" t="e" cm="1">
        <f t="array" ref="B233">Educator!B238&amp;" "&amp;_xlfn.IFS(AND(ISNUMBER(Educator!D238),Educator!D238&lt;&gt;9),"Grade "&amp;Educator!D238,Educator!D238=9,"Grade 9-12",ISTEXT(Educator!D238),Educator!D238)&amp;" "&amp;"Florida"&amp;" "&amp;"26-27"</f>
        <v>#N/A</v>
      </c>
      <c r="C233" s="49" t="e">
        <f t="shared" si="4"/>
        <v>#N/A</v>
      </c>
      <c r="E233" s="51" t="s">
        <v>102</v>
      </c>
      <c r="F233" s="49" t="b">
        <f>IF(Educator!B238&gt;0,"active")</f>
        <v>0</v>
      </c>
      <c r="J233" s="49" t="str">
        <f>"BP-"&amp;"TSWFL-"&amp;IF(ISNUMBER(Educator!D238),""&amp;Educator!D238,Educator!D238)&amp;"-"&amp;"2027"</f>
        <v>BP-TSWFL--2027</v>
      </c>
    </row>
    <row r="234" spans="1:10" x14ac:dyDescent="0.2">
      <c r="A2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","#",3))+1,1)&amp;"-"&amp;LEFT(Educator!B239, 3)&amp;"-"&amp;LEFT(Educator!A239, 3)&amp;"-"&amp;IF(ISNUMBER(Educator!D239),"G"&amp;Educator!D239,Educator!D239)&amp;"-"&amp;"2027"</f>
        <v>CID-FLH----2027</v>
      </c>
      <c r="B234" s="49" t="e" cm="1">
        <f t="array" ref="B234">Educator!B239&amp;" "&amp;_xlfn.IFS(AND(ISNUMBER(Educator!D239),Educator!D239&lt;&gt;9),"Grade "&amp;Educator!D239,Educator!D239=9,"Grade 9-12",ISTEXT(Educator!D239),Educator!D239)&amp;" "&amp;"Florida"&amp;" "&amp;"26-27"</f>
        <v>#N/A</v>
      </c>
      <c r="C234" s="49" t="e">
        <f t="shared" si="4"/>
        <v>#N/A</v>
      </c>
      <c r="E234" s="51" t="s">
        <v>102</v>
      </c>
      <c r="F234" s="49" t="b">
        <f>IF(Educator!B239&gt;0,"active")</f>
        <v>0</v>
      </c>
      <c r="J234" s="49" t="str">
        <f>"BP-"&amp;"TSWFL-"&amp;IF(ISNUMBER(Educator!D239),""&amp;Educator!D239,Educator!D239)&amp;"-"&amp;"2027"</f>
        <v>BP-TSWFL--2027</v>
      </c>
    </row>
    <row r="235" spans="1:10" x14ac:dyDescent="0.2">
      <c r="A2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","#",3))+1,1)&amp;"-"&amp;LEFT(Educator!B240, 3)&amp;"-"&amp;LEFT(Educator!A240, 3)&amp;"-"&amp;IF(ISNUMBER(Educator!D240),"G"&amp;Educator!D240,Educator!D240)&amp;"-"&amp;"2027"</f>
        <v>CID-FLH----2027</v>
      </c>
      <c r="B235" s="49" t="e" cm="1">
        <f t="array" ref="B235">Educator!B240&amp;" "&amp;_xlfn.IFS(AND(ISNUMBER(Educator!D240),Educator!D240&lt;&gt;9),"Grade "&amp;Educator!D240,Educator!D240=9,"Grade 9-12",ISTEXT(Educator!D240),Educator!D240)&amp;" "&amp;"Florida"&amp;" "&amp;"26-27"</f>
        <v>#N/A</v>
      </c>
      <c r="C235" s="49" t="e">
        <f t="shared" si="4"/>
        <v>#N/A</v>
      </c>
      <c r="E235" s="51" t="s">
        <v>102</v>
      </c>
      <c r="F235" s="49" t="b">
        <f>IF(Educator!B240&gt;0,"active")</f>
        <v>0</v>
      </c>
      <c r="J235" s="49" t="str">
        <f>"BP-"&amp;"TSWFL-"&amp;IF(ISNUMBER(Educator!D240),""&amp;Educator!D240,Educator!D240)&amp;"-"&amp;"2027"</f>
        <v>BP-TSWFL--2027</v>
      </c>
    </row>
    <row r="236" spans="1:10" x14ac:dyDescent="0.2">
      <c r="A2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","#",3))+1,1)&amp;"-"&amp;LEFT(Educator!B241, 3)&amp;"-"&amp;LEFT(Educator!A241, 3)&amp;"-"&amp;IF(ISNUMBER(Educator!D241),"G"&amp;Educator!D241,Educator!D241)&amp;"-"&amp;"2027"</f>
        <v>CID-FLH----2027</v>
      </c>
      <c r="B236" s="49" t="e" cm="1">
        <f t="array" ref="B236">Educator!B241&amp;" "&amp;_xlfn.IFS(AND(ISNUMBER(Educator!D241),Educator!D241&lt;&gt;9),"Grade "&amp;Educator!D241,Educator!D241=9,"Grade 9-12",ISTEXT(Educator!D241),Educator!D241)&amp;" "&amp;"Florida"&amp;" "&amp;"26-27"</f>
        <v>#N/A</v>
      </c>
      <c r="C236" s="49" t="e">
        <f t="shared" si="4"/>
        <v>#N/A</v>
      </c>
      <c r="E236" s="51" t="s">
        <v>102</v>
      </c>
      <c r="F236" s="49" t="b">
        <f>IF(Educator!B241&gt;0,"active")</f>
        <v>0</v>
      </c>
      <c r="J236" s="49" t="str">
        <f>"BP-"&amp;"TSWFL-"&amp;IF(ISNUMBER(Educator!D241),""&amp;Educator!D241,Educator!D241)&amp;"-"&amp;"2027"</f>
        <v>BP-TSWFL--2027</v>
      </c>
    </row>
    <row r="237" spans="1:10" x14ac:dyDescent="0.2">
      <c r="A2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","#",3))+1,1)&amp;"-"&amp;LEFT(Educator!B242, 3)&amp;"-"&amp;LEFT(Educator!A242, 3)&amp;"-"&amp;IF(ISNUMBER(Educator!D242),"G"&amp;Educator!D242,Educator!D242)&amp;"-"&amp;"2027"</f>
        <v>CID-FLH----2027</v>
      </c>
      <c r="B237" s="49" t="e" cm="1">
        <f t="array" ref="B237">Educator!B242&amp;" "&amp;_xlfn.IFS(AND(ISNUMBER(Educator!D242),Educator!D242&lt;&gt;9),"Grade "&amp;Educator!D242,Educator!D242=9,"Grade 9-12",ISTEXT(Educator!D242),Educator!D242)&amp;" "&amp;"Florida"&amp;" "&amp;"26-27"</f>
        <v>#N/A</v>
      </c>
      <c r="C237" s="49" t="e">
        <f t="shared" si="4"/>
        <v>#N/A</v>
      </c>
      <c r="E237" s="51" t="s">
        <v>102</v>
      </c>
      <c r="F237" s="49" t="b">
        <f>IF(Educator!B242&gt;0,"active")</f>
        <v>0</v>
      </c>
      <c r="J237" s="49" t="str">
        <f>"BP-"&amp;"TSWFL-"&amp;IF(ISNUMBER(Educator!D242),""&amp;Educator!D242,Educator!D242)&amp;"-"&amp;"2027"</f>
        <v>BP-TSWFL--2027</v>
      </c>
    </row>
    <row r="238" spans="1:10" x14ac:dyDescent="0.2">
      <c r="A2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","#",3))+1,1)&amp;"-"&amp;LEFT(Educator!B243, 3)&amp;"-"&amp;LEFT(Educator!A243, 3)&amp;"-"&amp;IF(ISNUMBER(Educator!D243),"G"&amp;Educator!D243,Educator!D243)&amp;"-"&amp;"2027"</f>
        <v>CID-FLH----2027</v>
      </c>
      <c r="B238" s="49" t="e" cm="1">
        <f t="array" ref="B238">Educator!B243&amp;" "&amp;_xlfn.IFS(AND(ISNUMBER(Educator!D243),Educator!D243&lt;&gt;9),"Grade "&amp;Educator!D243,Educator!D243=9,"Grade 9-12",ISTEXT(Educator!D243),Educator!D243)&amp;" "&amp;"Florida"&amp;" "&amp;"26-27"</f>
        <v>#N/A</v>
      </c>
      <c r="C238" s="49" t="e">
        <f t="shared" si="4"/>
        <v>#N/A</v>
      </c>
      <c r="E238" s="51" t="s">
        <v>102</v>
      </c>
      <c r="F238" s="49" t="b">
        <f>IF(Educator!B243&gt;0,"active")</f>
        <v>0</v>
      </c>
      <c r="J238" s="49" t="str">
        <f>"BP-"&amp;"TSWFL-"&amp;IF(ISNUMBER(Educator!D243),""&amp;Educator!D243,Educator!D243)&amp;"-"&amp;"2027"</f>
        <v>BP-TSWFL--2027</v>
      </c>
    </row>
    <row r="239" spans="1:10" x14ac:dyDescent="0.2">
      <c r="A2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","#",3))+1,1)&amp;"-"&amp;LEFT(Educator!B244, 3)&amp;"-"&amp;LEFT(Educator!A244, 3)&amp;"-"&amp;IF(ISNUMBER(Educator!D244),"G"&amp;Educator!D244,Educator!D244)&amp;"-"&amp;"2027"</f>
        <v>CID-FLH----2027</v>
      </c>
      <c r="B239" s="49" t="e" cm="1">
        <f t="array" ref="B239">Educator!B244&amp;" "&amp;_xlfn.IFS(AND(ISNUMBER(Educator!D244),Educator!D244&lt;&gt;9),"Grade "&amp;Educator!D244,Educator!D244=9,"Grade 9-12",ISTEXT(Educator!D244),Educator!D244)&amp;" "&amp;"Florida"&amp;" "&amp;"26-27"</f>
        <v>#N/A</v>
      </c>
      <c r="C239" s="49" t="e">
        <f t="shared" si="4"/>
        <v>#N/A</v>
      </c>
      <c r="E239" s="51" t="s">
        <v>102</v>
      </c>
      <c r="F239" s="49" t="b">
        <f>IF(Educator!B244&gt;0,"active")</f>
        <v>0</v>
      </c>
      <c r="J239" s="49" t="str">
        <f>"BP-"&amp;"TSWFL-"&amp;IF(ISNUMBER(Educator!D244),""&amp;Educator!D244,Educator!D244)&amp;"-"&amp;"2027"</f>
        <v>BP-TSWFL--2027</v>
      </c>
    </row>
    <row r="240" spans="1:10" x14ac:dyDescent="0.2">
      <c r="A2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","#",3))+1,1)&amp;"-"&amp;LEFT(Educator!B245, 3)&amp;"-"&amp;LEFT(Educator!A245, 3)&amp;"-"&amp;IF(ISNUMBER(Educator!D245),"G"&amp;Educator!D245,Educator!D245)&amp;"-"&amp;"2027"</f>
        <v>CID-FLH----2027</v>
      </c>
      <c r="B240" s="49" t="e" cm="1">
        <f t="array" ref="B240">Educator!B245&amp;" "&amp;_xlfn.IFS(AND(ISNUMBER(Educator!D245),Educator!D245&lt;&gt;9),"Grade "&amp;Educator!D245,Educator!D245=9,"Grade 9-12",ISTEXT(Educator!D245),Educator!D245)&amp;" "&amp;"Florida"&amp;" "&amp;"26-27"</f>
        <v>#N/A</v>
      </c>
      <c r="C240" s="49" t="e">
        <f t="shared" si="4"/>
        <v>#N/A</v>
      </c>
      <c r="E240" s="51" t="s">
        <v>102</v>
      </c>
      <c r="F240" s="49" t="b">
        <f>IF(Educator!B245&gt;0,"active")</f>
        <v>0</v>
      </c>
      <c r="J240" s="49" t="str">
        <f>"BP-"&amp;"TSWFL-"&amp;IF(ISNUMBER(Educator!D245),""&amp;Educator!D245,Educator!D245)&amp;"-"&amp;"2027"</f>
        <v>BP-TSWFL--2027</v>
      </c>
    </row>
    <row r="241" spans="1:10" x14ac:dyDescent="0.2">
      <c r="A2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","#",3))+1,1)&amp;"-"&amp;LEFT(Educator!B246, 3)&amp;"-"&amp;LEFT(Educator!A246, 3)&amp;"-"&amp;IF(ISNUMBER(Educator!D246),"G"&amp;Educator!D246,Educator!D246)&amp;"-"&amp;"2027"</f>
        <v>CID-FLH----2027</v>
      </c>
      <c r="B241" s="49" t="e" cm="1">
        <f t="array" ref="B241">Educator!B246&amp;" "&amp;_xlfn.IFS(AND(ISNUMBER(Educator!D246),Educator!D246&lt;&gt;9),"Grade "&amp;Educator!D246,Educator!D246=9,"Grade 9-12",ISTEXT(Educator!D246),Educator!D246)&amp;" "&amp;"Florida"&amp;" "&amp;"26-27"</f>
        <v>#N/A</v>
      </c>
      <c r="C241" s="49" t="e">
        <f t="shared" si="4"/>
        <v>#N/A</v>
      </c>
      <c r="E241" s="51" t="s">
        <v>102</v>
      </c>
      <c r="F241" s="49" t="b">
        <f>IF(Educator!B246&gt;0,"active")</f>
        <v>0</v>
      </c>
      <c r="J241" s="49" t="str">
        <f>"BP-"&amp;"TSWFL-"&amp;IF(ISNUMBER(Educator!D246),""&amp;Educator!D246,Educator!D246)&amp;"-"&amp;"2027"</f>
        <v>BP-TSWFL--2027</v>
      </c>
    </row>
    <row r="242" spans="1:10" x14ac:dyDescent="0.2">
      <c r="A2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","#",3))+1,1)&amp;"-"&amp;LEFT(Educator!B247, 3)&amp;"-"&amp;LEFT(Educator!A247, 3)&amp;"-"&amp;IF(ISNUMBER(Educator!D247),"G"&amp;Educator!D247,Educator!D247)&amp;"-"&amp;"2027"</f>
        <v>CID-FLH----2027</v>
      </c>
      <c r="B242" s="49" t="e" cm="1">
        <f t="array" ref="B242">Educator!B247&amp;" "&amp;_xlfn.IFS(AND(ISNUMBER(Educator!D247),Educator!D247&lt;&gt;9),"Grade "&amp;Educator!D247,Educator!D247=9,"Grade 9-12",ISTEXT(Educator!D247),Educator!D247)&amp;" "&amp;"Florida"&amp;" "&amp;"26-27"</f>
        <v>#N/A</v>
      </c>
      <c r="C242" s="49" t="e">
        <f t="shared" si="4"/>
        <v>#N/A</v>
      </c>
      <c r="E242" s="51" t="s">
        <v>102</v>
      </c>
      <c r="F242" s="49" t="b">
        <f>IF(Educator!B247&gt;0,"active")</f>
        <v>0</v>
      </c>
      <c r="J242" s="49" t="str">
        <f>"BP-"&amp;"TSWFL-"&amp;IF(ISNUMBER(Educator!D247),""&amp;Educator!D247,Educator!D247)&amp;"-"&amp;"2027"</f>
        <v>BP-TSWFL--2027</v>
      </c>
    </row>
    <row r="243" spans="1:10" x14ac:dyDescent="0.2">
      <c r="A2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","#",3))+1,1)&amp;"-"&amp;LEFT(Educator!B248, 3)&amp;"-"&amp;LEFT(Educator!A248, 3)&amp;"-"&amp;IF(ISNUMBER(Educator!D248),"G"&amp;Educator!D248,Educator!D248)&amp;"-"&amp;"2027"</f>
        <v>CID-FLH----2027</v>
      </c>
      <c r="B243" s="49" t="e" cm="1">
        <f t="array" ref="B243">Educator!B248&amp;" "&amp;_xlfn.IFS(AND(ISNUMBER(Educator!D248),Educator!D248&lt;&gt;9),"Grade "&amp;Educator!D248,Educator!D248=9,"Grade 9-12",ISTEXT(Educator!D248),Educator!D248)&amp;" "&amp;"Florida"&amp;" "&amp;"26-27"</f>
        <v>#N/A</v>
      </c>
      <c r="C243" s="49" t="e">
        <f t="shared" si="4"/>
        <v>#N/A</v>
      </c>
      <c r="E243" s="51" t="s">
        <v>102</v>
      </c>
      <c r="F243" s="49" t="b">
        <f>IF(Educator!B248&gt;0,"active")</f>
        <v>0</v>
      </c>
      <c r="J243" s="49" t="str">
        <f>"BP-"&amp;"TSWFL-"&amp;IF(ISNUMBER(Educator!D248),""&amp;Educator!D248,Educator!D248)&amp;"-"&amp;"2027"</f>
        <v>BP-TSWFL--2027</v>
      </c>
    </row>
    <row r="244" spans="1:10" x14ac:dyDescent="0.2">
      <c r="A2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","#",3))+1,1)&amp;"-"&amp;LEFT(Educator!B249, 3)&amp;"-"&amp;LEFT(Educator!A249, 3)&amp;"-"&amp;IF(ISNUMBER(Educator!D249),"G"&amp;Educator!D249,Educator!D249)&amp;"-"&amp;"2027"</f>
        <v>CID-FLH----2027</v>
      </c>
      <c r="B244" s="49" t="e" cm="1">
        <f t="array" ref="B244">Educator!B249&amp;" "&amp;_xlfn.IFS(AND(ISNUMBER(Educator!D249),Educator!D249&lt;&gt;9),"Grade "&amp;Educator!D249,Educator!D249=9,"Grade 9-12",ISTEXT(Educator!D249),Educator!D249)&amp;" "&amp;"Florida"&amp;" "&amp;"26-27"</f>
        <v>#N/A</v>
      </c>
      <c r="C244" s="49" t="e">
        <f t="shared" si="4"/>
        <v>#N/A</v>
      </c>
      <c r="E244" s="51" t="s">
        <v>102</v>
      </c>
      <c r="F244" s="49" t="b">
        <f>IF(Educator!B249&gt;0,"active")</f>
        <v>0</v>
      </c>
      <c r="J244" s="49" t="str">
        <f>"BP-"&amp;"TSWFL-"&amp;IF(ISNUMBER(Educator!D249),""&amp;Educator!D249,Educator!D249)&amp;"-"&amp;"2027"</f>
        <v>BP-TSWFL--2027</v>
      </c>
    </row>
    <row r="245" spans="1:10" x14ac:dyDescent="0.2">
      <c r="A2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","#",3))+1,1)&amp;"-"&amp;LEFT(Educator!B250, 3)&amp;"-"&amp;LEFT(Educator!A250, 3)&amp;"-"&amp;IF(ISNUMBER(Educator!D250),"G"&amp;Educator!D250,Educator!D250)&amp;"-"&amp;"2027"</f>
        <v>CID-FLH----2027</v>
      </c>
      <c r="B245" s="49" t="e" cm="1">
        <f t="array" ref="B245">Educator!B250&amp;" "&amp;_xlfn.IFS(AND(ISNUMBER(Educator!D250),Educator!D250&lt;&gt;9),"Grade "&amp;Educator!D250,Educator!D250=9,"Grade 9-12",ISTEXT(Educator!D250),Educator!D250)&amp;" "&amp;"Florida"&amp;" "&amp;"26-27"</f>
        <v>#N/A</v>
      </c>
      <c r="C245" s="49" t="e">
        <f t="shared" si="4"/>
        <v>#N/A</v>
      </c>
      <c r="E245" s="51" t="s">
        <v>102</v>
      </c>
      <c r="F245" s="49" t="b">
        <f>IF(Educator!B250&gt;0,"active")</f>
        <v>0</v>
      </c>
      <c r="J245" s="49" t="str">
        <f>"BP-"&amp;"TSWFL-"&amp;IF(ISNUMBER(Educator!D250),""&amp;Educator!D250,Educator!D250)&amp;"-"&amp;"2027"</f>
        <v>BP-TSWFL--2027</v>
      </c>
    </row>
    <row r="246" spans="1:10" x14ac:dyDescent="0.2">
      <c r="A2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","#",3))+1,1)&amp;"-"&amp;LEFT(Educator!B251, 3)&amp;"-"&amp;LEFT(Educator!A251, 3)&amp;"-"&amp;IF(ISNUMBER(Educator!D251),"G"&amp;Educator!D251,Educator!D251)&amp;"-"&amp;"2027"</f>
        <v>CID-FLH----2027</v>
      </c>
      <c r="B246" s="49" t="e" cm="1">
        <f t="array" ref="B246">Educator!B251&amp;" "&amp;_xlfn.IFS(AND(ISNUMBER(Educator!D251),Educator!D251&lt;&gt;9),"Grade "&amp;Educator!D251,Educator!D251=9,"Grade 9-12",ISTEXT(Educator!D251),Educator!D251)&amp;" "&amp;"Florida"&amp;" "&amp;"26-27"</f>
        <v>#N/A</v>
      </c>
      <c r="C246" s="49" t="e">
        <f t="shared" si="4"/>
        <v>#N/A</v>
      </c>
      <c r="E246" s="51" t="s">
        <v>102</v>
      </c>
      <c r="F246" s="49" t="b">
        <f>IF(Educator!B251&gt;0,"active")</f>
        <v>0</v>
      </c>
      <c r="J246" s="49" t="str">
        <f>"BP-"&amp;"TSWFL-"&amp;IF(ISNUMBER(Educator!D251),""&amp;Educator!D251,Educator!D251)&amp;"-"&amp;"2027"</f>
        <v>BP-TSWFL--2027</v>
      </c>
    </row>
    <row r="247" spans="1:10" x14ac:dyDescent="0.2">
      <c r="A2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","#",3))+1,1)&amp;"-"&amp;LEFT(Educator!B252, 3)&amp;"-"&amp;LEFT(Educator!A252, 3)&amp;"-"&amp;IF(ISNUMBER(Educator!D252),"G"&amp;Educator!D252,Educator!D252)&amp;"-"&amp;"2027"</f>
        <v>CID-FLH----2027</v>
      </c>
      <c r="B247" s="49" t="e" cm="1">
        <f t="array" ref="B247">Educator!B252&amp;" "&amp;_xlfn.IFS(AND(ISNUMBER(Educator!D252),Educator!D252&lt;&gt;9),"Grade "&amp;Educator!D252,Educator!D252=9,"Grade 9-12",ISTEXT(Educator!D252),Educator!D252)&amp;" "&amp;"Florida"&amp;" "&amp;"26-27"</f>
        <v>#N/A</v>
      </c>
      <c r="C247" s="49" t="e">
        <f t="shared" si="4"/>
        <v>#N/A</v>
      </c>
      <c r="E247" s="51" t="s">
        <v>102</v>
      </c>
      <c r="F247" s="49" t="b">
        <f>IF(Educator!B252&gt;0,"active")</f>
        <v>0</v>
      </c>
      <c r="J247" s="49" t="str">
        <f>"BP-"&amp;"TSWFL-"&amp;IF(ISNUMBER(Educator!D252),""&amp;Educator!D252,Educator!D252)&amp;"-"&amp;"2027"</f>
        <v>BP-TSWFL--2027</v>
      </c>
    </row>
    <row r="248" spans="1:10" x14ac:dyDescent="0.2">
      <c r="A2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","#",3))+1,1)&amp;"-"&amp;LEFT(Educator!B253, 3)&amp;"-"&amp;LEFT(Educator!A253, 3)&amp;"-"&amp;IF(ISNUMBER(Educator!D253),"G"&amp;Educator!D253,Educator!D253)&amp;"-"&amp;"2027"</f>
        <v>CID-FLH----2027</v>
      </c>
      <c r="B248" s="49" t="e" cm="1">
        <f t="array" ref="B248">Educator!B253&amp;" "&amp;_xlfn.IFS(AND(ISNUMBER(Educator!D253),Educator!D253&lt;&gt;9),"Grade "&amp;Educator!D253,Educator!D253=9,"Grade 9-12",ISTEXT(Educator!D253),Educator!D253)&amp;" "&amp;"Florida"&amp;" "&amp;"26-27"</f>
        <v>#N/A</v>
      </c>
      <c r="C248" s="49" t="e">
        <f t="shared" si="4"/>
        <v>#N/A</v>
      </c>
      <c r="E248" s="51" t="s">
        <v>102</v>
      </c>
      <c r="F248" s="49" t="b">
        <f>IF(Educator!B253&gt;0,"active")</f>
        <v>0</v>
      </c>
      <c r="J248" s="49" t="str">
        <f>"BP-"&amp;"TSWFL-"&amp;IF(ISNUMBER(Educator!D253),""&amp;Educator!D253,Educator!D253)&amp;"-"&amp;"2027"</f>
        <v>BP-TSWFL--2027</v>
      </c>
    </row>
    <row r="249" spans="1:10" x14ac:dyDescent="0.2">
      <c r="A2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","#",3))+1,1)&amp;"-"&amp;LEFT(Educator!B254, 3)&amp;"-"&amp;LEFT(Educator!A254, 3)&amp;"-"&amp;IF(ISNUMBER(Educator!D254),"G"&amp;Educator!D254,Educator!D254)&amp;"-"&amp;"2027"</f>
        <v>CID-FLH----2027</v>
      </c>
      <c r="B249" s="49" t="e" cm="1">
        <f t="array" ref="B249">Educator!B254&amp;" "&amp;_xlfn.IFS(AND(ISNUMBER(Educator!D254),Educator!D254&lt;&gt;9),"Grade "&amp;Educator!D254,Educator!D254=9,"Grade 9-12",ISTEXT(Educator!D254),Educator!D254)&amp;" "&amp;"Florida"&amp;" "&amp;"26-27"</f>
        <v>#N/A</v>
      </c>
      <c r="C249" s="49" t="e">
        <f t="shared" si="4"/>
        <v>#N/A</v>
      </c>
      <c r="E249" s="51" t="s">
        <v>102</v>
      </c>
      <c r="F249" s="49" t="b">
        <f>IF(Educator!B254&gt;0,"active")</f>
        <v>0</v>
      </c>
      <c r="J249" s="49" t="str">
        <f>"BP-"&amp;"TSWFL-"&amp;IF(ISNUMBER(Educator!D254),""&amp;Educator!D254,Educator!D254)&amp;"-"&amp;"2027"</f>
        <v>BP-TSWFL--2027</v>
      </c>
    </row>
    <row r="250" spans="1:10" x14ac:dyDescent="0.2">
      <c r="A2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","#",3))+1,1)&amp;"-"&amp;LEFT(Educator!B255, 3)&amp;"-"&amp;LEFT(Educator!A255, 3)&amp;"-"&amp;IF(ISNUMBER(Educator!D255),"G"&amp;Educator!D255,Educator!D255)&amp;"-"&amp;"2027"</f>
        <v>CID-FLH----2027</v>
      </c>
      <c r="B250" s="49" t="e" cm="1">
        <f t="array" ref="B250">Educator!B255&amp;" "&amp;_xlfn.IFS(AND(ISNUMBER(Educator!D255),Educator!D255&lt;&gt;9),"Grade "&amp;Educator!D255,Educator!D255=9,"Grade 9-12",ISTEXT(Educator!D255),Educator!D255)&amp;" "&amp;"Florida"&amp;" "&amp;"26-27"</f>
        <v>#N/A</v>
      </c>
      <c r="C250" s="49" t="e">
        <f t="shared" si="4"/>
        <v>#N/A</v>
      </c>
      <c r="E250" s="51" t="s">
        <v>102</v>
      </c>
      <c r="F250" s="49" t="b">
        <f>IF(Educator!B255&gt;0,"active")</f>
        <v>0</v>
      </c>
      <c r="J250" s="49" t="str">
        <f>"BP-"&amp;"TSWFL-"&amp;IF(ISNUMBER(Educator!D255),""&amp;Educator!D255,Educator!D255)&amp;"-"&amp;"2027"</f>
        <v>BP-TSWFL--2027</v>
      </c>
    </row>
    <row r="251" spans="1:10" x14ac:dyDescent="0.2">
      <c r="A2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","#",3))+1,1)&amp;"-"&amp;LEFT(Educator!B256, 3)&amp;"-"&amp;LEFT(Educator!A256, 3)&amp;"-"&amp;IF(ISNUMBER(Educator!D256),"G"&amp;Educator!D256,Educator!D256)&amp;"-"&amp;"2027"</f>
        <v>CID-FLH----2027</v>
      </c>
      <c r="B251" s="49" t="e" cm="1">
        <f t="array" ref="B251">Educator!B256&amp;" "&amp;_xlfn.IFS(AND(ISNUMBER(Educator!D256),Educator!D256&lt;&gt;9),"Grade "&amp;Educator!D256,Educator!D256=9,"Grade 9-12",ISTEXT(Educator!D256),Educator!D256)&amp;" "&amp;"Florida"&amp;" "&amp;"26-27"</f>
        <v>#N/A</v>
      </c>
      <c r="C251" s="49" t="e">
        <f t="shared" si="4"/>
        <v>#N/A</v>
      </c>
      <c r="E251" s="51" t="s">
        <v>102</v>
      </c>
      <c r="F251" s="49" t="b">
        <f>IF(Educator!B256&gt;0,"active")</f>
        <v>0</v>
      </c>
      <c r="J251" s="49" t="str">
        <f>"BP-"&amp;"TSWFL-"&amp;IF(ISNUMBER(Educator!D256),""&amp;Educator!D256,Educator!D256)&amp;"-"&amp;"2027"</f>
        <v>BP-TSWFL--2027</v>
      </c>
    </row>
    <row r="252" spans="1:10" x14ac:dyDescent="0.2">
      <c r="A2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","#",3))+1,1)&amp;"-"&amp;LEFT(Educator!B257, 3)&amp;"-"&amp;LEFT(Educator!A257, 3)&amp;"-"&amp;IF(ISNUMBER(Educator!D257),"G"&amp;Educator!D257,Educator!D257)&amp;"-"&amp;"2027"</f>
        <v>CID-FLH----2027</v>
      </c>
      <c r="B252" s="49" t="e" cm="1">
        <f t="array" ref="B252">Educator!B257&amp;" "&amp;_xlfn.IFS(AND(ISNUMBER(Educator!D257),Educator!D257&lt;&gt;9),"Grade "&amp;Educator!D257,Educator!D257=9,"Grade 9-12",ISTEXT(Educator!D257),Educator!D257)&amp;" "&amp;"Florida"&amp;" "&amp;"26-27"</f>
        <v>#N/A</v>
      </c>
      <c r="C252" s="49" t="e">
        <f t="shared" si="4"/>
        <v>#N/A</v>
      </c>
      <c r="E252" s="51" t="s">
        <v>102</v>
      </c>
      <c r="F252" s="49" t="b">
        <f>IF(Educator!B257&gt;0,"active")</f>
        <v>0</v>
      </c>
      <c r="J252" s="49" t="str">
        <f>"BP-"&amp;"TSWFL-"&amp;IF(ISNUMBER(Educator!D257),""&amp;Educator!D257,Educator!D257)&amp;"-"&amp;"2027"</f>
        <v>BP-TSWFL--2027</v>
      </c>
    </row>
    <row r="253" spans="1:10" x14ac:dyDescent="0.2">
      <c r="A2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","#",3))+1,1)&amp;"-"&amp;LEFT(Educator!B258, 3)&amp;"-"&amp;LEFT(Educator!A258, 3)&amp;"-"&amp;IF(ISNUMBER(Educator!D258),"G"&amp;Educator!D258,Educator!D258)&amp;"-"&amp;"2027"</f>
        <v>CID-FLH----2027</v>
      </c>
      <c r="B253" s="49" t="e" cm="1">
        <f t="array" ref="B253">Educator!B258&amp;" "&amp;_xlfn.IFS(AND(ISNUMBER(Educator!D258),Educator!D258&lt;&gt;9),"Grade "&amp;Educator!D258,Educator!D258=9,"Grade 9-12",ISTEXT(Educator!D258),Educator!D258)&amp;" "&amp;"Florida"&amp;" "&amp;"26-27"</f>
        <v>#N/A</v>
      </c>
      <c r="C253" s="49" t="e">
        <f t="shared" si="4"/>
        <v>#N/A</v>
      </c>
      <c r="E253" s="51" t="s">
        <v>102</v>
      </c>
      <c r="F253" s="49" t="b">
        <f>IF(Educator!B258&gt;0,"active")</f>
        <v>0</v>
      </c>
      <c r="J253" s="49" t="str">
        <f>"BP-"&amp;"TSWFL-"&amp;IF(ISNUMBER(Educator!D258),""&amp;Educator!D258,Educator!D258)&amp;"-"&amp;"2027"</f>
        <v>BP-TSWFL--2027</v>
      </c>
    </row>
    <row r="254" spans="1:10" x14ac:dyDescent="0.2">
      <c r="A2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","#",3))+1,1)&amp;"-"&amp;LEFT(Educator!B259, 3)&amp;"-"&amp;LEFT(Educator!A259, 3)&amp;"-"&amp;IF(ISNUMBER(Educator!D259),"G"&amp;Educator!D259,Educator!D259)&amp;"-"&amp;"2027"</f>
        <v>CID-FLH----2027</v>
      </c>
      <c r="B254" s="49" t="e" cm="1">
        <f t="array" ref="B254">Educator!B259&amp;" "&amp;_xlfn.IFS(AND(ISNUMBER(Educator!D259),Educator!D259&lt;&gt;9),"Grade "&amp;Educator!D259,Educator!D259=9,"Grade 9-12",ISTEXT(Educator!D259),Educator!D259)&amp;" "&amp;"Florida"&amp;" "&amp;"26-27"</f>
        <v>#N/A</v>
      </c>
      <c r="C254" s="49" t="e">
        <f t="shared" si="4"/>
        <v>#N/A</v>
      </c>
      <c r="E254" s="51" t="s">
        <v>102</v>
      </c>
      <c r="F254" s="49" t="b">
        <f>IF(Educator!B259&gt;0,"active")</f>
        <v>0</v>
      </c>
      <c r="J254" s="49" t="str">
        <f>"BP-"&amp;"TSWFL-"&amp;IF(ISNUMBER(Educator!D259),""&amp;Educator!D259,Educator!D259)&amp;"-"&amp;"2027"</f>
        <v>BP-TSWFL--2027</v>
      </c>
    </row>
    <row r="255" spans="1:10" x14ac:dyDescent="0.2">
      <c r="A2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","#",3))+1,1)&amp;"-"&amp;LEFT(Educator!B260, 3)&amp;"-"&amp;LEFT(Educator!A260, 3)&amp;"-"&amp;IF(ISNUMBER(Educator!D260),"G"&amp;Educator!D260,Educator!D260)&amp;"-"&amp;"2027"</f>
        <v>CID-FLH----2027</v>
      </c>
      <c r="B255" s="49" t="e" cm="1">
        <f t="array" ref="B255">Educator!B260&amp;" "&amp;_xlfn.IFS(AND(ISNUMBER(Educator!D260),Educator!D260&lt;&gt;9),"Grade "&amp;Educator!D260,Educator!D260=9,"Grade 9-12",ISTEXT(Educator!D260),Educator!D260)&amp;" "&amp;"Florida"&amp;" "&amp;"26-27"</f>
        <v>#N/A</v>
      </c>
      <c r="C255" s="49" t="e">
        <f t="shared" si="4"/>
        <v>#N/A</v>
      </c>
      <c r="E255" s="51" t="s">
        <v>102</v>
      </c>
      <c r="F255" s="49" t="b">
        <f>IF(Educator!B260&gt;0,"active")</f>
        <v>0</v>
      </c>
      <c r="J255" s="49" t="str">
        <f>"BP-"&amp;"TSWFL-"&amp;IF(ISNUMBER(Educator!D260),""&amp;Educator!D260,Educator!D260)&amp;"-"&amp;"2027"</f>
        <v>BP-TSWFL--2027</v>
      </c>
    </row>
    <row r="256" spans="1:10" x14ac:dyDescent="0.2">
      <c r="A2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","#",3))+1,1)&amp;"-"&amp;LEFT(Educator!B261, 3)&amp;"-"&amp;LEFT(Educator!A261, 3)&amp;"-"&amp;IF(ISNUMBER(Educator!D261),"G"&amp;Educator!D261,Educator!D261)&amp;"-"&amp;"2027"</f>
        <v>CID-FLH----2027</v>
      </c>
      <c r="B256" s="49" t="e" cm="1">
        <f t="array" ref="B256">Educator!B261&amp;" "&amp;_xlfn.IFS(AND(ISNUMBER(Educator!D261),Educator!D261&lt;&gt;9),"Grade "&amp;Educator!D261,Educator!D261=9,"Grade 9-12",ISTEXT(Educator!D261),Educator!D261)&amp;" "&amp;"Florida"&amp;" "&amp;"26-27"</f>
        <v>#N/A</v>
      </c>
      <c r="C256" s="49" t="e">
        <f t="shared" si="4"/>
        <v>#N/A</v>
      </c>
      <c r="E256" s="51" t="s">
        <v>102</v>
      </c>
      <c r="F256" s="49" t="b">
        <f>IF(Educator!B261&gt;0,"active")</f>
        <v>0</v>
      </c>
      <c r="J256" s="49" t="str">
        <f>"BP-"&amp;"TSWFL-"&amp;IF(ISNUMBER(Educator!D261),""&amp;Educator!D261,Educator!D261)&amp;"-"&amp;"2027"</f>
        <v>BP-TSWFL--2027</v>
      </c>
    </row>
    <row r="257" spans="1:10" x14ac:dyDescent="0.2">
      <c r="A2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","#",3))+1,1)&amp;"-"&amp;LEFT(Educator!B262, 3)&amp;"-"&amp;LEFT(Educator!A262, 3)&amp;"-"&amp;IF(ISNUMBER(Educator!D262),"G"&amp;Educator!D262,Educator!D262)&amp;"-"&amp;"2027"</f>
        <v>CID-FLH----2027</v>
      </c>
      <c r="B257" s="49" t="e" cm="1">
        <f t="array" ref="B257">Educator!B262&amp;" "&amp;_xlfn.IFS(AND(ISNUMBER(Educator!D262),Educator!D262&lt;&gt;9),"Grade "&amp;Educator!D262,Educator!D262=9,"Grade 9-12",ISTEXT(Educator!D262),Educator!D262)&amp;" "&amp;"Florida"&amp;" "&amp;"26-27"</f>
        <v>#N/A</v>
      </c>
      <c r="C257" s="49" t="e">
        <f t="shared" si="4"/>
        <v>#N/A</v>
      </c>
      <c r="E257" s="51" t="s">
        <v>102</v>
      </c>
      <c r="F257" s="49" t="b">
        <f>IF(Educator!B262&gt;0,"active")</f>
        <v>0</v>
      </c>
      <c r="J257" s="49" t="str">
        <f>"BP-"&amp;"TSWFL-"&amp;IF(ISNUMBER(Educator!D262),""&amp;Educator!D262,Educator!D262)&amp;"-"&amp;"2027"</f>
        <v>BP-TSWFL--2027</v>
      </c>
    </row>
    <row r="258" spans="1:10" x14ac:dyDescent="0.2">
      <c r="A2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","#",3))+1,1)&amp;"-"&amp;LEFT(Educator!B263, 3)&amp;"-"&amp;LEFT(Educator!A263, 3)&amp;"-"&amp;IF(ISNUMBER(Educator!D263),"G"&amp;Educator!D263,Educator!D263)&amp;"-"&amp;"2027"</f>
        <v>CID-FLH----2027</v>
      </c>
      <c r="B258" s="49" t="e" cm="1">
        <f t="array" ref="B258">Educator!B263&amp;" "&amp;_xlfn.IFS(AND(ISNUMBER(Educator!D263),Educator!D263&lt;&gt;9),"Grade "&amp;Educator!D263,Educator!D263=9,"Grade 9-12",ISTEXT(Educator!D263),Educator!D263)&amp;" "&amp;"Florida"&amp;" "&amp;"26-27"</f>
        <v>#N/A</v>
      </c>
      <c r="C258" s="49" t="e">
        <f t="shared" si="4"/>
        <v>#N/A</v>
      </c>
      <c r="E258" s="51" t="s">
        <v>102</v>
      </c>
      <c r="F258" s="49" t="b">
        <f>IF(Educator!B263&gt;0,"active")</f>
        <v>0</v>
      </c>
      <c r="J258" s="49" t="str">
        <f>"BP-"&amp;"TSWFL-"&amp;IF(ISNUMBER(Educator!D263),""&amp;Educator!D263,Educator!D263)&amp;"-"&amp;"2027"</f>
        <v>BP-TSWFL--2027</v>
      </c>
    </row>
    <row r="259" spans="1:10" x14ac:dyDescent="0.2">
      <c r="A2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","#",3))+1,1)&amp;"-"&amp;LEFT(Educator!B264, 3)&amp;"-"&amp;LEFT(Educator!A264, 3)&amp;"-"&amp;IF(ISNUMBER(Educator!D264),"G"&amp;Educator!D264,Educator!D264)&amp;"-"&amp;"2027"</f>
        <v>CID-FLH----2027</v>
      </c>
      <c r="B259" s="49" t="e" cm="1">
        <f t="array" ref="B259">Educator!B264&amp;" "&amp;_xlfn.IFS(AND(ISNUMBER(Educator!D264),Educator!D264&lt;&gt;9),"Grade "&amp;Educator!D264,Educator!D264=9,"Grade 9-12",ISTEXT(Educator!D264),Educator!D264)&amp;" "&amp;"Florida"&amp;" "&amp;"26-27"</f>
        <v>#N/A</v>
      </c>
      <c r="C259" s="49" t="e">
        <f t="shared" si="4"/>
        <v>#N/A</v>
      </c>
      <c r="E259" s="51" t="s">
        <v>102</v>
      </c>
      <c r="F259" s="49" t="b">
        <f>IF(Educator!B264&gt;0,"active")</f>
        <v>0</v>
      </c>
      <c r="J259" s="49" t="str">
        <f>"BP-"&amp;"TSWFL-"&amp;IF(ISNUMBER(Educator!D264),""&amp;Educator!D264,Educator!D264)&amp;"-"&amp;"2027"</f>
        <v>BP-TSWFL--2027</v>
      </c>
    </row>
    <row r="260" spans="1:10" x14ac:dyDescent="0.2">
      <c r="A2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","#",3))+1,1)&amp;"-"&amp;LEFT(Educator!B265, 3)&amp;"-"&amp;LEFT(Educator!A265, 3)&amp;"-"&amp;IF(ISNUMBER(Educator!D265),"G"&amp;Educator!D265,Educator!D265)&amp;"-"&amp;"2027"</f>
        <v>CID-FLH----2027</v>
      </c>
      <c r="B260" s="49" t="e" cm="1">
        <f t="array" ref="B260">Educator!B265&amp;" "&amp;_xlfn.IFS(AND(ISNUMBER(Educator!D265),Educator!D265&lt;&gt;9),"Grade "&amp;Educator!D265,Educator!D265=9,"Grade 9-12",ISTEXT(Educator!D265),Educator!D265)&amp;" "&amp;"Florida"&amp;" "&amp;"26-27"</f>
        <v>#N/A</v>
      </c>
      <c r="C260" s="49" t="e">
        <f t="shared" si="4"/>
        <v>#N/A</v>
      </c>
      <c r="E260" s="51" t="s">
        <v>102</v>
      </c>
      <c r="F260" s="49" t="b">
        <f>IF(Educator!B265&gt;0,"active")</f>
        <v>0</v>
      </c>
      <c r="J260" s="49" t="str">
        <f>"BP-"&amp;"TSWFL-"&amp;IF(ISNUMBER(Educator!D265),""&amp;Educator!D265,Educator!D265)&amp;"-"&amp;"2027"</f>
        <v>BP-TSWFL--2027</v>
      </c>
    </row>
    <row r="261" spans="1:10" x14ac:dyDescent="0.2">
      <c r="A2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","#",3))+1,1)&amp;"-"&amp;LEFT(Educator!B266, 3)&amp;"-"&amp;LEFT(Educator!A266, 3)&amp;"-"&amp;IF(ISNUMBER(Educator!D266),"G"&amp;Educator!D266,Educator!D266)&amp;"-"&amp;"2027"</f>
        <v>CID-FLH----2027</v>
      </c>
      <c r="B261" s="49" t="e" cm="1">
        <f t="array" ref="B261">Educator!B266&amp;" "&amp;_xlfn.IFS(AND(ISNUMBER(Educator!D266),Educator!D266&lt;&gt;9),"Grade "&amp;Educator!D266,Educator!D266=9,"Grade 9-12",ISTEXT(Educator!D266),Educator!D266)&amp;" "&amp;"Florida"&amp;" "&amp;"26-27"</f>
        <v>#N/A</v>
      </c>
      <c r="C261" s="49" t="e">
        <f t="shared" si="4"/>
        <v>#N/A</v>
      </c>
      <c r="E261" s="51" t="s">
        <v>102</v>
      </c>
      <c r="F261" s="49" t="b">
        <f>IF(Educator!B266&gt;0,"active")</f>
        <v>0</v>
      </c>
      <c r="J261" s="49" t="str">
        <f>"BP-"&amp;"TSWFL-"&amp;IF(ISNUMBER(Educator!D266),""&amp;Educator!D266,Educator!D266)&amp;"-"&amp;"2027"</f>
        <v>BP-TSWFL--2027</v>
      </c>
    </row>
    <row r="262" spans="1:10" x14ac:dyDescent="0.2">
      <c r="A2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","#",3))+1,1)&amp;"-"&amp;LEFT(Educator!B267, 3)&amp;"-"&amp;LEFT(Educator!A267, 3)&amp;"-"&amp;IF(ISNUMBER(Educator!D267),"G"&amp;Educator!D267,Educator!D267)&amp;"-"&amp;"2027"</f>
        <v>CID-FLH----2027</v>
      </c>
      <c r="B262" s="49" t="e" cm="1">
        <f t="array" ref="B262">Educator!B267&amp;" "&amp;_xlfn.IFS(AND(ISNUMBER(Educator!D267),Educator!D267&lt;&gt;9),"Grade "&amp;Educator!D267,Educator!D267=9,"Grade 9-12",ISTEXT(Educator!D267),Educator!D267)&amp;" "&amp;"Florida"&amp;" "&amp;"26-27"</f>
        <v>#N/A</v>
      </c>
      <c r="C262" s="49" t="e">
        <f t="shared" si="4"/>
        <v>#N/A</v>
      </c>
      <c r="E262" s="51" t="s">
        <v>102</v>
      </c>
      <c r="F262" s="49" t="b">
        <f>IF(Educator!B267&gt;0,"active")</f>
        <v>0</v>
      </c>
      <c r="J262" s="49" t="str">
        <f>"BP-"&amp;"TSWFL-"&amp;IF(ISNUMBER(Educator!D267),""&amp;Educator!D267,Educator!D267)&amp;"-"&amp;"2027"</f>
        <v>BP-TSWFL--2027</v>
      </c>
    </row>
    <row r="263" spans="1:10" x14ac:dyDescent="0.2">
      <c r="A2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","#",3))+1,1)&amp;"-"&amp;LEFT(Educator!B268, 3)&amp;"-"&amp;LEFT(Educator!A268, 3)&amp;"-"&amp;IF(ISNUMBER(Educator!D268),"G"&amp;Educator!D268,Educator!D268)&amp;"-"&amp;"2027"</f>
        <v>CID-FLH----2027</v>
      </c>
      <c r="B263" s="49" t="e" cm="1">
        <f t="array" ref="B263">Educator!B268&amp;" "&amp;_xlfn.IFS(AND(ISNUMBER(Educator!D268),Educator!D268&lt;&gt;9),"Grade "&amp;Educator!D268,Educator!D268=9,"Grade 9-12",ISTEXT(Educator!D268),Educator!D268)&amp;" "&amp;"Florida"&amp;" "&amp;"26-27"</f>
        <v>#N/A</v>
      </c>
      <c r="C263" s="49" t="e">
        <f t="shared" si="4"/>
        <v>#N/A</v>
      </c>
      <c r="E263" s="51" t="s">
        <v>102</v>
      </c>
      <c r="F263" s="49" t="b">
        <f>IF(Educator!B268&gt;0,"active")</f>
        <v>0</v>
      </c>
      <c r="J263" s="49" t="str">
        <f>"BP-"&amp;"TSWFL-"&amp;IF(ISNUMBER(Educator!D268),""&amp;Educator!D268,Educator!D268)&amp;"-"&amp;"2027"</f>
        <v>BP-TSWFL--2027</v>
      </c>
    </row>
    <row r="264" spans="1:10" x14ac:dyDescent="0.2">
      <c r="A2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","#",3))+1,1)&amp;"-"&amp;LEFT(Educator!B269, 3)&amp;"-"&amp;LEFT(Educator!A269, 3)&amp;"-"&amp;IF(ISNUMBER(Educator!D269),"G"&amp;Educator!D269,Educator!D269)&amp;"-"&amp;"2027"</f>
        <v>CID-FLH----2027</v>
      </c>
      <c r="B264" s="49" t="e" cm="1">
        <f t="array" ref="B264">Educator!B269&amp;" "&amp;_xlfn.IFS(AND(ISNUMBER(Educator!D269),Educator!D269&lt;&gt;9),"Grade "&amp;Educator!D269,Educator!D269=9,"Grade 9-12",ISTEXT(Educator!D269),Educator!D269)&amp;" "&amp;"Florida"&amp;" "&amp;"26-27"</f>
        <v>#N/A</v>
      </c>
      <c r="C264" s="49" t="e">
        <f t="shared" si="4"/>
        <v>#N/A</v>
      </c>
      <c r="E264" s="51" t="s">
        <v>102</v>
      </c>
      <c r="F264" s="49" t="b">
        <f>IF(Educator!B269&gt;0,"active")</f>
        <v>0</v>
      </c>
      <c r="J264" s="49" t="str">
        <f>"BP-"&amp;"TSWFL-"&amp;IF(ISNUMBER(Educator!D269),""&amp;Educator!D269,Educator!D269)&amp;"-"&amp;"2027"</f>
        <v>BP-TSWFL--2027</v>
      </c>
    </row>
    <row r="265" spans="1:10" x14ac:dyDescent="0.2">
      <c r="A2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","#",3))+1,1)&amp;"-"&amp;LEFT(Educator!B270, 3)&amp;"-"&amp;LEFT(Educator!A270, 3)&amp;"-"&amp;IF(ISNUMBER(Educator!D270),"G"&amp;Educator!D270,Educator!D270)&amp;"-"&amp;"2027"</f>
        <v>CID-FLH----2027</v>
      </c>
      <c r="B265" s="49" t="e" cm="1">
        <f t="array" ref="B265">Educator!B270&amp;" "&amp;_xlfn.IFS(AND(ISNUMBER(Educator!D270),Educator!D270&lt;&gt;9),"Grade "&amp;Educator!D270,Educator!D270=9,"Grade 9-12",ISTEXT(Educator!D270),Educator!D270)&amp;" "&amp;"Florida"&amp;" "&amp;"26-27"</f>
        <v>#N/A</v>
      </c>
      <c r="C265" s="49" t="e">
        <f t="shared" si="4"/>
        <v>#N/A</v>
      </c>
      <c r="E265" s="51" t="s">
        <v>102</v>
      </c>
      <c r="F265" s="49" t="b">
        <f>IF(Educator!B270&gt;0,"active")</f>
        <v>0</v>
      </c>
      <c r="J265" s="49" t="str">
        <f>"BP-"&amp;"TSWFL-"&amp;IF(ISNUMBER(Educator!D270),""&amp;Educator!D270,Educator!D270)&amp;"-"&amp;"2027"</f>
        <v>BP-TSWFL--2027</v>
      </c>
    </row>
    <row r="266" spans="1:10" x14ac:dyDescent="0.2">
      <c r="A2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","#",3))+1,1)&amp;"-"&amp;LEFT(Educator!B271, 3)&amp;"-"&amp;LEFT(Educator!A271, 3)&amp;"-"&amp;IF(ISNUMBER(Educator!D271),"G"&amp;Educator!D271,Educator!D271)&amp;"-"&amp;"2027"</f>
        <v>CID-FLH----2027</v>
      </c>
      <c r="B266" s="49" t="e" cm="1">
        <f t="array" ref="B266">Educator!B271&amp;" "&amp;_xlfn.IFS(AND(ISNUMBER(Educator!D271),Educator!D271&lt;&gt;9),"Grade "&amp;Educator!D271,Educator!D271=9,"Grade 9-12",ISTEXT(Educator!D271),Educator!D271)&amp;" "&amp;"Florida"&amp;" "&amp;"26-27"</f>
        <v>#N/A</v>
      </c>
      <c r="C266" s="49" t="e">
        <f t="shared" si="4"/>
        <v>#N/A</v>
      </c>
      <c r="E266" s="51" t="s">
        <v>102</v>
      </c>
      <c r="F266" s="49" t="b">
        <f>IF(Educator!B271&gt;0,"active")</f>
        <v>0</v>
      </c>
      <c r="J266" s="49" t="str">
        <f>"BP-"&amp;"TSWFL-"&amp;IF(ISNUMBER(Educator!D271),""&amp;Educator!D271,Educator!D271)&amp;"-"&amp;"2027"</f>
        <v>BP-TSWFL--2027</v>
      </c>
    </row>
    <row r="267" spans="1:10" x14ac:dyDescent="0.2">
      <c r="A2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","#",3))+1,1)&amp;"-"&amp;LEFT(Educator!B272, 3)&amp;"-"&amp;LEFT(Educator!A272, 3)&amp;"-"&amp;IF(ISNUMBER(Educator!D272),"G"&amp;Educator!D272,Educator!D272)&amp;"-"&amp;"2027"</f>
        <v>CID-FLH----2027</v>
      </c>
      <c r="B267" s="49" t="e" cm="1">
        <f t="array" ref="B267">Educator!B272&amp;" "&amp;_xlfn.IFS(AND(ISNUMBER(Educator!D272),Educator!D272&lt;&gt;9),"Grade "&amp;Educator!D272,Educator!D272=9,"Grade 9-12",ISTEXT(Educator!D272),Educator!D272)&amp;" "&amp;"Florida"&amp;" "&amp;"26-27"</f>
        <v>#N/A</v>
      </c>
      <c r="C267" s="49" t="e">
        <f t="shared" si="4"/>
        <v>#N/A</v>
      </c>
      <c r="E267" s="51" t="s">
        <v>102</v>
      </c>
      <c r="F267" s="49" t="b">
        <f>IF(Educator!B272&gt;0,"active")</f>
        <v>0</v>
      </c>
      <c r="J267" s="49" t="str">
        <f>"BP-"&amp;"TSWFL-"&amp;IF(ISNUMBER(Educator!D272),""&amp;Educator!D272,Educator!D272)&amp;"-"&amp;"2027"</f>
        <v>BP-TSWFL--2027</v>
      </c>
    </row>
    <row r="268" spans="1:10" x14ac:dyDescent="0.2">
      <c r="A2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","#",3))+1,1)&amp;"-"&amp;LEFT(Educator!B273, 3)&amp;"-"&amp;LEFT(Educator!A273, 3)&amp;"-"&amp;IF(ISNUMBER(Educator!D273),"G"&amp;Educator!D273,Educator!D273)&amp;"-"&amp;"2027"</f>
        <v>CID-FLH----2027</v>
      </c>
      <c r="B268" s="49" t="e" cm="1">
        <f t="array" ref="B268">Educator!B273&amp;" "&amp;_xlfn.IFS(AND(ISNUMBER(Educator!D273),Educator!D273&lt;&gt;9),"Grade "&amp;Educator!D273,Educator!D273=9,"Grade 9-12",ISTEXT(Educator!D273),Educator!D273)&amp;" "&amp;"Florida"&amp;" "&amp;"26-27"</f>
        <v>#N/A</v>
      </c>
      <c r="C268" s="49" t="e">
        <f t="shared" si="4"/>
        <v>#N/A</v>
      </c>
      <c r="E268" s="51" t="s">
        <v>102</v>
      </c>
      <c r="F268" s="49" t="b">
        <f>IF(Educator!B273&gt;0,"active")</f>
        <v>0</v>
      </c>
      <c r="J268" s="49" t="str">
        <f>"BP-"&amp;"TSWFL-"&amp;IF(ISNUMBER(Educator!D273),""&amp;Educator!D273,Educator!D273)&amp;"-"&amp;"2027"</f>
        <v>BP-TSWFL--2027</v>
      </c>
    </row>
    <row r="269" spans="1:10" x14ac:dyDescent="0.2">
      <c r="A2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","#",3))+1,1)&amp;"-"&amp;LEFT(Educator!B274, 3)&amp;"-"&amp;LEFT(Educator!A274, 3)&amp;"-"&amp;IF(ISNUMBER(Educator!D274),"G"&amp;Educator!D274,Educator!D274)&amp;"-"&amp;"2027"</f>
        <v>CID-FLH----2027</v>
      </c>
      <c r="B269" s="49" t="e" cm="1">
        <f t="array" ref="B269">Educator!B274&amp;" "&amp;_xlfn.IFS(AND(ISNUMBER(Educator!D274),Educator!D274&lt;&gt;9),"Grade "&amp;Educator!D274,Educator!D274=9,"Grade 9-12",ISTEXT(Educator!D274),Educator!D274)&amp;" "&amp;"Florida"&amp;" "&amp;"26-27"</f>
        <v>#N/A</v>
      </c>
      <c r="C269" s="49" t="e">
        <f t="shared" si="4"/>
        <v>#N/A</v>
      </c>
      <c r="E269" s="51" t="s">
        <v>102</v>
      </c>
      <c r="F269" s="49" t="b">
        <f>IF(Educator!B274&gt;0,"active")</f>
        <v>0</v>
      </c>
      <c r="J269" s="49" t="str">
        <f>"BP-"&amp;"TSWFL-"&amp;IF(ISNUMBER(Educator!D274),""&amp;Educator!D274,Educator!D274)&amp;"-"&amp;"2027"</f>
        <v>BP-TSWFL--2027</v>
      </c>
    </row>
    <row r="270" spans="1:10" x14ac:dyDescent="0.2">
      <c r="A2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","#",3))+1,1)&amp;"-"&amp;LEFT(Educator!B275, 3)&amp;"-"&amp;LEFT(Educator!A275, 3)&amp;"-"&amp;IF(ISNUMBER(Educator!D275),"G"&amp;Educator!D275,Educator!D275)&amp;"-"&amp;"2027"</f>
        <v>CID-FLH----2027</v>
      </c>
      <c r="B270" s="49" t="e" cm="1">
        <f t="array" ref="B270">Educator!B275&amp;" "&amp;_xlfn.IFS(AND(ISNUMBER(Educator!D275),Educator!D275&lt;&gt;9),"Grade "&amp;Educator!D275,Educator!D275=9,"Grade 9-12",ISTEXT(Educator!D275),Educator!D275)&amp;" "&amp;"Florida"&amp;" "&amp;"26-27"</f>
        <v>#N/A</v>
      </c>
      <c r="C270" s="49" t="e">
        <f t="shared" si="4"/>
        <v>#N/A</v>
      </c>
      <c r="E270" s="51" t="s">
        <v>102</v>
      </c>
      <c r="F270" s="49" t="b">
        <f>IF(Educator!B275&gt;0,"active")</f>
        <v>0</v>
      </c>
      <c r="J270" s="49" t="str">
        <f>"BP-"&amp;"TSWFL-"&amp;IF(ISNUMBER(Educator!D275),""&amp;Educator!D275,Educator!D275)&amp;"-"&amp;"2027"</f>
        <v>BP-TSWFL--2027</v>
      </c>
    </row>
    <row r="271" spans="1:10" x14ac:dyDescent="0.2">
      <c r="A2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","#",3))+1,1)&amp;"-"&amp;LEFT(Educator!B276, 3)&amp;"-"&amp;LEFT(Educator!A276, 3)&amp;"-"&amp;IF(ISNUMBER(Educator!D276),"G"&amp;Educator!D276,Educator!D276)&amp;"-"&amp;"2027"</f>
        <v>CID-FLH----2027</v>
      </c>
      <c r="B271" s="49" t="e" cm="1">
        <f t="array" ref="B271">Educator!B276&amp;" "&amp;_xlfn.IFS(AND(ISNUMBER(Educator!D276),Educator!D276&lt;&gt;9),"Grade "&amp;Educator!D276,Educator!D276=9,"Grade 9-12",ISTEXT(Educator!D276),Educator!D276)&amp;" "&amp;"Florida"&amp;" "&amp;"26-27"</f>
        <v>#N/A</v>
      </c>
      <c r="C271" s="49" t="e">
        <f t="shared" si="4"/>
        <v>#N/A</v>
      </c>
      <c r="E271" s="51" t="s">
        <v>102</v>
      </c>
      <c r="F271" s="49" t="b">
        <f>IF(Educator!B276&gt;0,"active")</f>
        <v>0</v>
      </c>
      <c r="J271" s="49" t="str">
        <f>"BP-"&amp;"TSWFL-"&amp;IF(ISNUMBER(Educator!D276),""&amp;Educator!D276,Educator!D276)&amp;"-"&amp;"2027"</f>
        <v>BP-TSWFL--2027</v>
      </c>
    </row>
    <row r="272" spans="1:10" x14ac:dyDescent="0.2">
      <c r="A2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","#",3))+1,1)&amp;"-"&amp;LEFT(Educator!B277, 3)&amp;"-"&amp;LEFT(Educator!A277, 3)&amp;"-"&amp;IF(ISNUMBER(Educator!D277),"G"&amp;Educator!D277,Educator!D277)&amp;"-"&amp;"2027"</f>
        <v>CID-FLH----2027</v>
      </c>
      <c r="B272" s="49" t="e" cm="1">
        <f t="array" ref="B272">Educator!B277&amp;" "&amp;_xlfn.IFS(AND(ISNUMBER(Educator!D277),Educator!D277&lt;&gt;9),"Grade "&amp;Educator!D277,Educator!D277=9,"Grade 9-12",ISTEXT(Educator!D277),Educator!D277)&amp;" "&amp;"Florida"&amp;" "&amp;"26-27"</f>
        <v>#N/A</v>
      </c>
      <c r="C272" s="49" t="e">
        <f t="shared" si="4"/>
        <v>#N/A</v>
      </c>
      <c r="E272" s="51" t="s">
        <v>102</v>
      </c>
      <c r="F272" s="49" t="b">
        <f>IF(Educator!B277&gt;0,"active")</f>
        <v>0</v>
      </c>
      <c r="J272" s="49" t="str">
        <f>"BP-"&amp;"TSWFL-"&amp;IF(ISNUMBER(Educator!D277),""&amp;Educator!D277,Educator!D277)&amp;"-"&amp;"2027"</f>
        <v>BP-TSWFL--2027</v>
      </c>
    </row>
    <row r="273" spans="1:10" x14ac:dyDescent="0.2">
      <c r="A2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","#",3))+1,1)&amp;"-"&amp;LEFT(Educator!B278, 3)&amp;"-"&amp;LEFT(Educator!A278, 3)&amp;"-"&amp;IF(ISNUMBER(Educator!D278),"G"&amp;Educator!D278,Educator!D278)&amp;"-"&amp;"2027"</f>
        <v>CID-FLH----2027</v>
      </c>
      <c r="B273" s="49" t="e" cm="1">
        <f t="array" ref="B273">Educator!B278&amp;" "&amp;_xlfn.IFS(AND(ISNUMBER(Educator!D278),Educator!D278&lt;&gt;9),"Grade "&amp;Educator!D278,Educator!D278=9,"Grade 9-12",ISTEXT(Educator!D278),Educator!D278)&amp;" "&amp;"Florida"&amp;" "&amp;"26-27"</f>
        <v>#N/A</v>
      </c>
      <c r="C273" s="49" t="e">
        <f t="shared" si="4"/>
        <v>#N/A</v>
      </c>
      <c r="E273" s="51" t="s">
        <v>102</v>
      </c>
      <c r="F273" s="49" t="b">
        <f>IF(Educator!B278&gt;0,"active")</f>
        <v>0</v>
      </c>
      <c r="J273" s="49" t="str">
        <f>"BP-"&amp;"TSWFL-"&amp;IF(ISNUMBER(Educator!D278),""&amp;Educator!D278,Educator!D278)&amp;"-"&amp;"2027"</f>
        <v>BP-TSWFL--2027</v>
      </c>
    </row>
    <row r="274" spans="1:10" x14ac:dyDescent="0.2">
      <c r="A2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","#",3))+1,1)&amp;"-"&amp;LEFT(Educator!B279, 3)&amp;"-"&amp;LEFT(Educator!A279, 3)&amp;"-"&amp;IF(ISNUMBER(Educator!D279),"G"&amp;Educator!D279,Educator!D279)&amp;"-"&amp;"2027"</f>
        <v>CID-FLH----2027</v>
      </c>
      <c r="B274" s="49" t="e" cm="1">
        <f t="array" ref="B274">Educator!B279&amp;" "&amp;_xlfn.IFS(AND(ISNUMBER(Educator!D279),Educator!D279&lt;&gt;9),"Grade "&amp;Educator!D279,Educator!D279=9,"Grade 9-12",ISTEXT(Educator!D279),Educator!D279)&amp;" "&amp;"Florida"&amp;" "&amp;"26-27"</f>
        <v>#N/A</v>
      </c>
      <c r="C274" s="49" t="e">
        <f t="shared" ref="C274:C337" si="5">B274</f>
        <v>#N/A</v>
      </c>
      <c r="E274" s="51" t="s">
        <v>102</v>
      </c>
      <c r="F274" s="49" t="b">
        <f>IF(Educator!B279&gt;0,"active")</f>
        <v>0</v>
      </c>
      <c r="J274" s="49" t="str">
        <f>"BP-"&amp;"TSWFL-"&amp;IF(ISNUMBER(Educator!D279),""&amp;Educator!D279,Educator!D279)&amp;"-"&amp;"2027"</f>
        <v>BP-TSWFL--2027</v>
      </c>
    </row>
    <row r="275" spans="1:10" x14ac:dyDescent="0.2">
      <c r="A2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","#",3))+1,1)&amp;"-"&amp;LEFT(Educator!B280, 3)&amp;"-"&amp;LEFT(Educator!A280, 3)&amp;"-"&amp;IF(ISNUMBER(Educator!D280),"G"&amp;Educator!D280,Educator!D280)&amp;"-"&amp;"2027"</f>
        <v>CID-FLH----2027</v>
      </c>
      <c r="B275" s="49" t="e" cm="1">
        <f t="array" ref="B275">Educator!B280&amp;" "&amp;_xlfn.IFS(AND(ISNUMBER(Educator!D280),Educator!D280&lt;&gt;9),"Grade "&amp;Educator!D280,Educator!D280=9,"Grade 9-12",ISTEXT(Educator!D280),Educator!D280)&amp;" "&amp;"Florida"&amp;" "&amp;"26-27"</f>
        <v>#N/A</v>
      </c>
      <c r="C275" s="49" t="e">
        <f t="shared" si="5"/>
        <v>#N/A</v>
      </c>
      <c r="E275" s="51" t="s">
        <v>102</v>
      </c>
      <c r="F275" s="49" t="b">
        <f>IF(Educator!B280&gt;0,"active")</f>
        <v>0</v>
      </c>
      <c r="J275" s="49" t="str">
        <f>"BP-"&amp;"TSWFL-"&amp;IF(ISNUMBER(Educator!D280),""&amp;Educator!D280,Educator!D280)&amp;"-"&amp;"2027"</f>
        <v>BP-TSWFL--2027</v>
      </c>
    </row>
    <row r="276" spans="1:10" x14ac:dyDescent="0.2">
      <c r="A2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","#",3))+1,1)&amp;"-"&amp;LEFT(Educator!B281, 3)&amp;"-"&amp;LEFT(Educator!A281, 3)&amp;"-"&amp;IF(ISNUMBER(Educator!D281),"G"&amp;Educator!D281,Educator!D281)&amp;"-"&amp;"2027"</f>
        <v>CID-FLH----2027</v>
      </c>
      <c r="B276" s="49" t="e" cm="1">
        <f t="array" ref="B276">Educator!B281&amp;" "&amp;_xlfn.IFS(AND(ISNUMBER(Educator!D281),Educator!D281&lt;&gt;9),"Grade "&amp;Educator!D281,Educator!D281=9,"Grade 9-12",ISTEXT(Educator!D281),Educator!D281)&amp;" "&amp;"Florida"&amp;" "&amp;"26-27"</f>
        <v>#N/A</v>
      </c>
      <c r="C276" s="49" t="e">
        <f t="shared" si="5"/>
        <v>#N/A</v>
      </c>
      <c r="E276" s="51" t="s">
        <v>102</v>
      </c>
      <c r="F276" s="49" t="b">
        <f>IF(Educator!B281&gt;0,"active")</f>
        <v>0</v>
      </c>
      <c r="J276" s="49" t="str">
        <f>"BP-"&amp;"TSWFL-"&amp;IF(ISNUMBER(Educator!D281),""&amp;Educator!D281,Educator!D281)&amp;"-"&amp;"2027"</f>
        <v>BP-TSWFL--2027</v>
      </c>
    </row>
    <row r="277" spans="1:10" x14ac:dyDescent="0.2">
      <c r="A2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","#",3))+1,1)&amp;"-"&amp;LEFT(Educator!B282, 3)&amp;"-"&amp;LEFT(Educator!A282, 3)&amp;"-"&amp;IF(ISNUMBER(Educator!D282),"G"&amp;Educator!D282,Educator!D282)&amp;"-"&amp;"2027"</f>
        <v>CID-FLH----2027</v>
      </c>
      <c r="B277" s="49" t="e" cm="1">
        <f t="array" ref="B277">Educator!B282&amp;" "&amp;_xlfn.IFS(AND(ISNUMBER(Educator!D282),Educator!D282&lt;&gt;9),"Grade "&amp;Educator!D282,Educator!D282=9,"Grade 9-12",ISTEXT(Educator!D282),Educator!D282)&amp;" "&amp;"Florida"&amp;" "&amp;"26-27"</f>
        <v>#N/A</v>
      </c>
      <c r="C277" s="49" t="e">
        <f t="shared" si="5"/>
        <v>#N/A</v>
      </c>
      <c r="E277" s="51" t="s">
        <v>102</v>
      </c>
      <c r="F277" s="49" t="b">
        <f>IF(Educator!B282&gt;0,"active")</f>
        <v>0</v>
      </c>
      <c r="J277" s="49" t="str">
        <f>"BP-"&amp;"TSWFL-"&amp;IF(ISNUMBER(Educator!D282),""&amp;Educator!D282,Educator!D282)&amp;"-"&amp;"2027"</f>
        <v>BP-TSWFL--2027</v>
      </c>
    </row>
    <row r="278" spans="1:10" x14ac:dyDescent="0.2">
      <c r="A2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","#",3))+1,1)&amp;"-"&amp;LEFT(Educator!B283, 3)&amp;"-"&amp;LEFT(Educator!A283, 3)&amp;"-"&amp;IF(ISNUMBER(Educator!D283),"G"&amp;Educator!D283,Educator!D283)&amp;"-"&amp;"2027"</f>
        <v>CID-FLH----2027</v>
      </c>
      <c r="B278" s="49" t="e" cm="1">
        <f t="array" ref="B278">Educator!B283&amp;" "&amp;_xlfn.IFS(AND(ISNUMBER(Educator!D283),Educator!D283&lt;&gt;9),"Grade "&amp;Educator!D283,Educator!D283=9,"Grade 9-12",ISTEXT(Educator!D283),Educator!D283)&amp;" "&amp;"Florida"&amp;" "&amp;"26-27"</f>
        <v>#N/A</v>
      </c>
      <c r="C278" s="49" t="e">
        <f t="shared" si="5"/>
        <v>#N/A</v>
      </c>
      <c r="E278" s="51" t="s">
        <v>102</v>
      </c>
      <c r="F278" s="49" t="b">
        <f>IF(Educator!B283&gt;0,"active")</f>
        <v>0</v>
      </c>
      <c r="J278" s="49" t="str">
        <f>"BP-"&amp;"TSWFL-"&amp;IF(ISNUMBER(Educator!D283),""&amp;Educator!D283,Educator!D283)&amp;"-"&amp;"2027"</f>
        <v>BP-TSWFL--2027</v>
      </c>
    </row>
    <row r="279" spans="1:10" x14ac:dyDescent="0.2">
      <c r="A2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","#",3))+1,1)&amp;"-"&amp;LEFT(Educator!B284, 3)&amp;"-"&amp;LEFT(Educator!A284, 3)&amp;"-"&amp;IF(ISNUMBER(Educator!D284),"G"&amp;Educator!D284,Educator!D284)&amp;"-"&amp;"2027"</f>
        <v>CID-FLH----2027</v>
      </c>
      <c r="B279" s="49" t="e" cm="1">
        <f t="array" ref="B279">Educator!B284&amp;" "&amp;_xlfn.IFS(AND(ISNUMBER(Educator!D284),Educator!D284&lt;&gt;9),"Grade "&amp;Educator!D284,Educator!D284=9,"Grade 9-12",ISTEXT(Educator!D284),Educator!D284)&amp;" "&amp;"Florida"&amp;" "&amp;"26-27"</f>
        <v>#N/A</v>
      </c>
      <c r="C279" s="49" t="e">
        <f t="shared" si="5"/>
        <v>#N/A</v>
      </c>
      <c r="E279" s="51" t="s">
        <v>102</v>
      </c>
      <c r="F279" s="49" t="b">
        <f>IF(Educator!B284&gt;0,"active")</f>
        <v>0</v>
      </c>
      <c r="J279" s="49" t="str">
        <f>"BP-"&amp;"TSWFL-"&amp;IF(ISNUMBER(Educator!D284),""&amp;Educator!D284,Educator!D284)&amp;"-"&amp;"2027"</f>
        <v>BP-TSWFL--2027</v>
      </c>
    </row>
    <row r="280" spans="1:10" x14ac:dyDescent="0.2">
      <c r="A2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","#",3))+1,1)&amp;"-"&amp;LEFT(Educator!B285, 3)&amp;"-"&amp;LEFT(Educator!A285, 3)&amp;"-"&amp;IF(ISNUMBER(Educator!D285),"G"&amp;Educator!D285,Educator!D285)&amp;"-"&amp;"2027"</f>
        <v>CID-FLH----2027</v>
      </c>
      <c r="B280" s="49" t="e" cm="1">
        <f t="array" ref="B280">Educator!B285&amp;" "&amp;_xlfn.IFS(AND(ISNUMBER(Educator!D285),Educator!D285&lt;&gt;9),"Grade "&amp;Educator!D285,Educator!D285=9,"Grade 9-12",ISTEXT(Educator!D285),Educator!D285)&amp;" "&amp;"Florida"&amp;" "&amp;"26-27"</f>
        <v>#N/A</v>
      </c>
      <c r="C280" s="49" t="e">
        <f t="shared" si="5"/>
        <v>#N/A</v>
      </c>
      <c r="E280" s="51" t="s">
        <v>102</v>
      </c>
      <c r="F280" s="49" t="b">
        <f>IF(Educator!B285&gt;0,"active")</f>
        <v>0</v>
      </c>
      <c r="J280" s="49" t="str">
        <f>"BP-"&amp;"TSWFL-"&amp;IF(ISNUMBER(Educator!D285),""&amp;Educator!D285,Educator!D285)&amp;"-"&amp;"2027"</f>
        <v>BP-TSWFL--2027</v>
      </c>
    </row>
    <row r="281" spans="1:10" x14ac:dyDescent="0.2">
      <c r="A2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","#",3))+1,1)&amp;"-"&amp;LEFT(Educator!B286, 3)&amp;"-"&amp;LEFT(Educator!A286, 3)&amp;"-"&amp;IF(ISNUMBER(Educator!D286),"G"&amp;Educator!D286,Educator!D286)&amp;"-"&amp;"2027"</f>
        <v>CID-FLH----2027</v>
      </c>
      <c r="B281" s="49" t="e" cm="1">
        <f t="array" ref="B281">Educator!B286&amp;" "&amp;_xlfn.IFS(AND(ISNUMBER(Educator!D286),Educator!D286&lt;&gt;9),"Grade "&amp;Educator!D286,Educator!D286=9,"Grade 9-12",ISTEXT(Educator!D286),Educator!D286)&amp;" "&amp;"Florida"&amp;" "&amp;"26-27"</f>
        <v>#N/A</v>
      </c>
      <c r="C281" s="49" t="e">
        <f t="shared" si="5"/>
        <v>#N/A</v>
      </c>
      <c r="E281" s="51" t="s">
        <v>102</v>
      </c>
      <c r="F281" s="49" t="b">
        <f>IF(Educator!B286&gt;0,"active")</f>
        <v>0</v>
      </c>
      <c r="J281" s="49" t="str">
        <f>"BP-"&amp;"TSWFL-"&amp;IF(ISNUMBER(Educator!D286),""&amp;Educator!D286,Educator!D286)&amp;"-"&amp;"2027"</f>
        <v>BP-TSWFL--2027</v>
      </c>
    </row>
    <row r="282" spans="1:10" x14ac:dyDescent="0.2">
      <c r="A2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","#",3))+1,1)&amp;"-"&amp;LEFT(Educator!B287, 3)&amp;"-"&amp;LEFT(Educator!A287, 3)&amp;"-"&amp;IF(ISNUMBER(Educator!D287),"G"&amp;Educator!D287,Educator!D287)&amp;"-"&amp;"2027"</f>
        <v>CID-FLH----2027</v>
      </c>
      <c r="B282" s="49" t="e" cm="1">
        <f t="array" ref="B282">Educator!B287&amp;" "&amp;_xlfn.IFS(AND(ISNUMBER(Educator!D287),Educator!D287&lt;&gt;9),"Grade "&amp;Educator!D287,Educator!D287=9,"Grade 9-12",ISTEXT(Educator!D287),Educator!D287)&amp;" "&amp;"Florida"&amp;" "&amp;"26-27"</f>
        <v>#N/A</v>
      </c>
      <c r="C282" s="49" t="e">
        <f t="shared" si="5"/>
        <v>#N/A</v>
      </c>
      <c r="E282" s="51" t="s">
        <v>102</v>
      </c>
      <c r="F282" s="49" t="b">
        <f>IF(Educator!B287&gt;0,"active")</f>
        <v>0</v>
      </c>
      <c r="J282" s="49" t="str">
        <f>"BP-"&amp;"TSWFL-"&amp;IF(ISNUMBER(Educator!D287),""&amp;Educator!D287,Educator!D287)&amp;"-"&amp;"2027"</f>
        <v>BP-TSWFL--2027</v>
      </c>
    </row>
    <row r="283" spans="1:10" x14ac:dyDescent="0.2">
      <c r="A2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","#",3))+1,1)&amp;"-"&amp;LEFT(Educator!B288, 3)&amp;"-"&amp;LEFT(Educator!A288, 3)&amp;"-"&amp;IF(ISNUMBER(Educator!D288),"G"&amp;Educator!D288,Educator!D288)&amp;"-"&amp;"2027"</f>
        <v>CID-FLH----2027</v>
      </c>
      <c r="B283" s="49" t="e" cm="1">
        <f t="array" ref="B283">Educator!B288&amp;" "&amp;_xlfn.IFS(AND(ISNUMBER(Educator!D288),Educator!D288&lt;&gt;9),"Grade "&amp;Educator!D288,Educator!D288=9,"Grade 9-12",ISTEXT(Educator!D288),Educator!D288)&amp;" "&amp;"Florida"&amp;" "&amp;"26-27"</f>
        <v>#N/A</v>
      </c>
      <c r="C283" s="49" t="e">
        <f t="shared" si="5"/>
        <v>#N/A</v>
      </c>
      <c r="E283" s="51" t="s">
        <v>102</v>
      </c>
      <c r="F283" s="49" t="b">
        <f>IF(Educator!B288&gt;0,"active")</f>
        <v>0</v>
      </c>
      <c r="J283" s="49" t="str">
        <f>"BP-"&amp;"TSWFL-"&amp;IF(ISNUMBER(Educator!D288),""&amp;Educator!D288,Educator!D288)&amp;"-"&amp;"2027"</f>
        <v>BP-TSWFL--2027</v>
      </c>
    </row>
    <row r="284" spans="1:10" x14ac:dyDescent="0.2">
      <c r="A2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","#",3))+1,1)&amp;"-"&amp;LEFT(Educator!B289, 3)&amp;"-"&amp;LEFT(Educator!A289, 3)&amp;"-"&amp;IF(ISNUMBER(Educator!D289),"G"&amp;Educator!D289,Educator!D289)&amp;"-"&amp;"2027"</f>
        <v>CID-FLH----2027</v>
      </c>
      <c r="B284" s="49" t="e" cm="1">
        <f t="array" ref="B284">Educator!B289&amp;" "&amp;_xlfn.IFS(AND(ISNUMBER(Educator!D289),Educator!D289&lt;&gt;9),"Grade "&amp;Educator!D289,Educator!D289=9,"Grade 9-12",ISTEXT(Educator!D289),Educator!D289)&amp;" "&amp;"Florida"&amp;" "&amp;"26-27"</f>
        <v>#N/A</v>
      </c>
      <c r="C284" s="49" t="e">
        <f t="shared" si="5"/>
        <v>#N/A</v>
      </c>
      <c r="E284" s="51" t="s">
        <v>102</v>
      </c>
      <c r="F284" s="49" t="b">
        <f>IF(Educator!B289&gt;0,"active")</f>
        <v>0</v>
      </c>
      <c r="J284" s="49" t="str">
        <f>"BP-"&amp;"TSWFL-"&amp;IF(ISNUMBER(Educator!D289),""&amp;Educator!D289,Educator!D289)&amp;"-"&amp;"2027"</f>
        <v>BP-TSWFL--2027</v>
      </c>
    </row>
    <row r="285" spans="1:10" x14ac:dyDescent="0.2">
      <c r="A2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","#",3))+1,1)&amp;"-"&amp;LEFT(Educator!B290, 3)&amp;"-"&amp;LEFT(Educator!A290, 3)&amp;"-"&amp;IF(ISNUMBER(Educator!D290),"G"&amp;Educator!D290,Educator!D290)&amp;"-"&amp;"2027"</f>
        <v>CID-FLH----2027</v>
      </c>
      <c r="B285" s="49" t="e" cm="1">
        <f t="array" ref="B285">Educator!B290&amp;" "&amp;_xlfn.IFS(AND(ISNUMBER(Educator!D290),Educator!D290&lt;&gt;9),"Grade "&amp;Educator!D290,Educator!D290=9,"Grade 9-12",ISTEXT(Educator!D290),Educator!D290)&amp;" "&amp;"Florida"&amp;" "&amp;"26-27"</f>
        <v>#N/A</v>
      </c>
      <c r="C285" s="49" t="e">
        <f t="shared" si="5"/>
        <v>#N/A</v>
      </c>
      <c r="E285" s="51" t="s">
        <v>102</v>
      </c>
      <c r="F285" s="49" t="b">
        <f>IF(Educator!B290&gt;0,"active")</f>
        <v>0</v>
      </c>
      <c r="J285" s="49" t="str">
        <f>"BP-"&amp;"TSWFL-"&amp;IF(ISNUMBER(Educator!D290),""&amp;Educator!D290,Educator!D290)&amp;"-"&amp;"2027"</f>
        <v>BP-TSWFL--2027</v>
      </c>
    </row>
    <row r="286" spans="1:10" x14ac:dyDescent="0.2">
      <c r="A2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","#",3))+1,1)&amp;"-"&amp;LEFT(Educator!B291, 3)&amp;"-"&amp;LEFT(Educator!A291, 3)&amp;"-"&amp;IF(ISNUMBER(Educator!D291),"G"&amp;Educator!D291,Educator!D291)&amp;"-"&amp;"2027"</f>
        <v>CID-FLH----2027</v>
      </c>
      <c r="B286" s="49" t="e" cm="1">
        <f t="array" ref="B286">Educator!B291&amp;" "&amp;_xlfn.IFS(AND(ISNUMBER(Educator!D291),Educator!D291&lt;&gt;9),"Grade "&amp;Educator!D291,Educator!D291=9,"Grade 9-12",ISTEXT(Educator!D291),Educator!D291)&amp;" "&amp;"Florida"&amp;" "&amp;"26-27"</f>
        <v>#N/A</v>
      </c>
      <c r="C286" s="49" t="e">
        <f t="shared" si="5"/>
        <v>#N/A</v>
      </c>
      <c r="E286" s="51" t="s">
        <v>102</v>
      </c>
      <c r="F286" s="49" t="b">
        <f>IF(Educator!B291&gt;0,"active")</f>
        <v>0</v>
      </c>
      <c r="J286" s="49" t="str">
        <f>"BP-"&amp;"TSWFL-"&amp;IF(ISNUMBER(Educator!D291),""&amp;Educator!D291,Educator!D291)&amp;"-"&amp;"2027"</f>
        <v>BP-TSWFL--2027</v>
      </c>
    </row>
    <row r="287" spans="1:10" x14ac:dyDescent="0.2">
      <c r="A2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","#",3))+1,1)&amp;"-"&amp;LEFT(Educator!B292, 3)&amp;"-"&amp;LEFT(Educator!A292, 3)&amp;"-"&amp;IF(ISNUMBER(Educator!D292),"G"&amp;Educator!D292,Educator!D292)&amp;"-"&amp;"2027"</f>
        <v>CID-FLH----2027</v>
      </c>
      <c r="B287" s="49" t="e" cm="1">
        <f t="array" ref="B287">Educator!B292&amp;" "&amp;_xlfn.IFS(AND(ISNUMBER(Educator!D292),Educator!D292&lt;&gt;9),"Grade "&amp;Educator!D292,Educator!D292=9,"Grade 9-12",ISTEXT(Educator!D292),Educator!D292)&amp;" "&amp;"Florida"&amp;" "&amp;"26-27"</f>
        <v>#N/A</v>
      </c>
      <c r="C287" s="49" t="e">
        <f t="shared" si="5"/>
        <v>#N/A</v>
      </c>
      <c r="E287" s="51" t="s">
        <v>102</v>
      </c>
      <c r="F287" s="49" t="b">
        <f>IF(Educator!B292&gt;0,"active")</f>
        <v>0</v>
      </c>
      <c r="J287" s="49" t="str">
        <f>"BP-"&amp;"TSWFL-"&amp;IF(ISNUMBER(Educator!D292),""&amp;Educator!D292,Educator!D292)&amp;"-"&amp;"2027"</f>
        <v>BP-TSWFL--2027</v>
      </c>
    </row>
    <row r="288" spans="1:10" x14ac:dyDescent="0.2">
      <c r="A2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","#",3))+1,1)&amp;"-"&amp;LEFT(Educator!B293, 3)&amp;"-"&amp;LEFT(Educator!A293, 3)&amp;"-"&amp;IF(ISNUMBER(Educator!D293),"G"&amp;Educator!D293,Educator!D293)&amp;"-"&amp;"2027"</f>
        <v>CID-FLH----2027</v>
      </c>
      <c r="B288" s="49" t="e" cm="1">
        <f t="array" ref="B288">Educator!B293&amp;" "&amp;_xlfn.IFS(AND(ISNUMBER(Educator!D293),Educator!D293&lt;&gt;9),"Grade "&amp;Educator!D293,Educator!D293=9,"Grade 9-12",ISTEXT(Educator!D293),Educator!D293)&amp;" "&amp;"Florida"&amp;" "&amp;"26-27"</f>
        <v>#N/A</v>
      </c>
      <c r="C288" s="49" t="e">
        <f t="shared" si="5"/>
        <v>#N/A</v>
      </c>
      <c r="E288" s="51" t="s">
        <v>102</v>
      </c>
      <c r="F288" s="49" t="b">
        <f>IF(Educator!B293&gt;0,"active")</f>
        <v>0</v>
      </c>
      <c r="J288" s="49" t="str">
        <f>"BP-"&amp;"TSWFL-"&amp;IF(ISNUMBER(Educator!D293),""&amp;Educator!D293,Educator!D293)&amp;"-"&amp;"2027"</f>
        <v>BP-TSWFL--2027</v>
      </c>
    </row>
    <row r="289" spans="1:10" x14ac:dyDescent="0.2">
      <c r="A2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","#",3))+1,1)&amp;"-"&amp;LEFT(Educator!B294, 3)&amp;"-"&amp;LEFT(Educator!A294, 3)&amp;"-"&amp;IF(ISNUMBER(Educator!D294),"G"&amp;Educator!D294,Educator!D294)&amp;"-"&amp;"2027"</f>
        <v>CID-FLH----2027</v>
      </c>
      <c r="B289" s="49" t="e" cm="1">
        <f t="array" ref="B289">Educator!B294&amp;" "&amp;_xlfn.IFS(AND(ISNUMBER(Educator!D294),Educator!D294&lt;&gt;9),"Grade "&amp;Educator!D294,Educator!D294=9,"Grade 9-12",ISTEXT(Educator!D294),Educator!D294)&amp;" "&amp;"Florida"&amp;" "&amp;"26-27"</f>
        <v>#N/A</v>
      </c>
      <c r="C289" s="49" t="e">
        <f t="shared" si="5"/>
        <v>#N/A</v>
      </c>
      <c r="E289" s="51" t="s">
        <v>102</v>
      </c>
      <c r="F289" s="49" t="b">
        <f>IF(Educator!B294&gt;0,"active")</f>
        <v>0</v>
      </c>
      <c r="J289" s="49" t="str">
        <f>"BP-"&amp;"TSWFL-"&amp;IF(ISNUMBER(Educator!D294),""&amp;Educator!D294,Educator!D294)&amp;"-"&amp;"2027"</f>
        <v>BP-TSWFL--2027</v>
      </c>
    </row>
    <row r="290" spans="1:10" x14ac:dyDescent="0.2">
      <c r="A2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","#",3))+1,1)&amp;"-"&amp;LEFT(Educator!B295, 3)&amp;"-"&amp;LEFT(Educator!A295, 3)&amp;"-"&amp;IF(ISNUMBER(Educator!D295),"G"&amp;Educator!D295,Educator!D295)&amp;"-"&amp;"2027"</f>
        <v>CID-FLH----2027</v>
      </c>
      <c r="B290" s="49" t="e" cm="1">
        <f t="array" ref="B290">Educator!B295&amp;" "&amp;_xlfn.IFS(AND(ISNUMBER(Educator!D295),Educator!D295&lt;&gt;9),"Grade "&amp;Educator!D295,Educator!D295=9,"Grade 9-12",ISTEXT(Educator!D295),Educator!D295)&amp;" "&amp;"Florida"&amp;" "&amp;"26-27"</f>
        <v>#N/A</v>
      </c>
      <c r="C290" s="49" t="e">
        <f t="shared" si="5"/>
        <v>#N/A</v>
      </c>
      <c r="E290" s="51" t="s">
        <v>102</v>
      </c>
      <c r="F290" s="49" t="b">
        <f>IF(Educator!B295&gt;0,"active")</f>
        <v>0</v>
      </c>
      <c r="J290" s="49" t="str">
        <f>"BP-"&amp;"TSWFL-"&amp;IF(ISNUMBER(Educator!D295),""&amp;Educator!D295,Educator!D295)&amp;"-"&amp;"2027"</f>
        <v>BP-TSWFL--2027</v>
      </c>
    </row>
    <row r="291" spans="1:10" x14ac:dyDescent="0.2">
      <c r="A2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","#",3))+1,1)&amp;"-"&amp;LEFT(Educator!B296, 3)&amp;"-"&amp;LEFT(Educator!A296, 3)&amp;"-"&amp;IF(ISNUMBER(Educator!D296),"G"&amp;Educator!D296,Educator!D296)&amp;"-"&amp;"2027"</f>
        <v>CID-FLH----2027</v>
      </c>
      <c r="B291" s="49" t="e" cm="1">
        <f t="array" ref="B291">Educator!B296&amp;" "&amp;_xlfn.IFS(AND(ISNUMBER(Educator!D296),Educator!D296&lt;&gt;9),"Grade "&amp;Educator!D296,Educator!D296=9,"Grade 9-12",ISTEXT(Educator!D296),Educator!D296)&amp;" "&amp;"Florida"&amp;" "&amp;"26-27"</f>
        <v>#N/A</v>
      </c>
      <c r="C291" s="49" t="e">
        <f t="shared" si="5"/>
        <v>#N/A</v>
      </c>
      <c r="E291" s="51" t="s">
        <v>102</v>
      </c>
      <c r="F291" s="49" t="b">
        <f>IF(Educator!B296&gt;0,"active")</f>
        <v>0</v>
      </c>
      <c r="J291" s="49" t="str">
        <f>"BP-"&amp;"TSWFL-"&amp;IF(ISNUMBER(Educator!D296),""&amp;Educator!D296,Educator!D296)&amp;"-"&amp;"2027"</f>
        <v>BP-TSWFL--2027</v>
      </c>
    </row>
    <row r="292" spans="1:10" x14ac:dyDescent="0.2">
      <c r="A2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","#",3))+1,1)&amp;"-"&amp;LEFT(Educator!B297, 3)&amp;"-"&amp;LEFT(Educator!A297, 3)&amp;"-"&amp;IF(ISNUMBER(Educator!D297),"G"&amp;Educator!D297,Educator!D297)&amp;"-"&amp;"2027"</f>
        <v>CID-FLH----2027</v>
      </c>
      <c r="B292" s="49" t="e" cm="1">
        <f t="array" ref="B292">Educator!B297&amp;" "&amp;_xlfn.IFS(AND(ISNUMBER(Educator!D297),Educator!D297&lt;&gt;9),"Grade "&amp;Educator!D297,Educator!D297=9,"Grade 9-12",ISTEXT(Educator!D297),Educator!D297)&amp;" "&amp;"Florida"&amp;" "&amp;"26-27"</f>
        <v>#N/A</v>
      </c>
      <c r="C292" s="49" t="e">
        <f t="shared" si="5"/>
        <v>#N/A</v>
      </c>
      <c r="E292" s="51" t="s">
        <v>102</v>
      </c>
      <c r="F292" s="49" t="b">
        <f>IF(Educator!B297&gt;0,"active")</f>
        <v>0</v>
      </c>
      <c r="J292" s="49" t="str">
        <f>"BP-"&amp;"TSWFL-"&amp;IF(ISNUMBER(Educator!D297),""&amp;Educator!D297,Educator!D297)&amp;"-"&amp;"2027"</f>
        <v>BP-TSWFL--2027</v>
      </c>
    </row>
    <row r="293" spans="1:10" x14ac:dyDescent="0.2">
      <c r="A2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","#",3))+1,1)&amp;"-"&amp;LEFT(Educator!B298, 3)&amp;"-"&amp;LEFT(Educator!A298, 3)&amp;"-"&amp;IF(ISNUMBER(Educator!D298),"G"&amp;Educator!D298,Educator!D298)&amp;"-"&amp;"2027"</f>
        <v>CID-FLH----2027</v>
      </c>
      <c r="B293" s="49" t="e" cm="1">
        <f t="array" ref="B293">Educator!B298&amp;" "&amp;_xlfn.IFS(AND(ISNUMBER(Educator!D298),Educator!D298&lt;&gt;9),"Grade "&amp;Educator!D298,Educator!D298=9,"Grade 9-12",ISTEXT(Educator!D298),Educator!D298)&amp;" "&amp;"Florida"&amp;" "&amp;"26-27"</f>
        <v>#N/A</v>
      </c>
      <c r="C293" s="49" t="e">
        <f t="shared" si="5"/>
        <v>#N/A</v>
      </c>
      <c r="E293" s="51" t="s">
        <v>102</v>
      </c>
      <c r="F293" s="49" t="b">
        <f>IF(Educator!B298&gt;0,"active")</f>
        <v>0</v>
      </c>
      <c r="J293" s="49" t="str">
        <f>"BP-"&amp;"TSWFL-"&amp;IF(ISNUMBER(Educator!D298),""&amp;Educator!D298,Educator!D298)&amp;"-"&amp;"2027"</f>
        <v>BP-TSWFL--2027</v>
      </c>
    </row>
    <row r="294" spans="1:10" x14ac:dyDescent="0.2">
      <c r="A2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","#",3))+1,1)&amp;"-"&amp;LEFT(Educator!B299, 3)&amp;"-"&amp;LEFT(Educator!A299, 3)&amp;"-"&amp;IF(ISNUMBER(Educator!D299),"G"&amp;Educator!D299,Educator!D299)&amp;"-"&amp;"2027"</f>
        <v>CID-FLH----2027</v>
      </c>
      <c r="B294" s="49" t="e" cm="1">
        <f t="array" ref="B294">Educator!B299&amp;" "&amp;_xlfn.IFS(AND(ISNUMBER(Educator!D299),Educator!D299&lt;&gt;9),"Grade "&amp;Educator!D299,Educator!D299=9,"Grade 9-12",ISTEXT(Educator!D299),Educator!D299)&amp;" "&amp;"Florida"&amp;" "&amp;"26-27"</f>
        <v>#N/A</v>
      </c>
      <c r="C294" s="49" t="e">
        <f t="shared" si="5"/>
        <v>#N/A</v>
      </c>
      <c r="E294" s="51" t="s">
        <v>102</v>
      </c>
      <c r="F294" s="49" t="b">
        <f>IF(Educator!B299&gt;0,"active")</f>
        <v>0</v>
      </c>
      <c r="J294" s="49" t="str">
        <f>"BP-"&amp;"TSWFL-"&amp;IF(ISNUMBER(Educator!D299),""&amp;Educator!D299,Educator!D299)&amp;"-"&amp;"2027"</f>
        <v>BP-TSWFL--2027</v>
      </c>
    </row>
    <row r="295" spans="1:10" x14ac:dyDescent="0.2">
      <c r="A2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","#",3))+1,1)&amp;"-"&amp;LEFT(Educator!B300, 3)&amp;"-"&amp;LEFT(Educator!A300, 3)&amp;"-"&amp;IF(ISNUMBER(Educator!D300),"G"&amp;Educator!D300,Educator!D300)&amp;"-"&amp;"2027"</f>
        <v>CID-FLH----2027</v>
      </c>
      <c r="B295" s="49" t="e" cm="1">
        <f t="array" ref="B295">Educator!B300&amp;" "&amp;_xlfn.IFS(AND(ISNUMBER(Educator!D300),Educator!D300&lt;&gt;9),"Grade "&amp;Educator!D300,Educator!D300=9,"Grade 9-12",ISTEXT(Educator!D300),Educator!D300)&amp;" "&amp;"Florida"&amp;" "&amp;"26-27"</f>
        <v>#N/A</v>
      </c>
      <c r="C295" s="49" t="e">
        <f t="shared" si="5"/>
        <v>#N/A</v>
      </c>
      <c r="E295" s="51" t="s">
        <v>102</v>
      </c>
      <c r="F295" s="49" t="b">
        <f>IF(Educator!B300&gt;0,"active")</f>
        <v>0</v>
      </c>
      <c r="J295" s="49" t="str">
        <f>"BP-"&amp;"TSWFL-"&amp;IF(ISNUMBER(Educator!D300),""&amp;Educator!D300,Educator!D300)&amp;"-"&amp;"2027"</f>
        <v>BP-TSWFL--2027</v>
      </c>
    </row>
    <row r="296" spans="1:10" x14ac:dyDescent="0.2">
      <c r="A2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","#",3))+1,1)&amp;"-"&amp;LEFT(Educator!B301, 3)&amp;"-"&amp;LEFT(Educator!A301, 3)&amp;"-"&amp;IF(ISNUMBER(Educator!D301),"G"&amp;Educator!D301,Educator!D301)&amp;"-"&amp;"2027"</f>
        <v>CID-FLH----2027</v>
      </c>
      <c r="B296" s="49" t="e" cm="1">
        <f t="array" ref="B296">Educator!B301&amp;" "&amp;_xlfn.IFS(AND(ISNUMBER(Educator!D301),Educator!D301&lt;&gt;9),"Grade "&amp;Educator!D301,Educator!D301=9,"Grade 9-12",ISTEXT(Educator!D301),Educator!D301)&amp;" "&amp;"Florida"&amp;" "&amp;"26-27"</f>
        <v>#N/A</v>
      </c>
      <c r="C296" s="49" t="e">
        <f t="shared" si="5"/>
        <v>#N/A</v>
      </c>
      <c r="E296" s="51" t="s">
        <v>102</v>
      </c>
      <c r="F296" s="49" t="b">
        <f>IF(Educator!B301&gt;0,"active")</f>
        <v>0</v>
      </c>
      <c r="J296" s="49" t="str">
        <f>"BP-"&amp;"TSWFL-"&amp;IF(ISNUMBER(Educator!D301),""&amp;Educator!D301,Educator!D301)&amp;"-"&amp;"2027"</f>
        <v>BP-TSWFL--2027</v>
      </c>
    </row>
    <row r="297" spans="1:10" x14ac:dyDescent="0.2">
      <c r="A2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","#",3))+1,1)&amp;"-"&amp;LEFT(Educator!B302, 3)&amp;"-"&amp;LEFT(Educator!A302, 3)&amp;"-"&amp;IF(ISNUMBER(Educator!D302),"G"&amp;Educator!D302,Educator!D302)&amp;"-"&amp;"2027"</f>
        <v>CID-FLH----2027</v>
      </c>
      <c r="B297" s="49" t="e" cm="1">
        <f t="array" ref="B297">Educator!B302&amp;" "&amp;_xlfn.IFS(AND(ISNUMBER(Educator!D302),Educator!D302&lt;&gt;9),"Grade "&amp;Educator!D302,Educator!D302=9,"Grade 9-12",ISTEXT(Educator!D302),Educator!D302)&amp;" "&amp;"Florida"&amp;" "&amp;"26-27"</f>
        <v>#N/A</v>
      </c>
      <c r="C297" s="49" t="e">
        <f t="shared" si="5"/>
        <v>#N/A</v>
      </c>
      <c r="E297" s="51" t="s">
        <v>102</v>
      </c>
      <c r="F297" s="49" t="b">
        <f>IF(Educator!B302&gt;0,"active")</f>
        <v>0</v>
      </c>
      <c r="J297" s="49" t="str">
        <f>"BP-"&amp;"TSWFL-"&amp;IF(ISNUMBER(Educator!D302),""&amp;Educator!D302,Educator!D302)&amp;"-"&amp;"2027"</f>
        <v>BP-TSWFL--2027</v>
      </c>
    </row>
    <row r="298" spans="1:10" x14ac:dyDescent="0.2">
      <c r="A2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","#",3))+1,1)&amp;"-"&amp;LEFT(Educator!B303, 3)&amp;"-"&amp;LEFT(Educator!A303, 3)&amp;"-"&amp;IF(ISNUMBER(Educator!D303),"G"&amp;Educator!D303,Educator!D303)&amp;"-"&amp;"2027"</f>
        <v>CID-FLH----2027</v>
      </c>
      <c r="B298" s="49" t="e" cm="1">
        <f t="array" ref="B298">Educator!B303&amp;" "&amp;_xlfn.IFS(AND(ISNUMBER(Educator!D303),Educator!D303&lt;&gt;9),"Grade "&amp;Educator!D303,Educator!D303=9,"Grade 9-12",ISTEXT(Educator!D303),Educator!D303)&amp;" "&amp;"Florida"&amp;" "&amp;"26-27"</f>
        <v>#N/A</v>
      </c>
      <c r="C298" s="49" t="e">
        <f t="shared" si="5"/>
        <v>#N/A</v>
      </c>
      <c r="E298" s="51" t="s">
        <v>102</v>
      </c>
      <c r="F298" s="49" t="b">
        <f>IF(Educator!B303&gt;0,"active")</f>
        <v>0</v>
      </c>
      <c r="J298" s="49" t="str">
        <f>"BP-"&amp;"TSWFL-"&amp;IF(ISNUMBER(Educator!D303),""&amp;Educator!D303,Educator!D303)&amp;"-"&amp;"2027"</f>
        <v>BP-TSWFL--2027</v>
      </c>
    </row>
    <row r="299" spans="1:10" x14ac:dyDescent="0.2">
      <c r="A2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","#",3))+1,1)&amp;"-"&amp;LEFT(Educator!B304, 3)&amp;"-"&amp;LEFT(Educator!A304, 3)&amp;"-"&amp;IF(ISNUMBER(Educator!D304),"G"&amp;Educator!D304,Educator!D304)&amp;"-"&amp;"2027"</f>
        <v>CID-FLH----2027</v>
      </c>
      <c r="B299" s="49" t="e" cm="1">
        <f t="array" ref="B299">Educator!B304&amp;" "&amp;_xlfn.IFS(AND(ISNUMBER(Educator!D304),Educator!D304&lt;&gt;9),"Grade "&amp;Educator!D304,Educator!D304=9,"Grade 9-12",ISTEXT(Educator!D304),Educator!D304)&amp;" "&amp;"Florida"&amp;" "&amp;"26-27"</f>
        <v>#N/A</v>
      </c>
      <c r="C299" s="49" t="e">
        <f t="shared" si="5"/>
        <v>#N/A</v>
      </c>
      <c r="E299" s="51" t="s">
        <v>102</v>
      </c>
      <c r="F299" s="49" t="b">
        <f>IF(Educator!B304&gt;0,"active")</f>
        <v>0</v>
      </c>
      <c r="J299" s="49" t="str">
        <f>"BP-"&amp;"TSWFL-"&amp;IF(ISNUMBER(Educator!D304),""&amp;Educator!D304,Educator!D304)&amp;"-"&amp;"2027"</f>
        <v>BP-TSWFL--2027</v>
      </c>
    </row>
    <row r="300" spans="1:10" x14ac:dyDescent="0.2">
      <c r="A3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","#",3))+1,1)&amp;"-"&amp;LEFT(Educator!B305, 3)&amp;"-"&amp;LEFT(Educator!A305, 3)&amp;"-"&amp;IF(ISNUMBER(Educator!D305),"G"&amp;Educator!D305,Educator!D305)&amp;"-"&amp;"2027"</f>
        <v>CID-FLH----2027</v>
      </c>
      <c r="B300" s="49" t="e" cm="1">
        <f t="array" ref="B300">Educator!B305&amp;" "&amp;_xlfn.IFS(AND(ISNUMBER(Educator!D305),Educator!D305&lt;&gt;9),"Grade "&amp;Educator!D305,Educator!D305=9,"Grade 9-12",ISTEXT(Educator!D305),Educator!D305)&amp;" "&amp;"Florida"&amp;" "&amp;"26-27"</f>
        <v>#N/A</v>
      </c>
      <c r="C300" s="49" t="e">
        <f t="shared" si="5"/>
        <v>#N/A</v>
      </c>
      <c r="E300" s="51" t="s">
        <v>102</v>
      </c>
      <c r="F300" s="49" t="b">
        <f>IF(Educator!B305&gt;0,"active")</f>
        <v>0</v>
      </c>
      <c r="J300" s="49" t="str">
        <f>"BP-"&amp;"TSWFL-"&amp;IF(ISNUMBER(Educator!D305),""&amp;Educator!D305,Educator!D305)&amp;"-"&amp;"2027"</f>
        <v>BP-TSWFL--2027</v>
      </c>
    </row>
    <row r="301" spans="1:10" x14ac:dyDescent="0.2">
      <c r="A3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","#",3))+1,1)&amp;"-"&amp;LEFT(Educator!B306, 3)&amp;"-"&amp;LEFT(Educator!A306, 3)&amp;"-"&amp;IF(ISNUMBER(Educator!D306),"G"&amp;Educator!D306,Educator!D306)&amp;"-"&amp;"2027"</f>
        <v>CID-FLH----2027</v>
      </c>
      <c r="B301" s="49" t="e" cm="1">
        <f t="array" ref="B301">Educator!B306&amp;" "&amp;_xlfn.IFS(AND(ISNUMBER(Educator!D306),Educator!D306&lt;&gt;9),"Grade "&amp;Educator!D306,Educator!D306=9,"Grade 9-12",ISTEXT(Educator!D306),Educator!D306)&amp;" "&amp;"Florida"&amp;" "&amp;"26-27"</f>
        <v>#N/A</v>
      </c>
      <c r="C301" s="49" t="e">
        <f t="shared" si="5"/>
        <v>#N/A</v>
      </c>
      <c r="E301" s="51" t="s">
        <v>102</v>
      </c>
      <c r="F301" s="49" t="b">
        <f>IF(Educator!B306&gt;0,"active")</f>
        <v>0</v>
      </c>
      <c r="J301" s="49" t="str">
        <f>"BP-"&amp;"TSWFL-"&amp;IF(ISNUMBER(Educator!D306),""&amp;Educator!D306,Educator!D306)&amp;"-"&amp;"2027"</f>
        <v>BP-TSWFL--2027</v>
      </c>
    </row>
    <row r="302" spans="1:10" x14ac:dyDescent="0.2">
      <c r="A3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","#",3))+1,1)&amp;"-"&amp;LEFT(Educator!B307, 3)&amp;"-"&amp;LEFT(Educator!A307, 3)&amp;"-"&amp;IF(ISNUMBER(Educator!D307),"G"&amp;Educator!D307,Educator!D307)&amp;"-"&amp;"2027"</f>
        <v>CID-FLH----2027</v>
      </c>
      <c r="B302" s="49" t="e" cm="1">
        <f t="array" ref="B302">Educator!B307&amp;" "&amp;_xlfn.IFS(AND(ISNUMBER(Educator!D307),Educator!D307&lt;&gt;9),"Grade "&amp;Educator!D307,Educator!D307=9,"Grade 9-12",ISTEXT(Educator!D307),Educator!D307)&amp;" "&amp;"Florida"&amp;" "&amp;"26-27"</f>
        <v>#N/A</v>
      </c>
      <c r="C302" s="49" t="e">
        <f t="shared" si="5"/>
        <v>#N/A</v>
      </c>
      <c r="E302" s="51" t="s">
        <v>102</v>
      </c>
      <c r="F302" s="49" t="b">
        <f>IF(Educator!B307&gt;0,"active")</f>
        <v>0</v>
      </c>
      <c r="J302" s="49" t="str">
        <f>"BP-"&amp;"TSWFL-"&amp;IF(ISNUMBER(Educator!D307),""&amp;Educator!D307,Educator!D307)&amp;"-"&amp;"2027"</f>
        <v>BP-TSWFL--2027</v>
      </c>
    </row>
    <row r="303" spans="1:10" x14ac:dyDescent="0.2">
      <c r="A3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","#",3))+1,1)&amp;"-"&amp;LEFT(Educator!B308, 3)&amp;"-"&amp;LEFT(Educator!A308, 3)&amp;"-"&amp;IF(ISNUMBER(Educator!D308),"G"&amp;Educator!D308,Educator!D308)&amp;"-"&amp;"2027"</f>
        <v>CID-FLH----2027</v>
      </c>
      <c r="B303" s="49" t="e" cm="1">
        <f t="array" ref="B303">Educator!B308&amp;" "&amp;_xlfn.IFS(AND(ISNUMBER(Educator!D308),Educator!D308&lt;&gt;9),"Grade "&amp;Educator!D308,Educator!D308=9,"Grade 9-12",ISTEXT(Educator!D308),Educator!D308)&amp;" "&amp;"Florida"&amp;" "&amp;"26-27"</f>
        <v>#N/A</v>
      </c>
      <c r="C303" s="49" t="e">
        <f t="shared" si="5"/>
        <v>#N/A</v>
      </c>
      <c r="E303" s="51" t="s">
        <v>102</v>
      </c>
      <c r="F303" s="49" t="b">
        <f>IF(Educator!B308&gt;0,"active")</f>
        <v>0</v>
      </c>
      <c r="J303" s="49" t="str">
        <f>"BP-"&amp;"TSWFL-"&amp;IF(ISNUMBER(Educator!D308),""&amp;Educator!D308,Educator!D308)&amp;"-"&amp;"2027"</f>
        <v>BP-TSWFL--2027</v>
      </c>
    </row>
    <row r="304" spans="1:10" x14ac:dyDescent="0.2">
      <c r="A3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","#",3))+1,1)&amp;"-"&amp;LEFT(Educator!B309, 3)&amp;"-"&amp;LEFT(Educator!A309, 3)&amp;"-"&amp;IF(ISNUMBER(Educator!D309),"G"&amp;Educator!D309,Educator!D309)&amp;"-"&amp;"2027"</f>
        <v>CID-FLH----2027</v>
      </c>
      <c r="B304" s="49" t="e" cm="1">
        <f t="array" ref="B304">Educator!B309&amp;" "&amp;_xlfn.IFS(AND(ISNUMBER(Educator!D309),Educator!D309&lt;&gt;9),"Grade "&amp;Educator!D309,Educator!D309=9,"Grade 9-12",ISTEXT(Educator!D309),Educator!D309)&amp;" "&amp;"Florida"&amp;" "&amp;"26-27"</f>
        <v>#N/A</v>
      </c>
      <c r="C304" s="49" t="e">
        <f t="shared" si="5"/>
        <v>#N/A</v>
      </c>
      <c r="E304" s="51" t="s">
        <v>102</v>
      </c>
      <c r="F304" s="49" t="b">
        <f>IF(Educator!B309&gt;0,"active")</f>
        <v>0</v>
      </c>
      <c r="J304" s="49" t="str">
        <f>"BP-"&amp;"TSWFL-"&amp;IF(ISNUMBER(Educator!D309),""&amp;Educator!D309,Educator!D309)&amp;"-"&amp;"2027"</f>
        <v>BP-TSWFL--2027</v>
      </c>
    </row>
    <row r="305" spans="1:10" x14ac:dyDescent="0.2">
      <c r="A3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","#",3))+1,1)&amp;"-"&amp;LEFT(Educator!B310, 3)&amp;"-"&amp;LEFT(Educator!A310, 3)&amp;"-"&amp;IF(ISNUMBER(Educator!D310),"G"&amp;Educator!D310,Educator!D310)&amp;"-"&amp;"2027"</f>
        <v>CID-FLH----2027</v>
      </c>
      <c r="B305" s="49" t="e" cm="1">
        <f t="array" ref="B305">Educator!B310&amp;" "&amp;_xlfn.IFS(AND(ISNUMBER(Educator!D310),Educator!D310&lt;&gt;9),"Grade "&amp;Educator!D310,Educator!D310=9,"Grade 9-12",ISTEXT(Educator!D310),Educator!D310)&amp;" "&amp;"Florida"&amp;" "&amp;"26-27"</f>
        <v>#N/A</v>
      </c>
      <c r="C305" s="49" t="e">
        <f t="shared" si="5"/>
        <v>#N/A</v>
      </c>
      <c r="E305" s="51" t="s">
        <v>102</v>
      </c>
      <c r="F305" s="49" t="b">
        <f>IF(Educator!B310&gt;0,"active")</f>
        <v>0</v>
      </c>
      <c r="J305" s="49" t="str">
        <f>"BP-"&amp;"TSWFL-"&amp;IF(ISNUMBER(Educator!D310),""&amp;Educator!D310,Educator!D310)&amp;"-"&amp;"2027"</f>
        <v>BP-TSWFL--2027</v>
      </c>
    </row>
    <row r="306" spans="1:10" x14ac:dyDescent="0.2">
      <c r="A3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","#",3))+1,1)&amp;"-"&amp;LEFT(Educator!B311, 3)&amp;"-"&amp;LEFT(Educator!A311, 3)&amp;"-"&amp;IF(ISNUMBER(Educator!D311),"G"&amp;Educator!D311,Educator!D311)&amp;"-"&amp;"2027"</f>
        <v>CID-FLH----2027</v>
      </c>
      <c r="B306" s="49" t="e" cm="1">
        <f t="array" ref="B306">Educator!B311&amp;" "&amp;_xlfn.IFS(AND(ISNUMBER(Educator!D311),Educator!D311&lt;&gt;9),"Grade "&amp;Educator!D311,Educator!D311=9,"Grade 9-12",ISTEXT(Educator!D311),Educator!D311)&amp;" "&amp;"Florida"&amp;" "&amp;"26-27"</f>
        <v>#N/A</v>
      </c>
      <c r="C306" s="49" t="e">
        <f t="shared" si="5"/>
        <v>#N/A</v>
      </c>
      <c r="E306" s="51" t="s">
        <v>102</v>
      </c>
      <c r="F306" s="49" t="b">
        <f>IF(Educator!B311&gt;0,"active")</f>
        <v>0</v>
      </c>
      <c r="J306" s="49" t="str">
        <f>"BP-"&amp;"TSWFL-"&amp;IF(ISNUMBER(Educator!D311),""&amp;Educator!D311,Educator!D311)&amp;"-"&amp;"2027"</f>
        <v>BP-TSWFL--2027</v>
      </c>
    </row>
    <row r="307" spans="1:10" x14ac:dyDescent="0.2">
      <c r="A3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","#",3))+1,1)&amp;"-"&amp;LEFT(Educator!B312, 3)&amp;"-"&amp;LEFT(Educator!A312, 3)&amp;"-"&amp;IF(ISNUMBER(Educator!D312),"G"&amp;Educator!D312,Educator!D312)&amp;"-"&amp;"2027"</f>
        <v>CID-FLH----2027</v>
      </c>
      <c r="B307" s="49" t="e" cm="1">
        <f t="array" ref="B307">Educator!B312&amp;" "&amp;_xlfn.IFS(AND(ISNUMBER(Educator!D312),Educator!D312&lt;&gt;9),"Grade "&amp;Educator!D312,Educator!D312=9,"Grade 9-12",ISTEXT(Educator!D312),Educator!D312)&amp;" "&amp;"Florida"&amp;" "&amp;"26-27"</f>
        <v>#N/A</v>
      </c>
      <c r="C307" s="49" t="e">
        <f t="shared" si="5"/>
        <v>#N/A</v>
      </c>
      <c r="E307" s="51" t="s">
        <v>102</v>
      </c>
      <c r="F307" s="49" t="b">
        <f>IF(Educator!B312&gt;0,"active")</f>
        <v>0</v>
      </c>
      <c r="J307" s="49" t="str">
        <f>"BP-"&amp;"TSWFL-"&amp;IF(ISNUMBER(Educator!D312),""&amp;Educator!D312,Educator!D312)&amp;"-"&amp;"2027"</f>
        <v>BP-TSWFL--2027</v>
      </c>
    </row>
    <row r="308" spans="1:10" x14ac:dyDescent="0.2">
      <c r="A3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","#",3))+1,1)&amp;"-"&amp;LEFT(Educator!B313, 3)&amp;"-"&amp;LEFT(Educator!A313, 3)&amp;"-"&amp;IF(ISNUMBER(Educator!D313),"G"&amp;Educator!D313,Educator!D313)&amp;"-"&amp;"2027"</f>
        <v>CID-FLH----2027</v>
      </c>
      <c r="B308" s="49" t="e" cm="1">
        <f t="array" ref="B308">Educator!B313&amp;" "&amp;_xlfn.IFS(AND(ISNUMBER(Educator!D313),Educator!D313&lt;&gt;9),"Grade "&amp;Educator!D313,Educator!D313=9,"Grade 9-12",ISTEXT(Educator!D313),Educator!D313)&amp;" "&amp;"Florida"&amp;" "&amp;"26-27"</f>
        <v>#N/A</v>
      </c>
      <c r="C308" s="49" t="e">
        <f t="shared" si="5"/>
        <v>#N/A</v>
      </c>
      <c r="E308" s="51" t="s">
        <v>102</v>
      </c>
      <c r="F308" s="49" t="b">
        <f>IF(Educator!B313&gt;0,"active")</f>
        <v>0</v>
      </c>
      <c r="J308" s="49" t="str">
        <f>"BP-"&amp;"TSWFL-"&amp;IF(ISNUMBER(Educator!D313),""&amp;Educator!D313,Educator!D313)&amp;"-"&amp;"2027"</f>
        <v>BP-TSWFL--2027</v>
      </c>
    </row>
    <row r="309" spans="1:10" x14ac:dyDescent="0.2">
      <c r="A3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","#",3))+1,1)&amp;"-"&amp;LEFT(Educator!B314, 3)&amp;"-"&amp;LEFT(Educator!A314, 3)&amp;"-"&amp;IF(ISNUMBER(Educator!D314),"G"&amp;Educator!D314,Educator!D314)&amp;"-"&amp;"2027"</f>
        <v>CID-FLH----2027</v>
      </c>
      <c r="B309" s="49" t="e" cm="1">
        <f t="array" ref="B309">Educator!B314&amp;" "&amp;_xlfn.IFS(AND(ISNUMBER(Educator!D314),Educator!D314&lt;&gt;9),"Grade "&amp;Educator!D314,Educator!D314=9,"Grade 9-12",ISTEXT(Educator!D314),Educator!D314)&amp;" "&amp;"Florida"&amp;" "&amp;"26-27"</f>
        <v>#N/A</v>
      </c>
      <c r="C309" s="49" t="e">
        <f t="shared" si="5"/>
        <v>#N/A</v>
      </c>
      <c r="E309" s="51" t="s">
        <v>102</v>
      </c>
      <c r="F309" s="49" t="b">
        <f>IF(Educator!B314&gt;0,"active")</f>
        <v>0</v>
      </c>
      <c r="J309" s="49" t="str">
        <f>"BP-"&amp;"TSWFL-"&amp;IF(ISNUMBER(Educator!D314),""&amp;Educator!D314,Educator!D314)&amp;"-"&amp;"2027"</f>
        <v>BP-TSWFL--2027</v>
      </c>
    </row>
    <row r="310" spans="1:10" x14ac:dyDescent="0.2">
      <c r="A3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","#",3))+1,1)&amp;"-"&amp;LEFT(Educator!B315, 3)&amp;"-"&amp;LEFT(Educator!A315, 3)&amp;"-"&amp;IF(ISNUMBER(Educator!D315),"G"&amp;Educator!D315,Educator!D315)&amp;"-"&amp;"2027"</f>
        <v>CID-FLH----2027</v>
      </c>
      <c r="B310" s="49" t="e" cm="1">
        <f t="array" ref="B310">Educator!B315&amp;" "&amp;_xlfn.IFS(AND(ISNUMBER(Educator!D315),Educator!D315&lt;&gt;9),"Grade "&amp;Educator!D315,Educator!D315=9,"Grade 9-12",ISTEXT(Educator!D315),Educator!D315)&amp;" "&amp;"Florida"&amp;" "&amp;"26-27"</f>
        <v>#N/A</v>
      </c>
      <c r="C310" s="49" t="e">
        <f t="shared" si="5"/>
        <v>#N/A</v>
      </c>
      <c r="E310" s="51" t="s">
        <v>102</v>
      </c>
      <c r="F310" s="49" t="b">
        <f>IF(Educator!B315&gt;0,"active")</f>
        <v>0</v>
      </c>
      <c r="J310" s="49" t="str">
        <f>"BP-"&amp;"TSWFL-"&amp;IF(ISNUMBER(Educator!D315),""&amp;Educator!D315,Educator!D315)&amp;"-"&amp;"2027"</f>
        <v>BP-TSWFL--2027</v>
      </c>
    </row>
    <row r="311" spans="1:10" x14ac:dyDescent="0.2">
      <c r="A3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","#",3))+1,1)&amp;"-"&amp;LEFT(Educator!B316, 3)&amp;"-"&amp;LEFT(Educator!A316, 3)&amp;"-"&amp;IF(ISNUMBER(Educator!D316),"G"&amp;Educator!D316,Educator!D316)&amp;"-"&amp;"2027"</f>
        <v>CID-FLH----2027</v>
      </c>
      <c r="B311" s="49" t="e" cm="1">
        <f t="array" ref="B311">Educator!B316&amp;" "&amp;_xlfn.IFS(AND(ISNUMBER(Educator!D316),Educator!D316&lt;&gt;9),"Grade "&amp;Educator!D316,Educator!D316=9,"Grade 9-12",ISTEXT(Educator!D316),Educator!D316)&amp;" "&amp;"Florida"&amp;" "&amp;"26-27"</f>
        <v>#N/A</v>
      </c>
      <c r="C311" s="49" t="e">
        <f t="shared" si="5"/>
        <v>#N/A</v>
      </c>
      <c r="E311" s="51" t="s">
        <v>102</v>
      </c>
      <c r="F311" s="49" t="b">
        <f>IF(Educator!B316&gt;0,"active")</f>
        <v>0</v>
      </c>
      <c r="J311" s="49" t="str">
        <f>"BP-"&amp;"TSWFL-"&amp;IF(ISNUMBER(Educator!D316),""&amp;Educator!D316,Educator!D316)&amp;"-"&amp;"2027"</f>
        <v>BP-TSWFL--2027</v>
      </c>
    </row>
    <row r="312" spans="1:10" x14ac:dyDescent="0.2">
      <c r="A3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","#",3))+1,1)&amp;"-"&amp;LEFT(Educator!B317, 3)&amp;"-"&amp;LEFT(Educator!A317, 3)&amp;"-"&amp;IF(ISNUMBER(Educator!D317),"G"&amp;Educator!D317,Educator!D317)&amp;"-"&amp;"2027"</f>
        <v>CID-FLH----2027</v>
      </c>
      <c r="B312" s="49" t="e" cm="1">
        <f t="array" ref="B312">Educator!B317&amp;" "&amp;_xlfn.IFS(AND(ISNUMBER(Educator!D317),Educator!D317&lt;&gt;9),"Grade "&amp;Educator!D317,Educator!D317=9,"Grade 9-12",ISTEXT(Educator!D317),Educator!D317)&amp;" "&amp;"Florida"&amp;" "&amp;"26-27"</f>
        <v>#N/A</v>
      </c>
      <c r="C312" s="49" t="e">
        <f t="shared" si="5"/>
        <v>#N/A</v>
      </c>
      <c r="E312" s="51" t="s">
        <v>102</v>
      </c>
      <c r="F312" s="49" t="b">
        <f>IF(Educator!B317&gt;0,"active")</f>
        <v>0</v>
      </c>
      <c r="J312" s="49" t="str">
        <f>"BP-"&amp;"TSWFL-"&amp;IF(ISNUMBER(Educator!D317),""&amp;Educator!D317,Educator!D317)&amp;"-"&amp;"2027"</f>
        <v>BP-TSWFL--2027</v>
      </c>
    </row>
    <row r="313" spans="1:10" x14ac:dyDescent="0.2">
      <c r="A3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","#",3))+1,1)&amp;"-"&amp;LEFT(Educator!B318, 3)&amp;"-"&amp;LEFT(Educator!A318, 3)&amp;"-"&amp;IF(ISNUMBER(Educator!D318),"G"&amp;Educator!D318,Educator!D318)&amp;"-"&amp;"2027"</f>
        <v>CID-FLH----2027</v>
      </c>
      <c r="B313" s="49" t="e" cm="1">
        <f t="array" ref="B313">Educator!B318&amp;" "&amp;_xlfn.IFS(AND(ISNUMBER(Educator!D318),Educator!D318&lt;&gt;9),"Grade "&amp;Educator!D318,Educator!D318=9,"Grade 9-12",ISTEXT(Educator!D318),Educator!D318)&amp;" "&amp;"Florida"&amp;" "&amp;"26-27"</f>
        <v>#N/A</v>
      </c>
      <c r="C313" s="49" t="e">
        <f t="shared" si="5"/>
        <v>#N/A</v>
      </c>
      <c r="E313" s="51" t="s">
        <v>102</v>
      </c>
      <c r="F313" s="49" t="b">
        <f>IF(Educator!B318&gt;0,"active")</f>
        <v>0</v>
      </c>
      <c r="J313" s="49" t="str">
        <f>"BP-"&amp;"TSWFL-"&amp;IF(ISNUMBER(Educator!D318),""&amp;Educator!D318,Educator!D318)&amp;"-"&amp;"2027"</f>
        <v>BP-TSWFL--2027</v>
      </c>
    </row>
    <row r="314" spans="1:10" x14ac:dyDescent="0.2">
      <c r="A3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","#",3))+1,1)&amp;"-"&amp;LEFT(Educator!B319, 3)&amp;"-"&amp;LEFT(Educator!A319, 3)&amp;"-"&amp;IF(ISNUMBER(Educator!D319),"G"&amp;Educator!D319,Educator!D319)&amp;"-"&amp;"2027"</f>
        <v>CID-FLH----2027</v>
      </c>
      <c r="B314" s="49" t="e" cm="1">
        <f t="array" ref="B314">Educator!B319&amp;" "&amp;_xlfn.IFS(AND(ISNUMBER(Educator!D319),Educator!D319&lt;&gt;9),"Grade "&amp;Educator!D319,Educator!D319=9,"Grade 9-12",ISTEXT(Educator!D319),Educator!D319)&amp;" "&amp;"Florida"&amp;" "&amp;"26-27"</f>
        <v>#N/A</v>
      </c>
      <c r="C314" s="49" t="e">
        <f t="shared" si="5"/>
        <v>#N/A</v>
      </c>
      <c r="E314" s="51" t="s">
        <v>102</v>
      </c>
      <c r="F314" s="49" t="b">
        <f>IF(Educator!B319&gt;0,"active")</f>
        <v>0</v>
      </c>
      <c r="J314" s="49" t="str">
        <f>"BP-"&amp;"TSWFL-"&amp;IF(ISNUMBER(Educator!D319),""&amp;Educator!D319,Educator!D319)&amp;"-"&amp;"2027"</f>
        <v>BP-TSWFL--2027</v>
      </c>
    </row>
    <row r="315" spans="1:10" x14ac:dyDescent="0.2">
      <c r="A3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","#",3))+1,1)&amp;"-"&amp;LEFT(Educator!B320, 3)&amp;"-"&amp;LEFT(Educator!A320, 3)&amp;"-"&amp;IF(ISNUMBER(Educator!D320),"G"&amp;Educator!D320,Educator!D320)&amp;"-"&amp;"2027"</f>
        <v>CID-FLH----2027</v>
      </c>
      <c r="B315" s="49" t="e" cm="1">
        <f t="array" ref="B315">Educator!B320&amp;" "&amp;_xlfn.IFS(AND(ISNUMBER(Educator!D320),Educator!D320&lt;&gt;9),"Grade "&amp;Educator!D320,Educator!D320=9,"Grade 9-12",ISTEXT(Educator!D320),Educator!D320)&amp;" "&amp;"Florida"&amp;" "&amp;"26-27"</f>
        <v>#N/A</v>
      </c>
      <c r="C315" s="49" t="e">
        <f t="shared" si="5"/>
        <v>#N/A</v>
      </c>
      <c r="E315" s="51" t="s">
        <v>102</v>
      </c>
      <c r="F315" s="49" t="b">
        <f>IF(Educator!B320&gt;0,"active")</f>
        <v>0</v>
      </c>
      <c r="J315" s="49" t="str">
        <f>"BP-"&amp;"TSWFL-"&amp;IF(ISNUMBER(Educator!D320),""&amp;Educator!D320,Educator!D320)&amp;"-"&amp;"2027"</f>
        <v>BP-TSWFL--2027</v>
      </c>
    </row>
    <row r="316" spans="1:10" x14ac:dyDescent="0.2">
      <c r="A3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","#",3))+1,1)&amp;"-"&amp;LEFT(Educator!B321, 3)&amp;"-"&amp;LEFT(Educator!A321, 3)&amp;"-"&amp;IF(ISNUMBER(Educator!D321),"G"&amp;Educator!D321,Educator!D321)&amp;"-"&amp;"2027"</f>
        <v>CID-FLH----2027</v>
      </c>
      <c r="B316" s="49" t="e" cm="1">
        <f t="array" ref="B316">Educator!B321&amp;" "&amp;_xlfn.IFS(AND(ISNUMBER(Educator!D321),Educator!D321&lt;&gt;9),"Grade "&amp;Educator!D321,Educator!D321=9,"Grade 9-12",ISTEXT(Educator!D321),Educator!D321)&amp;" "&amp;"Florida"&amp;" "&amp;"26-27"</f>
        <v>#N/A</v>
      </c>
      <c r="C316" s="49" t="e">
        <f t="shared" si="5"/>
        <v>#N/A</v>
      </c>
      <c r="E316" s="51" t="s">
        <v>102</v>
      </c>
      <c r="F316" s="49" t="b">
        <f>IF(Educator!B321&gt;0,"active")</f>
        <v>0</v>
      </c>
      <c r="J316" s="49" t="str">
        <f>"BP-"&amp;"TSWFL-"&amp;IF(ISNUMBER(Educator!D321),""&amp;Educator!D321,Educator!D321)&amp;"-"&amp;"2027"</f>
        <v>BP-TSWFL--2027</v>
      </c>
    </row>
    <row r="317" spans="1:10" x14ac:dyDescent="0.2">
      <c r="A3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","#",3))+1,1)&amp;"-"&amp;LEFT(Educator!B322, 3)&amp;"-"&amp;LEFT(Educator!A322, 3)&amp;"-"&amp;IF(ISNUMBER(Educator!D322),"G"&amp;Educator!D322,Educator!D322)&amp;"-"&amp;"2027"</f>
        <v>CID-FLH----2027</v>
      </c>
      <c r="B317" s="49" t="e" cm="1">
        <f t="array" ref="B317">Educator!B322&amp;" "&amp;_xlfn.IFS(AND(ISNUMBER(Educator!D322),Educator!D322&lt;&gt;9),"Grade "&amp;Educator!D322,Educator!D322=9,"Grade 9-12",ISTEXT(Educator!D322),Educator!D322)&amp;" "&amp;"Florida"&amp;" "&amp;"26-27"</f>
        <v>#N/A</v>
      </c>
      <c r="C317" s="49" t="e">
        <f t="shared" si="5"/>
        <v>#N/A</v>
      </c>
      <c r="E317" s="51" t="s">
        <v>102</v>
      </c>
      <c r="F317" s="49" t="b">
        <f>IF(Educator!B322&gt;0,"active")</f>
        <v>0</v>
      </c>
      <c r="J317" s="49" t="str">
        <f>"BP-"&amp;"TSWFL-"&amp;IF(ISNUMBER(Educator!D322),""&amp;Educator!D322,Educator!D322)&amp;"-"&amp;"2027"</f>
        <v>BP-TSWFL--2027</v>
      </c>
    </row>
    <row r="318" spans="1:10" x14ac:dyDescent="0.2">
      <c r="A3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","#",3))+1,1)&amp;"-"&amp;LEFT(Educator!B323, 3)&amp;"-"&amp;LEFT(Educator!A323, 3)&amp;"-"&amp;IF(ISNUMBER(Educator!D323),"G"&amp;Educator!D323,Educator!D323)&amp;"-"&amp;"2027"</f>
        <v>CID-FLH----2027</v>
      </c>
      <c r="B318" s="49" t="e" cm="1">
        <f t="array" ref="B318">Educator!B323&amp;" "&amp;_xlfn.IFS(AND(ISNUMBER(Educator!D323),Educator!D323&lt;&gt;9),"Grade "&amp;Educator!D323,Educator!D323=9,"Grade 9-12",ISTEXT(Educator!D323),Educator!D323)&amp;" "&amp;"Florida"&amp;" "&amp;"26-27"</f>
        <v>#N/A</v>
      </c>
      <c r="C318" s="49" t="e">
        <f t="shared" si="5"/>
        <v>#N/A</v>
      </c>
      <c r="E318" s="51" t="s">
        <v>102</v>
      </c>
      <c r="F318" s="49" t="b">
        <f>IF(Educator!B323&gt;0,"active")</f>
        <v>0</v>
      </c>
      <c r="J318" s="49" t="str">
        <f>"BP-"&amp;"TSWFL-"&amp;IF(ISNUMBER(Educator!D323),""&amp;Educator!D323,Educator!D323)&amp;"-"&amp;"2027"</f>
        <v>BP-TSWFL--2027</v>
      </c>
    </row>
    <row r="319" spans="1:10" x14ac:dyDescent="0.2">
      <c r="A3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","#",3))+1,1)&amp;"-"&amp;LEFT(Educator!B324, 3)&amp;"-"&amp;LEFT(Educator!A324, 3)&amp;"-"&amp;IF(ISNUMBER(Educator!D324),"G"&amp;Educator!D324,Educator!D324)&amp;"-"&amp;"2027"</f>
        <v>CID-FLH----2027</v>
      </c>
      <c r="B319" s="49" t="e" cm="1">
        <f t="array" ref="B319">Educator!B324&amp;" "&amp;_xlfn.IFS(AND(ISNUMBER(Educator!D324),Educator!D324&lt;&gt;9),"Grade "&amp;Educator!D324,Educator!D324=9,"Grade 9-12",ISTEXT(Educator!D324),Educator!D324)&amp;" "&amp;"Florida"&amp;" "&amp;"26-27"</f>
        <v>#N/A</v>
      </c>
      <c r="C319" s="49" t="e">
        <f t="shared" si="5"/>
        <v>#N/A</v>
      </c>
      <c r="E319" s="51" t="s">
        <v>102</v>
      </c>
      <c r="F319" s="49" t="b">
        <f>IF(Educator!B324&gt;0,"active")</f>
        <v>0</v>
      </c>
      <c r="J319" s="49" t="str">
        <f>"BP-"&amp;"TSWFL-"&amp;IF(ISNUMBER(Educator!D324),""&amp;Educator!D324,Educator!D324)&amp;"-"&amp;"2027"</f>
        <v>BP-TSWFL--2027</v>
      </c>
    </row>
    <row r="320" spans="1:10" x14ac:dyDescent="0.2">
      <c r="A3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","#",3))+1,1)&amp;"-"&amp;LEFT(Educator!B325, 3)&amp;"-"&amp;LEFT(Educator!A325, 3)&amp;"-"&amp;IF(ISNUMBER(Educator!D325),"G"&amp;Educator!D325,Educator!D325)&amp;"-"&amp;"2027"</f>
        <v>CID-FLH----2027</v>
      </c>
      <c r="B320" s="49" t="e" cm="1">
        <f t="array" ref="B320">Educator!B325&amp;" "&amp;_xlfn.IFS(AND(ISNUMBER(Educator!D325),Educator!D325&lt;&gt;9),"Grade "&amp;Educator!D325,Educator!D325=9,"Grade 9-12",ISTEXT(Educator!D325),Educator!D325)&amp;" "&amp;"Florida"&amp;" "&amp;"26-27"</f>
        <v>#N/A</v>
      </c>
      <c r="C320" s="49" t="e">
        <f t="shared" si="5"/>
        <v>#N/A</v>
      </c>
      <c r="E320" s="51" t="s">
        <v>102</v>
      </c>
      <c r="F320" s="49" t="b">
        <f>IF(Educator!B325&gt;0,"active")</f>
        <v>0</v>
      </c>
      <c r="J320" s="49" t="str">
        <f>"BP-"&amp;"TSWFL-"&amp;IF(ISNUMBER(Educator!D325),""&amp;Educator!D325,Educator!D325)&amp;"-"&amp;"2027"</f>
        <v>BP-TSWFL--2027</v>
      </c>
    </row>
    <row r="321" spans="1:10" x14ac:dyDescent="0.2">
      <c r="A3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","#",3))+1,1)&amp;"-"&amp;LEFT(Educator!B326, 3)&amp;"-"&amp;LEFT(Educator!A326, 3)&amp;"-"&amp;IF(ISNUMBER(Educator!D326),"G"&amp;Educator!D326,Educator!D326)&amp;"-"&amp;"2027"</f>
        <v>CID-FLH----2027</v>
      </c>
      <c r="B321" s="49" t="e" cm="1">
        <f t="array" ref="B321">Educator!B326&amp;" "&amp;_xlfn.IFS(AND(ISNUMBER(Educator!D326),Educator!D326&lt;&gt;9),"Grade "&amp;Educator!D326,Educator!D326=9,"Grade 9-12",ISTEXT(Educator!D326),Educator!D326)&amp;" "&amp;"Florida"&amp;" "&amp;"26-27"</f>
        <v>#N/A</v>
      </c>
      <c r="C321" s="49" t="e">
        <f t="shared" si="5"/>
        <v>#N/A</v>
      </c>
      <c r="E321" s="51" t="s">
        <v>102</v>
      </c>
      <c r="F321" s="49" t="b">
        <f>IF(Educator!B326&gt;0,"active")</f>
        <v>0</v>
      </c>
      <c r="J321" s="49" t="str">
        <f>"BP-"&amp;"TSWFL-"&amp;IF(ISNUMBER(Educator!D326),""&amp;Educator!D326,Educator!D326)&amp;"-"&amp;"2027"</f>
        <v>BP-TSWFL--2027</v>
      </c>
    </row>
    <row r="322" spans="1:10" x14ac:dyDescent="0.2">
      <c r="A3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","#",3))+1,1)&amp;"-"&amp;LEFT(Educator!B327, 3)&amp;"-"&amp;LEFT(Educator!A327, 3)&amp;"-"&amp;IF(ISNUMBER(Educator!D327),"G"&amp;Educator!D327,Educator!D327)&amp;"-"&amp;"2027"</f>
        <v>CID-FLH----2027</v>
      </c>
      <c r="B322" s="49" t="e" cm="1">
        <f t="array" ref="B322">Educator!B327&amp;" "&amp;_xlfn.IFS(AND(ISNUMBER(Educator!D327),Educator!D327&lt;&gt;9),"Grade "&amp;Educator!D327,Educator!D327=9,"Grade 9-12",ISTEXT(Educator!D327),Educator!D327)&amp;" "&amp;"Florida"&amp;" "&amp;"26-27"</f>
        <v>#N/A</v>
      </c>
      <c r="C322" s="49" t="e">
        <f t="shared" si="5"/>
        <v>#N/A</v>
      </c>
      <c r="E322" s="51" t="s">
        <v>102</v>
      </c>
      <c r="F322" s="49" t="b">
        <f>IF(Educator!B327&gt;0,"active")</f>
        <v>0</v>
      </c>
      <c r="J322" s="49" t="str">
        <f>"BP-"&amp;"TSWFL-"&amp;IF(ISNUMBER(Educator!D327),""&amp;Educator!D327,Educator!D327)&amp;"-"&amp;"2027"</f>
        <v>BP-TSWFL--2027</v>
      </c>
    </row>
    <row r="323" spans="1:10" x14ac:dyDescent="0.2">
      <c r="A3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","#",3))+1,1)&amp;"-"&amp;LEFT(Educator!B328, 3)&amp;"-"&amp;LEFT(Educator!A328, 3)&amp;"-"&amp;IF(ISNUMBER(Educator!D328),"G"&amp;Educator!D328,Educator!D328)&amp;"-"&amp;"2027"</f>
        <v>CID-FLH----2027</v>
      </c>
      <c r="B323" s="49" t="e" cm="1">
        <f t="array" ref="B323">Educator!B328&amp;" "&amp;_xlfn.IFS(AND(ISNUMBER(Educator!D328),Educator!D328&lt;&gt;9),"Grade "&amp;Educator!D328,Educator!D328=9,"Grade 9-12",ISTEXT(Educator!D328),Educator!D328)&amp;" "&amp;"Florida"&amp;" "&amp;"26-27"</f>
        <v>#N/A</v>
      </c>
      <c r="C323" s="49" t="e">
        <f t="shared" si="5"/>
        <v>#N/A</v>
      </c>
      <c r="E323" s="51" t="s">
        <v>102</v>
      </c>
      <c r="F323" s="49" t="b">
        <f>IF(Educator!B328&gt;0,"active")</f>
        <v>0</v>
      </c>
      <c r="J323" s="49" t="str">
        <f>"BP-"&amp;"TSWFL-"&amp;IF(ISNUMBER(Educator!D328),""&amp;Educator!D328,Educator!D328)&amp;"-"&amp;"2027"</f>
        <v>BP-TSWFL--2027</v>
      </c>
    </row>
    <row r="324" spans="1:10" x14ac:dyDescent="0.2">
      <c r="A3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","#",3))+1,1)&amp;"-"&amp;LEFT(Educator!B329, 3)&amp;"-"&amp;LEFT(Educator!A329, 3)&amp;"-"&amp;IF(ISNUMBER(Educator!D329),"G"&amp;Educator!D329,Educator!D329)&amp;"-"&amp;"2027"</f>
        <v>CID-FLH----2027</v>
      </c>
      <c r="B324" s="49" t="e" cm="1">
        <f t="array" ref="B324">Educator!B329&amp;" "&amp;_xlfn.IFS(AND(ISNUMBER(Educator!D329),Educator!D329&lt;&gt;9),"Grade "&amp;Educator!D329,Educator!D329=9,"Grade 9-12",ISTEXT(Educator!D329),Educator!D329)&amp;" "&amp;"Florida"&amp;" "&amp;"26-27"</f>
        <v>#N/A</v>
      </c>
      <c r="C324" s="49" t="e">
        <f t="shared" si="5"/>
        <v>#N/A</v>
      </c>
      <c r="E324" s="51" t="s">
        <v>102</v>
      </c>
      <c r="F324" s="49" t="b">
        <f>IF(Educator!B329&gt;0,"active")</f>
        <v>0</v>
      </c>
      <c r="J324" s="49" t="str">
        <f>"BP-"&amp;"TSWFL-"&amp;IF(ISNUMBER(Educator!D329),""&amp;Educator!D329,Educator!D329)&amp;"-"&amp;"2027"</f>
        <v>BP-TSWFL--2027</v>
      </c>
    </row>
    <row r="325" spans="1:10" x14ac:dyDescent="0.2">
      <c r="A3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","#",3))+1,1)&amp;"-"&amp;LEFT(Educator!B330, 3)&amp;"-"&amp;LEFT(Educator!A330, 3)&amp;"-"&amp;IF(ISNUMBER(Educator!D330),"G"&amp;Educator!D330,Educator!D330)&amp;"-"&amp;"2027"</f>
        <v>CID-FLH----2027</v>
      </c>
      <c r="B325" s="49" t="e" cm="1">
        <f t="array" ref="B325">Educator!B330&amp;" "&amp;_xlfn.IFS(AND(ISNUMBER(Educator!D330),Educator!D330&lt;&gt;9),"Grade "&amp;Educator!D330,Educator!D330=9,"Grade 9-12",ISTEXT(Educator!D330),Educator!D330)&amp;" "&amp;"Florida"&amp;" "&amp;"26-27"</f>
        <v>#N/A</v>
      </c>
      <c r="C325" s="49" t="e">
        <f t="shared" si="5"/>
        <v>#N/A</v>
      </c>
      <c r="E325" s="51" t="s">
        <v>102</v>
      </c>
      <c r="F325" s="49" t="b">
        <f>IF(Educator!B330&gt;0,"active")</f>
        <v>0</v>
      </c>
      <c r="J325" s="49" t="str">
        <f>"BP-"&amp;"TSWFL-"&amp;IF(ISNUMBER(Educator!D330),""&amp;Educator!D330,Educator!D330)&amp;"-"&amp;"2027"</f>
        <v>BP-TSWFL--2027</v>
      </c>
    </row>
    <row r="326" spans="1:10" x14ac:dyDescent="0.2">
      <c r="A3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","#",3))+1,1)&amp;"-"&amp;LEFT(Educator!B331, 3)&amp;"-"&amp;LEFT(Educator!A331, 3)&amp;"-"&amp;IF(ISNUMBER(Educator!D331),"G"&amp;Educator!D331,Educator!D331)&amp;"-"&amp;"2027"</f>
        <v>CID-FLH----2027</v>
      </c>
      <c r="B326" s="49" t="e" cm="1">
        <f t="array" ref="B326">Educator!B331&amp;" "&amp;_xlfn.IFS(AND(ISNUMBER(Educator!D331),Educator!D331&lt;&gt;9),"Grade "&amp;Educator!D331,Educator!D331=9,"Grade 9-12",ISTEXT(Educator!D331),Educator!D331)&amp;" "&amp;"Florida"&amp;" "&amp;"26-27"</f>
        <v>#N/A</v>
      </c>
      <c r="C326" s="49" t="e">
        <f t="shared" si="5"/>
        <v>#N/A</v>
      </c>
      <c r="E326" s="51" t="s">
        <v>102</v>
      </c>
      <c r="F326" s="49" t="b">
        <f>IF(Educator!B331&gt;0,"active")</f>
        <v>0</v>
      </c>
      <c r="J326" s="49" t="str">
        <f>"BP-"&amp;"TSWFL-"&amp;IF(ISNUMBER(Educator!D331),""&amp;Educator!D331,Educator!D331)&amp;"-"&amp;"2027"</f>
        <v>BP-TSWFL--2027</v>
      </c>
    </row>
    <row r="327" spans="1:10" x14ac:dyDescent="0.2">
      <c r="A3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","#",3))+1,1)&amp;"-"&amp;LEFT(Educator!B332, 3)&amp;"-"&amp;LEFT(Educator!A332, 3)&amp;"-"&amp;IF(ISNUMBER(Educator!D332),"G"&amp;Educator!D332,Educator!D332)&amp;"-"&amp;"2027"</f>
        <v>CID-FLH----2027</v>
      </c>
      <c r="B327" s="49" t="e" cm="1">
        <f t="array" ref="B327">Educator!B332&amp;" "&amp;_xlfn.IFS(AND(ISNUMBER(Educator!D332),Educator!D332&lt;&gt;9),"Grade "&amp;Educator!D332,Educator!D332=9,"Grade 9-12",ISTEXT(Educator!D332),Educator!D332)&amp;" "&amp;"Florida"&amp;" "&amp;"26-27"</f>
        <v>#N/A</v>
      </c>
      <c r="C327" s="49" t="e">
        <f t="shared" si="5"/>
        <v>#N/A</v>
      </c>
      <c r="E327" s="51" t="s">
        <v>102</v>
      </c>
      <c r="F327" s="49" t="b">
        <f>IF(Educator!B332&gt;0,"active")</f>
        <v>0</v>
      </c>
      <c r="J327" s="49" t="str">
        <f>"BP-"&amp;"TSWFL-"&amp;IF(ISNUMBER(Educator!D332),""&amp;Educator!D332,Educator!D332)&amp;"-"&amp;"2027"</f>
        <v>BP-TSWFL--2027</v>
      </c>
    </row>
    <row r="328" spans="1:10" x14ac:dyDescent="0.2">
      <c r="A3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","#",3))+1,1)&amp;"-"&amp;LEFT(Educator!B333, 3)&amp;"-"&amp;LEFT(Educator!A333, 3)&amp;"-"&amp;IF(ISNUMBER(Educator!D333),"G"&amp;Educator!D333,Educator!D333)&amp;"-"&amp;"2027"</f>
        <v>CID-FLH----2027</v>
      </c>
      <c r="B328" s="49" t="e" cm="1">
        <f t="array" ref="B328">Educator!B333&amp;" "&amp;_xlfn.IFS(AND(ISNUMBER(Educator!D333),Educator!D333&lt;&gt;9),"Grade "&amp;Educator!D333,Educator!D333=9,"Grade 9-12",ISTEXT(Educator!D333),Educator!D333)&amp;" "&amp;"Florida"&amp;" "&amp;"26-27"</f>
        <v>#N/A</v>
      </c>
      <c r="C328" s="49" t="e">
        <f t="shared" si="5"/>
        <v>#N/A</v>
      </c>
      <c r="E328" s="51" t="s">
        <v>102</v>
      </c>
      <c r="F328" s="49" t="b">
        <f>IF(Educator!B333&gt;0,"active")</f>
        <v>0</v>
      </c>
      <c r="J328" s="49" t="str">
        <f>"BP-"&amp;"TSWFL-"&amp;IF(ISNUMBER(Educator!D333),""&amp;Educator!D333,Educator!D333)&amp;"-"&amp;"2027"</f>
        <v>BP-TSWFL--2027</v>
      </c>
    </row>
    <row r="329" spans="1:10" x14ac:dyDescent="0.2">
      <c r="A3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","#",3))+1,1)&amp;"-"&amp;LEFT(Educator!B334, 3)&amp;"-"&amp;LEFT(Educator!A334, 3)&amp;"-"&amp;IF(ISNUMBER(Educator!D334),"G"&amp;Educator!D334,Educator!D334)&amp;"-"&amp;"2027"</f>
        <v>CID-FLH----2027</v>
      </c>
      <c r="B329" s="49" t="e" cm="1">
        <f t="array" ref="B329">Educator!B334&amp;" "&amp;_xlfn.IFS(AND(ISNUMBER(Educator!D334),Educator!D334&lt;&gt;9),"Grade "&amp;Educator!D334,Educator!D334=9,"Grade 9-12",ISTEXT(Educator!D334),Educator!D334)&amp;" "&amp;"Florida"&amp;" "&amp;"26-27"</f>
        <v>#N/A</v>
      </c>
      <c r="C329" s="49" t="e">
        <f t="shared" si="5"/>
        <v>#N/A</v>
      </c>
      <c r="E329" s="51" t="s">
        <v>102</v>
      </c>
      <c r="F329" s="49" t="b">
        <f>IF(Educator!B334&gt;0,"active")</f>
        <v>0</v>
      </c>
      <c r="J329" s="49" t="str">
        <f>"BP-"&amp;"TSWFL-"&amp;IF(ISNUMBER(Educator!D334),""&amp;Educator!D334,Educator!D334)&amp;"-"&amp;"2027"</f>
        <v>BP-TSWFL--2027</v>
      </c>
    </row>
    <row r="330" spans="1:10" x14ac:dyDescent="0.2">
      <c r="A3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","#",3))+1,1)&amp;"-"&amp;LEFT(Educator!B335, 3)&amp;"-"&amp;LEFT(Educator!A335, 3)&amp;"-"&amp;IF(ISNUMBER(Educator!D335),"G"&amp;Educator!D335,Educator!D335)&amp;"-"&amp;"2027"</f>
        <v>CID-FLH----2027</v>
      </c>
      <c r="B330" s="49" t="e" cm="1">
        <f t="array" ref="B330">Educator!B335&amp;" "&amp;_xlfn.IFS(AND(ISNUMBER(Educator!D335),Educator!D335&lt;&gt;9),"Grade "&amp;Educator!D335,Educator!D335=9,"Grade 9-12",ISTEXT(Educator!D335),Educator!D335)&amp;" "&amp;"Florida"&amp;" "&amp;"26-27"</f>
        <v>#N/A</v>
      </c>
      <c r="C330" s="49" t="e">
        <f t="shared" si="5"/>
        <v>#N/A</v>
      </c>
      <c r="E330" s="51" t="s">
        <v>102</v>
      </c>
      <c r="F330" s="49" t="b">
        <f>IF(Educator!B335&gt;0,"active")</f>
        <v>0</v>
      </c>
      <c r="J330" s="49" t="str">
        <f>"BP-"&amp;"TSWFL-"&amp;IF(ISNUMBER(Educator!D335),""&amp;Educator!D335,Educator!D335)&amp;"-"&amp;"2027"</f>
        <v>BP-TSWFL--2027</v>
      </c>
    </row>
    <row r="331" spans="1:10" x14ac:dyDescent="0.2">
      <c r="A3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","#",3))+1,1)&amp;"-"&amp;LEFT(Educator!B336, 3)&amp;"-"&amp;LEFT(Educator!A336, 3)&amp;"-"&amp;IF(ISNUMBER(Educator!D336),"G"&amp;Educator!D336,Educator!D336)&amp;"-"&amp;"2027"</f>
        <v>CID-FLH----2027</v>
      </c>
      <c r="B331" s="49" t="e" cm="1">
        <f t="array" ref="B331">Educator!B336&amp;" "&amp;_xlfn.IFS(AND(ISNUMBER(Educator!D336),Educator!D336&lt;&gt;9),"Grade "&amp;Educator!D336,Educator!D336=9,"Grade 9-12",ISTEXT(Educator!D336),Educator!D336)&amp;" "&amp;"Florida"&amp;" "&amp;"26-27"</f>
        <v>#N/A</v>
      </c>
      <c r="C331" s="49" t="e">
        <f t="shared" si="5"/>
        <v>#N/A</v>
      </c>
      <c r="E331" s="51" t="s">
        <v>102</v>
      </c>
      <c r="F331" s="49" t="b">
        <f>IF(Educator!B336&gt;0,"active")</f>
        <v>0</v>
      </c>
      <c r="J331" s="49" t="str">
        <f>"BP-"&amp;"TSWFL-"&amp;IF(ISNUMBER(Educator!D336),""&amp;Educator!D336,Educator!D336)&amp;"-"&amp;"2027"</f>
        <v>BP-TSWFL--2027</v>
      </c>
    </row>
    <row r="332" spans="1:10" x14ac:dyDescent="0.2">
      <c r="A3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","#",3))+1,1)&amp;"-"&amp;LEFT(Educator!B337, 3)&amp;"-"&amp;LEFT(Educator!A337, 3)&amp;"-"&amp;IF(ISNUMBER(Educator!D337),"G"&amp;Educator!D337,Educator!D337)&amp;"-"&amp;"2027"</f>
        <v>CID-FLH----2027</v>
      </c>
      <c r="B332" s="49" t="e" cm="1">
        <f t="array" ref="B332">Educator!B337&amp;" "&amp;_xlfn.IFS(AND(ISNUMBER(Educator!D337),Educator!D337&lt;&gt;9),"Grade "&amp;Educator!D337,Educator!D337=9,"Grade 9-12",ISTEXT(Educator!D337),Educator!D337)&amp;" "&amp;"Florida"&amp;" "&amp;"26-27"</f>
        <v>#N/A</v>
      </c>
      <c r="C332" s="49" t="e">
        <f t="shared" si="5"/>
        <v>#N/A</v>
      </c>
      <c r="E332" s="51" t="s">
        <v>102</v>
      </c>
      <c r="F332" s="49" t="b">
        <f>IF(Educator!B337&gt;0,"active")</f>
        <v>0</v>
      </c>
      <c r="J332" s="49" t="str">
        <f>"BP-"&amp;"TSWFL-"&amp;IF(ISNUMBER(Educator!D337),""&amp;Educator!D337,Educator!D337)&amp;"-"&amp;"2027"</f>
        <v>BP-TSWFL--2027</v>
      </c>
    </row>
    <row r="333" spans="1:10" x14ac:dyDescent="0.2">
      <c r="A3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","#",3))+1,1)&amp;"-"&amp;LEFT(Educator!B338, 3)&amp;"-"&amp;LEFT(Educator!A338, 3)&amp;"-"&amp;IF(ISNUMBER(Educator!D338),"G"&amp;Educator!D338,Educator!D338)&amp;"-"&amp;"2027"</f>
        <v>CID-FLH----2027</v>
      </c>
      <c r="B333" s="49" t="e" cm="1">
        <f t="array" ref="B333">Educator!B338&amp;" "&amp;_xlfn.IFS(AND(ISNUMBER(Educator!D338),Educator!D338&lt;&gt;9),"Grade "&amp;Educator!D338,Educator!D338=9,"Grade 9-12",ISTEXT(Educator!D338),Educator!D338)&amp;" "&amp;"Florida"&amp;" "&amp;"26-27"</f>
        <v>#N/A</v>
      </c>
      <c r="C333" s="49" t="e">
        <f t="shared" si="5"/>
        <v>#N/A</v>
      </c>
      <c r="E333" s="51" t="s">
        <v>102</v>
      </c>
      <c r="F333" s="49" t="b">
        <f>IF(Educator!B338&gt;0,"active")</f>
        <v>0</v>
      </c>
      <c r="J333" s="49" t="str">
        <f>"BP-"&amp;"TSWFL-"&amp;IF(ISNUMBER(Educator!D338),""&amp;Educator!D338,Educator!D338)&amp;"-"&amp;"2027"</f>
        <v>BP-TSWFL--2027</v>
      </c>
    </row>
    <row r="334" spans="1:10" x14ac:dyDescent="0.2">
      <c r="A3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","#",3))+1,1)&amp;"-"&amp;LEFT(Educator!B339, 3)&amp;"-"&amp;LEFT(Educator!A339, 3)&amp;"-"&amp;IF(ISNUMBER(Educator!D339),"G"&amp;Educator!D339,Educator!D339)&amp;"-"&amp;"2027"</f>
        <v>CID-FLH----2027</v>
      </c>
      <c r="B334" s="49" t="e" cm="1">
        <f t="array" ref="B334">Educator!B339&amp;" "&amp;_xlfn.IFS(AND(ISNUMBER(Educator!D339),Educator!D339&lt;&gt;9),"Grade "&amp;Educator!D339,Educator!D339=9,"Grade 9-12",ISTEXT(Educator!D339),Educator!D339)&amp;" "&amp;"Florida"&amp;" "&amp;"26-27"</f>
        <v>#N/A</v>
      </c>
      <c r="C334" s="49" t="e">
        <f t="shared" si="5"/>
        <v>#N/A</v>
      </c>
      <c r="E334" s="51" t="s">
        <v>102</v>
      </c>
      <c r="F334" s="49" t="b">
        <f>IF(Educator!B339&gt;0,"active")</f>
        <v>0</v>
      </c>
      <c r="J334" s="49" t="str">
        <f>"BP-"&amp;"TSWFL-"&amp;IF(ISNUMBER(Educator!D339),""&amp;Educator!D339,Educator!D339)&amp;"-"&amp;"2027"</f>
        <v>BP-TSWFL--2027</v>
      </c>
    </row>
    <row r="335" spans="1:10" x14ac:dyDescent="0.2">
      <c r="A3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","#",3))+1,1)&amp;"-"&amp;LEFT(Educator!B340, 3)&amp;"-"&amp;LEFT(Educator!A340, 3)&amp;"-"&amp;IF(ISNUMBER(Educator!D340),"G"&amp;Educator!D340,Educator!D340)&amp;"-"&amp;"2027"</f>
        <v>CID-FLH----2027</v>
      </c>
      <c r="B335" s="49" t="e" cm="1">
        <f t="array" ref="B335">Educator!B340&amp;" "&amp;_xlfn.IFS(AND(ISNUMBER(Educator!D340),Educator!D340&lt;&gt;9),"Grade "&amp;Educator!D340,Educator!D340=9,"Grade 9-12",ISTEXT(Educator!D340),Educator!D340)&amp;" "&amp;"Florida"&amp;" "&amp;"26-27"</f>
        <v>#N/A</v>
      </c>
      <c r="C335" s="49" t="e">
        <f t="shared" si="5"/>
        <v>#N/A</v>
      </c>
      <c r="E335" s="51" t="s">
        <v>102</v>
      </c>
      <c r="F335" s="49" t="b">
        <f>IF(Educator!B340&gt;0,"active")</f>
        <v>0</v>
      </c>
      <c r="J335" s="49" t="str">
        <f>"BP-"&amp;"TSWFL-"&amp;IF(ISNUMBER(Educator!D340),""&amp;Educator!D340,Educator!D340)&amp;"-"&amp;"2027"</f>
        <v>BP-TSWFL--2027</v>
      </c>
    </row>
    <row r="336" spans="1:10" x14ac:dyDescent="0.2">
      <c r="A3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","#",3))+1,1)&amp;"-"&amp;LEFT(Educator!B341, 3)&amp;"-"&amp;LEFT(Educator!A341, 3)&amp;"-"&amp;IF(ISNUMBER(Educator!D341),"G"&amp;Educator!D341,Educator!D341)&amp;"-"&amp;"2027"</f>
        <v>CID-FLH----2027</v>
      </c>
      <c r="B336" s="49" t="e" cm="1">
        <f t="array" ref="B336">Educator!B341&amp;" "&amp;_xlfn.IFS(AND(ISNUMBER(Educator!D341),Educator!D341&lt;&gt;9),"Grade "&amp;Educator!D341,Educator!D341=9,"Grade 9-12",ISTEXT(Educator!D341),Educator!D341)&amp;" "&amp;"Florida"&amp;" "&amp;"26-27"</f>
        <v>#N/A</v>
      </c>
      <c r="C336" s="49" t="e">
        <f t="shared" si="5"/>
        <v>#N/A</v>
      </c>
      <c r="E336" s="51" t="s">
        <v>102</v>
      </c>
      <c r="F336" s="49" t="b">
        <f>IF(Educator!B341&gt;0,"active")</f>
        <v>0</v>
      </c>
      <c r="J336" s="49" t="str">
        <f>"BP-"&amp;"TSWFL-"&amp;IF(ISNUMBER(Educator!D341),""&amp;Educator!D341,Educator!D341)&amp;"-"&amp;"2027"</f>
        <v>BP-TSWFL--2027</v>
      </c>
    </row>
    <row r="337" spans="1:10" x14ac:dyDescent="0.2">
      <c r="A3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","#",3))+1,1)&amp;"-"&amp;LEFT(Educator!B342, 3)&amp;"-"&amp;LEFT(Educator!A342, 3)&amp;"-"&amp;IF(ISNUMBER(Educator!D342),"G"&amp;Educator!D342,Educator!D342)&amp;"-"&amp;"2027"</f>
        <v>CID-FLH----2027</v>
      </c>
      <c r="B337" s="49" t="e" cm="1">
        <f t="array" ref="B337">Educator!B342&amp;" "&amp;_xlfn.IFS(AND(ISNUMBER(Educator!D342),Educator!D342&lt;&gt;9),"Grade "&amp;Educator!D342,Educator!D342=9,"Grade 9-12",ISTEXT(Educator!D342),Educator!D342)&amp;" "&amp;"Florida"&amp;" "&amp;"26-27"</f>
        <v>#N/A</v>
      </c>
      <c r="C337" s="49" t="e">
        <f t="shared" si="5"/>
        <v>#N/A</v>
      </c>
      <c r="E337" s="51" t="s">
        <v>102</v>
      </c>
      <c r="F337" s="49" t="b">
        <f>IF(Educator!B342&gt;0,"active")</f>
        <v>0</v>
      </c>
      <c r="J337" s="49" t="str">
        <f>"BP-"&amp;"TSWFL-"&amp;IF(ISNUMBER(Educator!D342),""&amp;Educator!D342,Educator!D342)&amp;"-"&amp;"2027"</f>
        <v>BP-TSWFL--2027</v>
      </c>
    </row>
    <row r="338" spans="1:10" x14ac:dyDescent="0.2">
      <c r="A3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","#",3))+1,1)&amp;"-"&amp;LEFT(Educator!B343, 3)&amp;"-"&amp;LEFT(Educator!A343, 3)&amp;"-"&amp;IF(ISNUMBER(Educator!D343),"G"&amp;Educator!D343,Educator!D343)&amp;"-"&amp;"2027"</f>
        <v>CID-FLH----2027</v>
      </c>
      <c r="B338" s="49" t="e" cm="1">
        <f t="array" ref="B338">Educator!B343&amp;" "&amp;_xlfn.IFS(AND(ISNUMBER(Educator!D343),Educator!D343&lt;&gt;9),"Grade "&amp;Educator!D343,Educator!D343=9,"Grade 9-12",ISTEXT(Educator!D343),Educator!D343)&amp;" "&amp;"Florida"&amp;" "&amp;"26-27"</f>
        <v>#N/A</v>
      </c>
      <c r="C338" s="49" t="e">
        <f t="shared" ref="C338:C401" si="6">B338</f>
        <v>#N/A</v>
      </c>
      <c r="E338" s="51" t="s">
        <v>102</v>
      </c>
      <c r="F338" s="49" t="b">
        <f>IF(Educator!B343&gt;0,"active")</f>
        <v>0</v>
      </c>
      <c r="J338" s="49" t="str">
        <f>"BP-"&amp;"TSWFL-"&amp;IF(ISNUMBER(Educator!D343),""&amp;Educator!D343,Educator!D343)&amp;"-"&amp;"2027"</f>
        <v>BP-TSWFL--2027</v>
      </c>
    </row>
    <row r="339" spans="1:10" x14ac:dyDescent="0.2">
      <c r="A3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","#",3))+1,1)&amp;"-"&amp;LEFT(Educator!B344, 3)&amp;"-"&amp;LEFT(Educator!A344, 3)&amp;"-"&amp;IF(ISNUMBER(Educator!D344),"G"&amp;Educator!D344,Educator!D344)&amp;"-"&amp;"2027"</f>
        <v>CID-FLH----2027</v>
      </c>
      <c r="B339" s="49" t="e" cm="1">
        <f t="array" ref="B339">Educator!B344&amp;" "&amp;_xlfn.IFS(AND(ISNUMBER(Educator!D344),Educator!D344&lt;&gt;9),"Grade "&amp;Educator!D344,Educator!D344=9,"Grade 9-12",ISTEXT(Educator!D344),Educator!D344)&amp;" "&amp;"Florida"&amp;" "&amp;"26-27"</f>
        <v>#N/A</v>
      </c>
      <c r="C339" s="49" t="e">
        <f t="shared" si="6"/>
        <v>#N/A</v>
      </c>
      <c r="E339" s="51" t="s">
        <v>102</v>
      </c>
      <c r="F339" s="49" t="b">
        <f>IF(Educator!B344&gt;0,"active")</f>
        <v>0</v>
      </c>
      <c r="J339" s="49" t="str">
        <f>"BP-"&amp;"TSWFL-"&amp;IF(ISNUMBER(Educator!D344),""&amp;Educator!D344,Educator!D344)&amp;"-"&amp;"2027"</f>
        <v>BP-TSWFL--2027</v>
      </c>
    </row>
    <row r="340" spans="1:10" x14ac:dyDescent="0.2">
      <c r="A3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","#",3))+1,1)&amp;"-"&amp;LEFT(Educator!B345, 3)&amp;"-"&amp;LEFT(Educator!A345, 3)&amp;"-"&amp;IF(ISNUMBER(Educator!D345),"G"&amp;Educator!D345,Educator!D345)&amp;"-"&amp;"2027"</f>
        <v>CID-FLH----2027</v>
      </c>
      <c r="B340" s="49" t="e" cm="1">
        <f t="array" ref="B340">Educator!B345&amp;" "&amp;_xlfn.IFS(AND(ISNUMBER(Educator!D345),Educator!D345&lt;&gt;9),"Grade "&amp;Educator!D345,Educator!D345=9,"Grade 9-12",ISTEXT(Educator!D345),Educator!D345)&amp;" "&amp;"Florida"&amp;" "&amp;"26-27"</f>
        <v>#N/A</v>
      </c>
      <c r="C340" s="49" t="e">
        <f t="shared" si="6"/>
        <v>#N/A</v>
      </c>
      <c r="E340" s="51" t="s">
        <v>102</v>
      </c>
      <c r="F340" s="49" t="b">
        <f>IF(Educator!B345&gt;0,"active")</f>
        <v>0</v>
      </c>
      <c r="J340" s="49" t="str">
        <f>"BP-"&amp;"TSWFL-"&amp;IF(ISNUMBER(Educator!D345),""&amp;Educator!D345,Educator!D345)&amp;"-"&amp;"2027"</f>
        <v>BP-TSWFL--2027</v>
      </c>
    </row>
    <row r="341" spans="1:10" x14ac:dyDescent="0.2">
      <c r="A3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","#",3))+1,1)&amp;"-"&amp;LEFT(Educator!B346, 3)&amp;"-"&amp;LEFT(Educator!A346, 3)&amp;"-"&amp;IF(ISNUMBER(Educator!D346),"G"&amp;Educator!D346,Educator!D346)&amp;"-"&amp;"2027"</f>
        <v>CID-FLH----2027</v>
      </c>
      <c r="B341" s="49" t="e" cm="1">
        <f t="array" ref="B341">Educator!B346&amp;" "&amp;_xlfn.IFS(AND(ISNUMBER(Educator!D346),Educator!D346&lt;&gt;9),"Grade "&amp;Educator!D346,Educator!D346=9,"Grade 9-12",ISTEXT(Educator!D346),Educator!D346)&amp;" "&amp;"Florida"&amp;" "&amp;"26-27"</f>
        <v>#N/A</v>
      </c>
      <c r="C341" s="49" t="e">
        <f t="shared" si="6"/>
        <v>#N/A</v>
      </c>
      <c r="E341" s="51" t="s">
        <v>102</v>
      </c>
      <c r="F341" s="49" t="b">
        <f>IF(Educator!B346&gt;0,"active")</f>
        <v>0</v>
      </c>
      <c r="J341" s="49" t="str">
        <f>"BP-"&amp;"TSWFL-"&amp;IF(ISNUMBER(Educator!D346),""&amp;Educator!D346,Educator!D346)&amp;"-"&amp;"2027"</f>
        <v>BP-TSWFL--2027</v>
      </c>
    </row>
    <row r="342" spans="1:10" x14ac:dyDescent="0.2">
      <c r="A3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","#",3))+1,1)&amp;"-"&amp;LEFT(Educator!B347, 3)&amp;"-"&amp;LEFT(Educator!A347, 3)&amp;"-"&amp;IF(ISNUMBER(Educator!D347),"G"&amp;Educator!D347,Educator!D347)&amp;"-"&amp;"2027"</f>
        <v>CID-FLH----2027</v>
      </c>
      <c r="B342" s="49" t="e" cm="1">
        <f t="array" ref="B342">Educator!B347&amp;" "&amp;_xlfn.IFS(AND(ISNUMBER(Educator!D347),Educator!D347&lt;&gt;9),"Grade "&amp;Educator!D347,Educator!D347=9,"Grade 9-12",ISTEXT(Educator!D347),Educator!D347)&amp;" "&amp;"Florida"&amp;" "&amp;"26-27"</f>
        <v>#N/A</v>
      </c>
      <c r="C342" s="49" t="e">
        <f t="shared" si="6"/>
        <v>#N/A</v>
      </c>
      <c r="E342" s="51" t="s">
        <v>102</v>
      </c>
      <c r="F342" s="49" t="b">
        <f>IF(Educator!B347&gt;0,"active")</f>
        <v>0</v>
      </c>
      <c r="J342" s="49" t="str">
        <f>"BP-"&amp;"TSWFL-"&amp;IF(ISNUMBER(Educator!D347),""&amp;Educator!D347,Educator!D347)&amp;"-"&amp;"2027"</f>
        <v>BP-TSWFL--2027</v>
      </c>
    </row>
    <row r="343" spans="1:10" x14ac:dyDescent="0.2">
      <c r="A3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","#",3))+1,1)&amp;"-"&amp;LEFT(Educator!B348, 3)&amp;"-"&amp;LEFT(Educator!A348, 3)&amp;"-"&amp;IF(ISNUMBER(Educator!D348),"G"&amp;Educator!D348,Educator!D348)&amp;"-"&amp;"2027"</f>
        <v>CID-FLH----2027</v>
      </c>
      <c r="B343" s="49" t="e" cm="1">
        <f t="array" ref="B343">Educator!B348&amp;" "&amp;_xlfn.IFS(AND(ISNUMBER(Educator!D348),Educator!D348&lt;&gt;9),"Grade "&amp;Educator!D348,Educator!D348=9,"Grade 9-12",ISTEXT(Educator!D348),Educator!D348)&amp;" "&amp;"Florida"&amp;" "&amp;"26-27"</f>
        <v>#N/A</v>
      </c>
      <c r="C343" s="49" t="e">
        <f t="shared" si="6"/>
        <v>#N/A</v>
      </c>
      <c r="E343" s="51" t="s">
        <v>102</v>
      </c>
      <c r="F343" s="49" t="b">
        <f>IF(Educator!B348&gt;0,"active")</f>
        <v>0</v>
      </c>
      <c r="J343" s="49" t="str">
        <f>"BP-"&amp;"TSWFL-"&amp;IF(ISNUMBER(Educator!D348),""&amp;Educator!D348,Educator!D348)&amp;"-"&amp;"2027"</f>
        <v>BP-TSWFL--2027</v>
      </c>
    </row>
    <row r="344" spans="1:10" x14ac:dyDescent="0.2">
      <c r="A3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","#",3))+1,1)&amp;"-"&amp;LEFT(Educator!B349, 3)&amp;"-"&amp;LEFT(Educator!A349, 3)&amp;"-"&amp;IF(ISNUMBER(Educator!D349),"G"&amp;Educator!D349,Educator!D349)&amp;"-"&amp;"2027"</f>
        <v>CID-FLH----2027</v>
      </c>
      <c r="B344" s="49" t="e" cm="1">
        <f t="array" ref="B344">Educator!B349&amp;" "&amp;_xlfn.IFS(AND(ISNUMBER(Educator!D349),Educator!D349&lt;&gt;9),"Grade "&amp;Educator!D349,Educator!D349=9,"Grade 9-12",ISTEXT(Educator!D349),Educator!D349)&amp;" "&amp;"Florida"&amp;" "&amp;"26-27"</f>
        <v>#N/A</v>
      </c>
      <c r="C344" s="49" t="e">
        <f t="shared" si="6"/>
        <v>#N/A</v>
      </c>
      <c r="E344" s="51" t="s">
        <v>102</v>
      </c>
      <c r="F344" s="49" t="b">
        <f>IF(Educator!B349&gt;0,"active")</f>
        <v>0</v>
      </c>
      <c r="J344" s="49" t="str">
        <f>"BP-"&amp;"TSWFL-"&amp;IF(ISNUMBER(Educator!D349),""&amp;Educator!D349,Educator!D349)&amp;"-"&amp;"2027"</f>
        <v>BP-TSWFL--2027</v>
      </c>
    </row>
    <row r="345" spans="1:10" x14ac:dyDescent="0.2">
      <c r="A3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","#",3))+1,1)&amp;"-"&amp;LEFT(Educator!B350, 3)&amp;"-"&amp;LEFT(Educator!A350, 3)&amp;"-"&amp;IF(ISNUMBER(Educator!D350),"G"&amp;Educator!D350,Educator!D350)&amp;"-"&amp;"2027"</f>
        <v>CID-FLH----2027</v>
      </c>
      <c r="B345" s="49" t="e" cm="1">
        <f t="array" ref="B345">Educator!B350&amp;" "&amp;_xlfn.IFS(AND(ISNUMBER(Educator!D350),Educator!D350&lt;&gt;9),"Grade "&amp;Educator!D350,Educator!D350=9,"Grade 9-12",ISTEXT(Educator!D350),Educator!D350)&amp;" "&amp;"Florida"&amp;" "&amp;"26-27"</f>
        <v>#N/A</v>
      </c>
      <c r="C345" s="49" t="e">
        <f t="shared" si="6"/>
        <v>#N/A</v>
      </c>
      <c r="E345" s="51" t="s">
        <v>102</v>
      </c>
      <c r="F345" s="49" t="b">
        <f>IF(Educator!B350&gt;0,"active")</f>
        <v>0</v>
      </c>
      <c r="J345" s="49" t="str">
        <f>"BP-"&amp;"TSWFL-"&amp;IF(ISNUMBER(Educator!D350),""&amp;Educator!D350,Educator!D350)&amp;"-"&amp;"2027"</f>
        <v>BP-TSWFL--2027</v>
      </c>
    </row>
    <row r="346" spans="1:10" x14ac:dyDescent="0.2">
      <c r="A3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","#",3))+1,1)&amp;"-"&amp;LEFT(Educator!B351, 3)&amp;"-"&amp;LEFT(Educator!A351, 3)&amp;"-"&amp;IF(ISNUMBER(Educator!D351),"G"&amp;Educator!D351,Educator!D351)&amp;"-"&amp;"2027"</f>
        <v>CID-FLH----2027</v>
      </c>
      <c r="B346" s="49" t="e" cm="1">
        <f t="array" ref="B346">Educator!B351&amp;" "&amp;_xlfn.IFS(AND(ISNUMBER(Educator!D351),Educator!D351&lt;&gt;9),"Grade "&amp;Educator!D351,Educator!D351=9,"Grade 9-12",ISTEXT(Educator!D351),Educator!D351)&amp;" "&amp;"Florida"&amp;" "&amp;"26-27"</f>
        <v>#N/A</v>
      </c>
      <c r="C346" s="49" t="e">
        <f t="shared" si="6"/>
        <v>#N/A</v>
      </c>
      <c r="E346" s="51" t="s">
        <v>102</v>
      </c>
      <c r="F346" s="49" t="b">
        <f>IF(Educator!B351&gt;0,"active")</f>
        <v>0</v>
      </c>
      <c r="J346" s="49" t="str">
        <f>"BP-"&amp;"TSWFL-"&amp;IF(ISNUMBER(Educator!D351),""&amp;Educator!D351,Educator!D351)&amp;"-"&amp;"2027"</f>
        <v>BP-TSWFL--2027</v>
      </c>
    </row>
    <row r="347" spans="1:10" x14ac:dyDescent="0.2">
      <c r="A3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","#",3))+1,1)&amp;"-"&amp;LEFT(Educator!B352, 3)&amp;"-"&amp;LEFT(Educator!A352, 3)&amp;"-"&amp;IF(ISNUMBER(Educator!D352),"G"&amp;Educator!D352,Educator!D352)&amp;"-"&amp;"2027"</f>
        <v>CID-FLH----2027</v>
      </c>
      <c r="B347" s="49" t="e" cm="1">
        <f t="array" ref="B347">Educator!B352&amp;" "&amp;_xlfn.IFS(AND(ISNUMBER(Educator!D352),Educator!D352&lt;&gt;9),"Grade "&amp;Educator!D352,Educator!D352=9,"Grade 9-12",ISTEXT(Educator!D352),Educator!D352)&amp;" "&amp;"Florida"&amp;" "&amp;"26-27"</f>
        <v>#N/A</v>
      </c>
      <c r="C347" s="49" t="e">
        <f t="shared" si="6"/>
        <v>#N/A</v>
      </c>
      <c r="E347" s="51" t="s">
        <v>102</v>
      </c>
      <c r="F347" s="49" t="b">
        <f>IF(Educator!B352&gt;0,"active")</f>
        <v>0</v>
      </c>
      <c r="J347" s="49" t="str">
        <f>"BP-"&amp;"TSWFL-"&amp;IF(ISNUMBER(Educator!D352),""&amp;Educator!D352,Educator!D352)&amp;"-"&amp;"2027"</f>
        <v>BP-TSWFL--2027</v>
      </c>
    </row>
    <row r="348" spans="1:10" x14ac:dyDescent="0.2">
      <c r="A3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","#",3))+1,1)&amp;"-"&amp;LEFT(Educator!B353, 3)&amp;"-"&amp;LEFT(Educator!A353, 3)&amp;"-"&amp;IF(ISNUMBER(Educator!D353),"G"&amp;Educator!D353,Educator!D353)&amp;"-"&amp;"2027"</f>
        <v>CID-FLH----2027</v>
      </c>
      <c r="B348" s="49" t="e" cm="1">
        <f t="array" ref="B348">Educator!B353&amp;" "&amp;_xlfn.IFS(AND(ISNUMBER(Educator!D353),Educator!D353&lt;&gt;9),"Grade "&amp;Educator!D353,Educator!D353=9,"Grade 9-12",ISTEXT(Educator!D353),Educator!D353)&amp;" "&amp;"Florida"&amp;" "&amp;"26-27"</f>
        <v>#N/A</v>
      </c>
      <c r="C348" s="49" t="e">
        <f t="shared" si="6"/>
        <v>#N/A</v>
      </c>
      <c r="E348" s="51" t="s">
        <v>102</v>
      </c>
      <c r="F348" s="49" t="b">
        <f>IF(Educator!B353&gt;0,"active")</f>
        <v>0</v>
      </c>
      <c r="J348" s="49" t="str">
        <f>"BP-"&amp;"TSWFL-"&amp;IF(ISNUMBER(Educator!D353),""&amp;Educator!D353,Educator!D353)&amp;"-"&amp;"2027"</f>
        <v>BP-TSWFL--2027</v>
      </c>
    </row>
    <row r="349" spans="1:10" x14ac:dyDescent="0.2">
      <c r="A3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","#",3))+1,1)&amp;"-"&amp;LEFT(Educator!B354, 3)&amp;"-"&amp;LEFT(Educator!A354, 3)&amp;"-"&amp;IF(ISNUMBER(Educator!D354),"G"&amp;Educator!D354,Educator!D354)&amp;"-"&amp;"2027"</f>
        <v>CID-FLH----2027</v>
      </c>
      <c r="B349" s="49" t="e" cm="1">
        <f t="array" ref="B349">Educator!B354&amp;" "&amp;_xlfn.IFS(AND(ISNUMBER(Educator!D354),Educator!D354&lt;&gt;9),"Grade "&amp;Educator!D354,Educator!D354=9,"Grade 9-12",ISTEXT(Educator!D354),Educator!D354)&amp;" "&amp;"Florida"&amp;" "&amp;"26-27"</f>
        <v>#N/A</v>
      </c>
      <c r="C349" s="49" t="e">
        <f t="shared" si="6"/>
        <v>#N/A</v>
      </c>
      <c r="E349" s="51" t="s">
        <v>102</v>
      </c>
      <c r="F349" s="49" t="b">
        <f>IF(Educator!B354&gt;0,"active")</f>
        <v>0</v>
      </c>
      <c r="J349" s="49" t="str">
        <f>"BP-"&amp;"TSWFL-"&amp;IF(ISNUMBER(Educator!D354),""&amp;Educator!D354,Educator!D354)&amp;"-"&amp;"2027"</f>
        <v>BP-TSWFL--2027</v>
      </c>
    </row>
    <row r="350" spans="1:10" x14ac:dyDescent="0.2">
      <c r="A3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","#",3))+1,1)&amp;"-"&amp;LEFT(Educator!B355, 3)&amp;"-"&amp;LEFT(Educator!A355, 3)&amp;"-"&amp;IF(ISNUMBER(Educator!D355),"G"&amp;Educator!D355,Educator!D355)&amp;"-"&amp;"2027"</f>
        <v>CID-FLH----2027</v>
      </c>
      <c r="B350" s="49" t="e" cm="1">
        <f t="array" ref="B350">Educator!B355&amp;" "&amp;_xlfn.IFS(AND(ISNUMBER(Educator!D355),Educator!D355&lt;&gt;9),"Grade "&amp;Educator!D355,Educator!D355=9,"Grade 9-12",ISTEXT(Educator!D355),Educator!D355)&amp;" "&amp;"Florida"&amp;" "&amp;"26-27"</f>
        <v>#N/A</v>
      </c>
      <c r="C350" s="49" t="e">
        <f t="shared" si="6"/>
        <v>#N/A</v>
      </c>
      <c r="E350" s="51" t="s">
        <v>102</v>
      </c>
      <c r="F350" s="49" t="b">
        <f>IF(Educator!B355&gt;0,"active")</f>
        <v>0</v>
      </c>
      <c r="J350" s="49" t="str">
        <f>"BP-"&amp;"TSWFL-"&amp;IF(ISNUMBER(Educator!D355),""&amp;Educator!D355,Educator!D355)&amp;"-"&amp;"2027"</f>
        <v>BP-TSWFL--2027</v>
      </c>
    </row>
    <row r="351" spans="1:10" x14ac:dyDescent="0.2">
      <c r="A3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","#",3))+1,1)&amp;"-"&amp;LEFT(Educator!B356, 3)&amp;"-"&amp;LEFT(Educator!A356, 3)&amp;"-"&amp;IF(ISNUMBER(Educator!D356),"G"&amp;Educator!D356,Educator!D356)&amp;"-"&amp;"2027"</f>
        <v>CID-FLH----2027</v>
      </c>
      <c r="B351" s="49" t="e" cm="1">
        <f t="array" ref="B351">Educator!B356&amp;" "&amp;_xlfn.IFS(AND(ISNUMBER(Educator!D356),Educator!D356&lt;&gt;9),"Grade "&amp;Educator!D356,Educator!D356=9,"Grade 9-12",ISTEXT(Educator!D356),Educator!D356)&amp;" "&amp;"Florida"&amp;" "&amp;"26-27"</f>
        <v>#N/A</v>
      </c>
      <c r="C351" s="49" t="e">
        <f t="shared" si="6"/>
        <v>#N/A</v>
      </c>
      <c r="E351" s="51" t="s">
        <v>102</v>
      </c>
      <c r="F351" s="49" t="b">
        <f>IF(Educator!B356&gt;0,"active")</f>
        <v>0</v>
      </c>
      <c r="J351" s="49" t="str">
        <f>"BP-"&amp;"TSWFL-"&amp;IF(ISNUMBER(Educator!D356),""&amp;Educator!D356,Educator!D356)&amp;"-"&amp;"2027"</f>
        <v>BP-TSWFL--2027</v>
      </c>
    </row>
    <row r="352" spans="1:10" x14ac:dyDescent="0.2">
      <c r="A3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","#",3))+1,1)&amp;"-"&amp;LEFT(Educator!B357, 3)&amp;"-"&amp;LEFT(Educator!A357, 3)&amp;"-"&amp;IF(ISNUMBER(Educator!D357),"G"&amp;Educator!D357,Educator!D357)&amp;"-"&amp;"2027"</f>
        <v>CID-FLH----2027</v>
      </c>
      <c r="B352" s="49" t="e" cm="1">
        <f t="array" ref="B352">Educator!B357&amp;" "&amp;_xlfn.IFS(AND(ISNUMBER(Educator!D357),Educator!D357&lt;&gt;9),"Grade "&amp;Educator!D357,Educator!D357=9,"Grade 9-12",ISTEXT(Educator!D357),Educator!D357)&amp;" "&amp;"Florida"&amp;" "&amp;"26-27"</f>
        <v>#N/A</v>
      </c>
      <c r="C352" s="49" t="e">
        <f t="shared" si="6"/>
        <v>#N/A</v>
      </c>
      <c r="E352" s="51" t="s">
        <v>102</v>
      </c>
      <c r="F352" s="49" t="b">
        <f>IF(Educator!B357&gt;0,"active")</f>
        <v>0</v>
      </c>
      <c r="J352" s="49" t="str">
        <f>"BP-"&amp;"TSWFL-"&amp;IF(ISNUMBER(Educator!D357),""&amp;Educator!D357,Educator!D357)&amp;"-"&amp;"2027"</f>
        <v>BP-TSWFL--2027</v>
      </c>
    </row>
    <row r="353" spans="1:10" x14ac:dyDescent="0.2">
      <c r="A3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","#",3))+1,1)&amp;"-"&amp;LEFT(Educator!B358, 3)&amp;"-"&amp;LEFT(Educator!A358, 3)&amp;"-"&amp;IF(ISNUMBER(Educator!D358),"G"&amp;Educator!D358,Educator!D358)&amp;"-"&amp;"2027"</f>
        <v>CID-FLH----2027</v>
      </c>
      <c r="B353" s="49" t="e" cm="1">
        <f t="array" ref="B353">Educator!B358&amp;" "&amp;_xlfn.IFS(AND(ISNUMBER(Educator!D358),Educator!D358&lt;&gt;9),"Grade "&amp;Educator!D358,Educator!D358=9,"Grade 9-12",ISTEXT(Educator!D358),Educator!D358)&amp;" "&amp;"Florida"&amp;" "&amp;"26-27"</f>
        <v>#N/A</v>
      </c>
      <c r="C353" s="49" t="e">
        <f t="shared" si="6"/>
        <v>#N/A</v>
      </c>
      <c r="E353" s="51" t="s">
        <v>102</v>
      </c>
      <c r="F353" s="49" t="b">
        <f>IF(Educator!B358&gt;0,"active")</f>
        <v>0</v>
      </c>
      <c r="J353" s="49" t="str">
        <f>"BP-"&amp;"TSWFL-"&amp;IF(ISNUMBER(Educator!D358),""&amp;Educator!D358,Educator!D358)&amp;"-"&amp;"2027"</f>
        <v>BP-TSWFL--2027</v>
      </c>
    </row>
    <row r="354" spans="1:10" x14ac:dyDescent="0.2">
      <c r="A3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","#",3))+1,1)&amp;"-"&amp;LEFT(Educator!B359, 3)&amp;"-"&amp;LEFT(Educator!A359, 3)&amp;"-"&amp;IF(ISNUMBER(Educator!D359),"G"&amp;Educator!D359,Educator!D359)&amp;"-"&amp;"2027"</f>
        <v>CID-FLH----2027</v>
      </c>
      <c r="B354" s="49" t="e" cm="1">
        <f t="array" ref="B354">Educator!B359&amp;" "&amp;_xlfn.IFS(AND(ISNUMBER(Educator!D359),Educator!D359&lt;&gt;9),"Grade "&amp;Educator!D359,Educator!D359=9,"Grade 9-12",ISTEXT(Educator!D359),Educator!D359)&amp;" "&amp;"Florida"&amp;" "&amp;"26-27"</f>
        <v>#N/A</v>
      </c>
      <c r="C354" s="49" t="e">
        <f t="shared" si="6"/>
        <v>#N/A</v>
      </c>
      <c r="E354" s="51" t="s">
        <v>102</v>
      </c>
      <c r="F354" s="49" t="b">
        <f>IF(Educator!B359&gt;0,"active")</f>
        <v>0</v>
      </c>
      <c r="J354" s="49" t="str">
        <f>"BP-"&amp;"TSWFL-"&amp;IF(ISNUMBER(Educator!D359),""&amp;Educator!D359,Educator!D359)&amp;"-"&amp;"2027"</f>
        <v>BP-TSWFL--2027</v>
      </c>
    </row>
    <row r="355" spans="1:10" x14ac:dyDescent="0.2">
      <c r="A3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","#",3))+1,1)&amp;"-"&amp;LEFT(Educator!B360, 3)&amp;"-"&amp;LEFT(Educator!A360, 3)&amp;"-"&amp;IF(ISNUMBER(Educator!D360),"G"&amp;Educator!D360,Educator!D360)&amp;"-"&amp;"2027"</f>
        <v>CID-FLH----2027</v>
      </c>
      <c r="B355" s="49" t="e" cm="1">
        <f t="array" ref="B355">Educator!B360&amp;" "&amp;_xlfn.IFS(AND(ISNUMBER(Educator!D360),Educator!D360&lt;&gt;9),"Grade "&amp;Educator!D360,Educator!D360=9,"Grade 9-12",ISTEXT(Educator!D360),Educator!D360)&amp;" "&amp;"Florida"&amp;" "&amp;"26-27"</f>
        <v>#N/A</v>
      </c>
      <c r="C355" s="49" t="e">
        <f t="shared" si="6"/>
        <v>#N/A</v>
      </c>
      <c r="E355" s="51" t="s">
        <v>102</v>
      </c>
      <c r="F355" s="49" t="b">
        <f>IF(Educator!B360&gt;0,"active")</f>
        <v>0</v>
      </c>
      <c r="J355" s="49" t="str">
        <f>"BP-"&amp;"TSWFL-"&amp;IF(ISNUMBER(Educator!D360),""&amp;Educator!D360,Educator!D360)&amp;"-"&amp;"2027"</f>
        <v>BP-TSWFL--2027</v>
      </c>
    </row>
    <row r="356" spans="1:10" x14ac:dyDescent="0.2">
      <c r="A3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","#",3))+1,1)&amp;"-"&amp;LEFT(Educator!B361, 3)&amp;"-"&amp;LEFT(Educator!A361, 3)&amp;"-"&amp;IF(ISNUMBER(Educator!D361),"G"&amp;Educator!D361,Educator!D361)&amp;"-"&amp;"2027"</f>
        <v>CID-FLH----2027</v>
      </c>
      <c r="B356" s="49" t="e" cm="1">
        <f t="array" ref="B356">Educator!B361&amp;" "&amp;_xlfn.IFS(AND(ISNUMBER(Educator!D361),Educator!D361&lt;&gt;9),"Grade "&amp;Educator!D361,Educator!D361=9,"Grade 9-12",ISTEXT(Educator!D361),Educator!D361)&amp;" "&amp;"Florida"&amp;" "&amp;"26-27"</f>
        <v>#N/A</v>
      </c>
      <c r="C356" s="49" t="e">
        <f t="shared" si="6"/>
        <v>#N/A</v>
      </c>
      <c r="E356" s="51" t="s">
        <v>102</v>
      </c>
      <c r="F356" s="49" t="b">
        <f>IF(Educator!B361&gt;0,"active")</f>
        <v>0</v>
      </c>
      <c r="J356" s="49" t="str">
        <f>"BP-"&amp;"TSWFL-"&amp;IF(ISNUMBER(Educator!D361),""&amp;Educator!D361,Educator!D361)&amp;"-"&amp;"2027"</f>
        <v>BP-TSWFL--2027</v>
      </c>
    </row>
    <row r="357" spans="1:10" x14ac:dyDescent="0.2">
      <c r="A3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","#",3))+1,1)&amp;"-"&amp;LEFT(Educator!B362, 3)&amp;"-"&amp;LEFT(Educator!A362, 3)&amp;"-"&amp;IF(ISNUMBER(Educator!D362),"G"&amp;Educator!D362,Educator!D362)&amp;"-"&amp;"2027"</f>
        <v>CID-FLH----2027</v>
      </c>
      <c r="B357" s="49" t="e" cm="1">
        <f t="array" ref="B357">Educator!B362&amp;" "&amp;_xlfn.IFS(AND(ISNUMBER(Educator!D362),Educator!D362&lt;&gt;9),"Grade "&amp;Educator!D362,Educator!D362=9,"Grade 9-12",ISTEXT(Educator!D362),Educator!D362)&amp;" "&amp;"Florida"&amp;" "&amp;"26-27"</f>
        <v>#N/A</v>
      </c>
      <c r="C357" s="49" t="e">
        <f t="shared" si="6"/>
        <v>#N/A</v>
      </c>
      <c r="E357" s="51" t="s">
        <v>102</v>
      </c>
      <c r="F357" s="49" t="b">
        <f>IF(Educator!B362&gt;0,"active")</f>
        <v>0</v>
      </c>
      <c r="J357" s="49" t="str">
        <f>"BP-"&amp;"TSWFL-"&amp;IF(ISNUMBER(Educator!D362),""&amp;Educator!D362,Educator!D362)&amp;"-"&amp;"2027"</f>
        <v>BP-TSWFL--2027</v>
      </c>
    </row>
    <row r="358" spans="1:10" x14ac:dyDescent="0.2">
      <c r="A3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","#",3))+1,1)&amp;"-"&amp;LEFT(Educator!B363, 3)&amp;"-"&amp;LEFT(Educator!A363, 3)&amp;"-"&amp;IF(ISNUMBER(Educator!D363),"G"&amp;Educator!D363,Educator!D363)&amp;"-"&amp;"2027"</f>
        <v>CID-FLH----2027</v>
      </c>
      <c r="B358" s="49" t="e" cm="1">
        <f t="array" ref="B358">Educator!B363&amp;" "&amp;_xlfn.IFS(AND(ISNUMBER(Educator!D363),Educator!D363&lt;&gt;9),"Grade "&amp;Educator!D363,Educator!D363=9,"Grade 9-12",ISTEXT(Educator!D363),Educator!D363)&amp;" "&amp;"Florida"&amp;" "&amp;"26-27"</f>
        <v>#N/A</v>
      </c>
      <c r="C358" s="49" t="e">
        <f t="shared" si="6"/>
        <v>#N/A</v>
      </c>
      <c r="E358" s="51" t="s">
        <v>102</v>
      </c>
      <c r="F358" s="49" t="b">
        <f>IF(Educator!B363&gt;0,"active")</f>
        <v>0</v>
      </c>
      <c r="J358" s="49" t="str">
        <f>"BP-"&amp;"TSWFL-"&amp;IF(ISNUMBER(Educator!D363),""&amp;Educator!D363,Educator!D363)&amp;"-"&amp;"2027"</f>
        <v>BP-TSWFL--2027</v>
      </c>
    </row>
    <row r="359" spans="1:10" x14ac:dyDescent="0.2">
      <c r="A3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","#",3))+1,1)&amp;"-"&amp;LEFT(Educator!B364, 3)&amp;"-"&amp;LEFT(Educator!A364, 3)&amp;"-"&amp;IF(ISNUMBER(Educator!D364),"G"&amp;Educator!D364,Educator!D364)&amp;"-"&amp;"2027"</f>
        <v>CID-FLH----2027</v>
      </c>
      <c r="B359" s="49" t="e" cm="1">
        <f t="array" ref="B359">Educator!B364&amp;" "&amp;_xlfn.IFS(AND(ISNUMBER(Educator!D364),Educator!D364&lt;&gt;9),"Grade "&amp;Educator!D364,Educator!D364=9,"Grade 9-12",ISTEXT(Educator!D364),Educator!D364)&amp;" "&amp;"Florida"&amp;" "&amp;"26-27"</f>
        <v>#N/A</v>
      </c>
      <c r="C359" s="49" t="e">
        <f t="shared" si="6"/>
        <v>#N/A</v>
      </c>
      <c r="E359" s="51" t="s">
        <v>102</v>
      </c>
      <c r="F359" s="49" t="b">
        <f>IF(Educator!B364&gt;0,"active")</f>
        <v>0</v>
      </c>
      <c r="J359" s="49" t="str">
        <f>"BP-"&amp;"TSWFL-"&amp;IF(ISNUMBER(Educator!D364),""&amp;Educator!D364,Educator!D364)&amp;"-"&amp;"2027"</f>
        <v>BP-TSWFL--2027</v>
      </c>
    </row>
    <row r="360" spans="1:10" x14ac:dyDescent="0.2">
      <c r="A3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","#",3))+1,1)&amp;"-"&amp;LEFT(Educator!B365, 3)&amp;"-"&amp;LEFT(Educator!A365, 3)&amp;"-"&amp;IF(ISNUMBER(Educator!D365),"G"&amp;Educator!D365,Educator!D365)&amp;"-"&amp;"2027"</f>
        <v>CID-FLH----2027</v>
      </c>
      <c r="B360" s="49" t="e" cm="1">
        <f t="array" ref="B360">Educator!B365&amp;" "&amp;_xlfn.IFS(AND(ISNUMBER(Educator!D365),Educator!D365&lt;&gt;9),"Grade "&amp;Educator!D365,Educator!D365=9,"Grade 9-12",ISTEXT(Educator!D365),Educator!D365)&amp;" "&amp;"Florida"&amp;" "&amp;"26-27"</f>
        <v>#N/A</v>
      </c>
      <c r="C360" s="49" t="e">
        <f t="shared" si="6"/>
        <v>#N/A</v>
      </c>
      <c r="E360" s="51" t="s">
        <v>102</v>
      </c>
      <c r="F360" s="49" t="b">
        <f>IF(Educator!B365&gt;0,"active")</f>
        <v>0</v>
      </c>
      <c r="J360" s="49" t="str">
        <f>"BP-"&amp;"TSWFL-"&amp;IF(ISNUMBER(Educator!D365),""&amp;Educator!D365,Educator!D365)&amp;"-"&amp;"2027"</f>
        <v>BP-TSWFL--2027</v>
      </c>
    </row>
    <row r="361" spans="1:10" x14ac:dyDescent="0.2">
      <c r="A3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","#",3))+1,1)&amp;"-"&amp;LEFT(Educator!B366, 3)&amp;"-"&amp;LEFT(Educator!A366, 3)&amp;"-"&amp;IF(ISNUMBER(Educator!D366),"G"&amp;Educator!D366,Educator!D366)&amp;"-"&amp;"2027"</f>
        <v>CID-FLH----2027</v>
      </c>
      <c r="B361" s="49" t="e" cm="1">
        <f t="array" ref="B361">Educator!B366&amp;" "&amp;_xlfn.IFS(AND(ISNUMBER(Educator!D366),Educator!D366&lt;&gt;9),"Grade "&amp;Educator!D366,Educator!D366=9,"Grade 9-12",ISTEXT(Educator!D366),Educator!D366)&amp;" "&amp;"Florida"&amp;" "&amp;"26-27"</f>
        <v>#N/A</v>
      </c>
      <c r="C361" s="49" t="e">
        <f t="shared" si="6"/>
        <v>#N/A</v>
      </c>
      <c r="E361" s="51" t="s">
        <v>102</v>
      </c>
      <c r="F361" s="49" t="b">
        <f>IF(Educator!B366&gt;0,"active")</f>
        <v>0</v>
      </c>
      <c r="J361" s="49" t="str">
        <f>"BP-"&amp;"TSWFL-"&amp;IF(ISNUMBER(Educator!D366),""&amp;Educator!D366,Educator!D366)&amp;"-"&amp;"2027"</f>
        <v>BP-TSWFL--2027</v>
      </c>
    </row>
    <row r="362" spans="1:10" x14ac:dyDescent="0.2">
      <c r="A3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","#",3))+1,1)&amp;"-"&amp;LEFT(Educator!B367, 3)&amp;"-"&amp;LEFT(Educator!A367, 3)&amp;"-"&amp;IF(ISNUMBER(Educator!D367),"G"&amp;Educator!D367,Educator!D367)&amp;"-"&amp;"2027"</f>
        <v>CID-FLH----2027</v>
      </c>
      <c r="B362" s="49" t="e" cm="1">
        <f t="array" ref="B362">Educator!B367&amp;" "&amp;_xlfn.IFS(AND(ISNUMBER(Educator!D367),Educator!D367&lt;&gt;9),"Grade "&amp;Educator!D367,Educator!D367=9,"Grade 9-12",ISTEXT(Educator!D367),Educator!D367)&amp;" "&amp;"Florida"&amp;" "&amp;"26-27"</f>
        <v>#N/A</v>
      </c>
      <c r="C362" s="49" t="e">
        <f t="shared" si="6"/>
        <v>#N/A</v>
      </c>
      <c r="E362" s="51" t="s">
        <v>102</v>
      </c>
      <c r="F362" s="49" t="b">
        <f>IF(Educator!B367&gt;0,"active")</f>
        <v>0</v>
      </c>
      <c r="J362" s="49" t="str">
        <f>"BP-"&amp;"TSWFL-"&amp;IF(ISNUMBER(Educator!D367),""&amp;Educator!D367,Educator!D367)&amp;"-"&amp;"2027"</f>
        <v>BP-TSWFL--2027</v>
      </c>
    </row>
    <row r="363" spans="1:10" x14ac:dyDescent="0.2">
      <c r="A3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","#",3))+1,1)&amp;"-"&amp;LEFT(Educator!B368, 3)&amp;"-"&amp;LEFT(Educator!A368, 3)&amp;"-"&amp;IF(ISNUMBER(Educator!D368),"G"&amp;Educator!D368,Educator!D368)&amp;"-"&amp;"2027"</f>
        <v>CID-FLH----2027</v>
      </c>
      <c r="B363" s="49" t="e" cm="1">
        <f t="array" ref="B363">Educator!B368&amp;" "&amp;_xlfn.IFS(AND(ISNUMBER(Educator!D368),Educator!D368&lt;&gt;9),"Grade "&amp;Educator!D368,Educator!D368=9,"Grade 9-12",ISTEXT(Educator!D368),Educator!D368)&amp;" "&amp;"Florida"&amp;" "&amp;"26-27"</f>
        <v>#N/A</v>
      </c>
      <c r="C363" s="49" t="e">
        <f t="shared" si="6"/>
        <v>#N/A</v>
      </c>
      <c r="E363" s="51" t="s">
        <v>102</v>
      </c>
      <c r="F363" s="49" t="b">
        <f>IF(Educator!B368&gt;0,"active")</f>
        <v>0</v>
      </c>
      <c r="J363" s="49" t="str">
        <f>"BP-"&amp;"TSWFL-"&amp;IF(ISNUMBER(Educator!D368),""&amp;Educator!D368,Educator!D368)&amp;"-"&amp;"2027"</f>
        <v>BP-TSWFL--2027</v>
      </c>
    </row>
    <row r="364" spans="1:10" x14ac:dyDescent="0.2">
      <c r="A3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","#",3))+1,1)&amp;"-"&amp;LEFT(Educator!B369, 3)&amp;"-"&amp;LEFT(Educator!A369, 3)&amp;"-"&amp;IF(ISNUMBER(Educator!D369),"G"&amp;Educator!D369,Educator!D369)&amp;"-"&amp;"2027"</f>
        <v>CID-FLH----2027</v>
      </c>
      <c r="B364" s="49" t="e" cm="1">
        <f t="array" ref="B364">Educator!B369&amp;" "&amp;_xlfn.IFS(AND(ISNUMBER(Educator!D369),Educator!D369&lt;&gt;9),"Grade "&amp;Educator!D369,Educator!D369=9,"Grade 9-12",ISTEXT(Educator!D369),Educator!D369)&amp;" "&amp;"Florida"&amp;" "&amp;"26-27"</f>
        <v>#N/A</v>
      </c>
      <c r="C364" s="49" t="e">
        <f t="shared" si="6"/>
        <v>#N/A</v>
      </c>
      <c r="E364" s="51" t="s">
        <v>102</v>
      </c>
      <c r="F364" s="49" t="b">
        <f>IF(Educator!B369&gt;0,"active")</f>
        <v>0</v>
      </c>
      <c r="J364" s="49" t="str">
        <f>"BP-"&amp;"TSWFL-"&amp;IF(ISNUMBER(Educator!D369),""&amp;Educator!D369,Educator!D369)&amp;"-"&amp;"2027"</f>
        <v>BP-TSWFL--2027</v>
      </c>
    </row>
    <row r="365" spans="1:10" x14ac:dyDescent="0.2">
      <c r="A3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","#",3))+1,1)&amp;"-"&amp;LEFT(Educator!B370, 3)&amp;"-"&amp;LEFT(Educator!A370, 3)&amp;"-"&amp;IF(ISNUMBER(Educator!D370),"G"&amp;Educator!D370,Educator!D370)&amp;"-"&amp;"2027"</f>
        <v>CID-FLH----2027</v>
      </c>
      <c r="B365" s="49" t="e" cm="1">
        <f t="array" ref="B365">Educator!B370&amp;" "&amp;_xlfn.IFS(AND(ISNUMBER(Educator!D370),Educator!D370&lt;&gt;9),"Grade "&amp;Educator!D370,Educator!D370=9,"Grade 9-12",ISTEXT(Educator!D370),Educator!D370)&amp;" "&amp;"Florida"&amp;" "&amp;"26-27"</f>
        <v>#N/A</v>
      </c>
      <c r="C365" s="49" t="e">
        <f t="shared" si="6"/>
        <v>#N/A</v>
      </c>
      <c r="E365" s="51" t="s">
        <v>102</v>
      </c>
      <c r="F365" s="49" t="b">
        <f>IF(Educator!B370&gt;0,"active")</f>
        <v>0</v>
      </c>
      <c r="J365" s="49" t="str">
        <f>"BP-"&amp;"TSWFL-"&amp;IF(ISNUMBER(Educator!D370),""&amp;Educator!D370,Educator!D370)&amp;"-"&amp;"2027"</f>
        <v>BP-TSWFL--2027</v>
      </c>
    </row>
    <row r="366" spans="1:10" x14ac:dyDescent="0.2">
      <c r="A3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","#",3))+1,1)&amp;"-"&amp;LEFT(Educator!B371, 3)&amp;"-"&amp;LEFT(Educator!A371, 3)&amp;"-"&amp;IF(ISNUMBER(Educator!D371),"G"&amp;Educator!D371,Educator!D371)&amp;"-"&amp;"2027"</f>
        <v>CID-FLH----2027</v>
      </c>
      <c r="B366" s="49" t="e" cm="1">
        <f t="array" ref="B366">Educator!B371&amp;" "&amp;_xlfn.IFS(AND(ISNUMBER(Educator!D371),Educator!D371&lt;&gt;9),"Grade "&amp;Educator!D371,Educator!D371=9,"Grade 9-12",ISTEXT(Educator!D371),Educator!D371)&amp;" "&amp;"Florida"&amp;" "&amp;"26-27"</f>
        <v>#N/A</v>
      </c>
      <c r="C366" s="49" t="e">
        <f t="shared" si="6"/>
        <v>#N/A</v>
      </c>
      <c r="E366" s="51" t="s">
        <v>102</v>
      </c>
      <c r="F366" s="49" t="b">
        <f>IF(Educator!B371&gt;0,"active")</f>
        <v>0</v>
      </c>
      <c r="J366" s="49" t="str">
        <f>"BP-"&amp;"TSWFL-"&amp;IF(ISNUMBER(Educator!D371),""&amp;Educator!D371,Educator!D371)&amp;"-"&amp;"2027"</f>
        <v>BP-TSWFL--2027</v>
      </c>
    </row>
    <row r="367" spans="1:10" x14ac:dyDescent="0.2">
      <c r="A3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","#",3))+1,1)&amp;"-"&amp;LEFT(Educator!B372, 3)&amp;"-"&amp;LEFT(Educator!A372, 3)&amp;"-"&amp;IF(ISNUMBER(Educator!D372),"G"&amp;Educator!D372,Educator!D372)&amp;"-"&amp;"2027"</f>
        <v>CID-FLH----2027</v>
      </c>
      <c r="B367" s="49" t="e" cm="1">
        <f t="array" ref="B367">Educator!B372&amp;" "&amp;_xlfn.IFS(AND(ISNUMBER(Educator!D372),Educator!D372&lt;&gt;9),"Grade "&amp;Educator!D372,Educator!D372=9,"Grade 9-12",ISTEXT(Educator!D372),Educator!D372)&amp;" "&amp;"Florida"&amp;" "&amp;"26-27"</f>
        <v>#N/A</v>
      </c>
      <c r="C367" s="49" t="e">
        <f t="shared" si="6"/>
        <v>#N/A</v>
      </c>
      <c r="E367" s="51" t="s">
        <v>102</v>
      </c>
      <c r="F367" s="49" t="b">
        <f>IF(Educator!B372&gt;0,"active")</f>
        <v>0</v>
      </c>
      <c r="J367" s="49" t="str">
        <f>"BP-"&amp;"TSWFL-"&amp;IF(ISNUMBER(Educator!D372),""&amp;Educator!D372,Educator!D372)&amp;"-"&amp;"2027"</f>
        <v>BP-TSWFL--2027</v>
      </c>
    </row>
    <row r="368" spans="1:10" x14ac:dyDescent="0.2">
      <c r="A3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","#",3))+1,1)&amp;"-"&amp;LEFT(Educator!B373, 3)&amp;"-"&amp;LEFT(Educator!A373, 3)&amp;"-"&amp;IF(ISNUMBER(Educator!D373),"G"&amp;Educator!D373,Educator!D373)&amp;"-"&amp;"2027"</f>
        <v>CID-FLH----2027</v>
      </c>
      <c r="B368" s="49" t="e" cm="1">
        <f t="array" ref="B368">Educator!B373&amp;" "&amp;_xlfn.IFS(AND(ISNUMBER(Educator!D373),Educator!D373&lt;&gt;9),"Grade "&amp;Educator!D373,Educator!D373=9,"Grade 9-12",ISTEXT(Educator!D373),Educator!D373)&amp;" "&amp;"Florida"&amp;" "&amp;"26-27"</f>
        <v>#N/A</v>
      </c>
      <c r="C368" s="49" t="e">
        <f t="shared" si="6"/>
        <v>#N/A</v>
      </c>
      <c r="E368" s="51" t="s">
        <v>102</v>
      </c>
      <c r="F368" s="49" t="b">
        <f>IF(Educator!B373&gt;0,"active")</f>
        <v>0</v>
      </c>
      <c r="J368" s="49" t="str">
        <f>"BP-"&amp;"TSWFL-"&amp;IF(ISNUMBER(Educator!D373),""&amp;Educator!D373,Educator!D373)&amp;"-"&amp;"2027"</f>
        <v>BP-TSWFL--2027</v>
      </c>
    </row>
    <row r="369" spans="1:10" x14ac:dyDescent="0.2">
      <c r="A3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","#",3))+1,1)&amp;"-"&amp;LEFT(Educator!B374, 3)&amp;"-"&amp;LEFT(Educator!A374, 3)&amp;"-"&amp;IF(ISNUMBER(Educator!D374),"G"&amp;Educator!D374,Educator!D374)&amp;"-"&amp;"2027"</f>
        <v>CID-FLH----2027</v>
      </c>
      <c r="B369" s="49" t="e" cm="1">
        <f t="array" ref="B369">Educator!B374&amp;" "&amp;_xlfn.IFS(AND(ISNUMBER(Educator!D374),Educator!D374&lt;&gt;9),"Grade "&amp;Educator!D374,Educator!D374=9,"Grade 9-12",ISTEXT(Educator!D374),Educator!D374)&amp;" "&amp;"Florida"&amp;" "&amp;"26-27"</f>
        <v>#N/A</v>
      </c>
      <c r="C369" s="49" t="e">
        <f t="shared" si="6"/>
        <v>#N/A</v>
      </c>
      <c r="E369" s="51" t="s">
        <v>102</v>
      </c>
      <c r="F369" s="49" t="b">
        <f>IF(Educator!B374&gt;0,"active")</f>
        <v>0</v>
      </c>
      <c r="J369" s="49" t="str">
        <f>"BP-"&amp;"TSWFL-"&amp;IF(ISNUMBER(Educator!D374),""&amp;Educator!D374,Educator!D374)&amp;"-"&amp;"2027"</f>
        <v>BP-TSWFL--2027</v>
      </c>
    </row>
    <row r="370" spans="1:10" x14ac:dyDescent="0.2">
      <c r="A3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","#",3))+1,1)&amp;"-"&amp;LEFT(Educator!B375, 3)&amp;"-"&amp;LEFT(Educator!A375, 3)&amp;"-"&amp;IF(ISNUMBER(Educator!D375),"G"&amp;Educator!D375,Educator!D375)&amp;"-"&amp;"2027"</f>
        <v>CID-FLH----2027</v>
      </c>
      <c r="B370" s="49" t="e" cm="1">
        <f t="array" ref="B370">Educator!B375&amp;" "&amp;_xlfn.IFS(AND(ISNUMBER(Educator!D375),Educator!D375&lt;&gt;9),"Grade "&amp;Educator!D375,Educator!D375=9,"Grade 9-12",ISTEXT(Educator!D375),Educator!D375)&amp;" "&amp;"Florida"&amp;" "&amp;"26-27"</f>
        <v>#N/A</v>
      </c>
      <c r="C370" s="49" t="e">
        <f t="shared" si="6"/>
        <v>#N/A</v>
      </c>
      <c r="E370" s="51" t="s">
        <v>102</v>
      </c>
      <c r="F370" s="49" t="b">
        <f>IF(Educator!B375&gt;0,"active")</f>
        <v>0</v>
      </c>
      <c r="J370" s="49" t="str">
        <f>"BP-"&amp;"TSWFL-"&amp;IF(ISNUMBER(Educator!D375),""&amp;Educator!D375,Educator!D375)&amp;"-"&amp;"2027"</f>
        <v>BP-TSWFL--2027</v>
      </c>
    </row>
    <row r="371" spans="1:10" x14ac:dyDescent="0.2">
      <c r="A3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","#",3))+1,1)&amp;"-"&amp;LEFT(Educator!B376, 3)&amp;"-"&amp;LEFT(Educator!A376, 3)&amp;"-"&amp;IF(ISNUMBER(Educator!D376),"G"&amp;Educator!D376,Educator!D376)&amp;"-"&amp;"2027"</f>
        <v>CID-FLH----2027</v>
      </c>
      <c r="B371" s="49" t="e" cm="1">
        <f t="array" ref="B371">Educator!B376&amp;" "&amp;_xlfn.IFS(AND(ISNUMBER(Educator!D376),Educator!D376&lt;&gt;9),"Grade "&amp;Educator!D376,Educator!D376=9,"Grade 9-12",ISTEXT(Educator!D376),Educator!D376)&amp;" "&amp;"Florida"&amp;" "&amp;"26-27"</f>
        <v>#N/A</v>
      </c>
      <c r="C371" s="49" t="e">
        <f t="shared" si="6"/>
        <v>#N/A</v>
      </c>
      <c r="E371" s="51" t="s">
        <v>102</v>
      </c>
      <c r="F371" s="49" t="b">
        <f>IF(Educator!B376&gt;0,"active")</f>
        <v>0</v>
      </c>
      <c r="J371" s="49" t="str">
        <f>"BP-"&amp;"TSWFL-"&amp;IF(ISNUMBER(Educator!D376),""&amp;Educator!D376,Educator!D376)&amp;"-"&amp;"2027"</f>
        <v>BP-TSWFL--2027</v>
      </c>
    </row>
    <row r="372" spans="1:10" x14ac:dyDescent="0.2">
      <c r="A3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","#",3))+1,1)&amp;"-"&amp;LEFT(Educator!B377, 3)&amp;"-"&amp;LEFT(Educator!A377, 3)&amp;"-"&amp;IF(ISNUMBER(Educator!D377),"G"&amp;Educator!D377,Educator!D377)&amp;"-"&amp;"2027"</f>
        <v>CID-FLH----2027</v>
      </c>
      <c r="B372" s="49" t="e" cm="1">
        <f t="array" ref="B372">Educator!B377&amp;" "&amp;_xlfn.IFS(AND(ISNUMBER(Educator!D377),Educator!D377&lt;&gt;9),"Grade "&amp;Educator!D377,Educator!D377=9,"Grade 9-12",ISTEXT(Educator!D377),Educator!D377)&amp;" "&amp;"Florida"&amp;" "&amp;"26-27"</f>
        <v>#N/A</v>
      </c>
      <c r="C372" s="49" t="e">
        <f t="shared" si="6"/>
        <v>#N/A</v>
      </c>
      <c r="E372" s="51" t="s">
        <v>102</v>
      </c>
      <c r="F372" s="49" t="b">
        <f>IF(Educator!B377&gt;0,"active")</f>
        <v>0</v>
      </c>
      <c r="J372" s="49" t="str">
        <f>"BP-"&amp;"TSWFL-"&amp;IF(ISNUMBER(Educator!D377),""&amp;Educator!D377,Educator!D377)&amp;"-"&amp;"2027"</f>
        <v>BP-TSWFL--2027</v>
      </c>
    </row>
    <row r="373" spans="1:10" x14ac:dyDescent="0.2">
      <c r="A3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","#",3))+1,1)&amp;"-"&amp;LEFT(Educator!B378, 3)&amp;"-"&amp;LEFT(Educator!A378, 3)&amp;"-"&amp;IF(ISNUMBER(Educator!D378),"G"&amp;Educator!D378,Educator!D378)&amp;"-"&amp;"2027"</f>
        <v>CID-FLH----2027</v>
      </c>
      <c r="B373" s="49" t="e" cm="1">
        <f t="array" ref="B373">Educator!B378&amp;" "&amp;_xlfn.IFS(AND(ISNUMBER(Educator!D378),Educator!D378&lt;&gt;9),"Grade "&amp;Educator!D378,Educator!D378=9,"Grade 9-12",ISTEXT(Educator!D378),Educator!D378)&amp;" "&amp;"Florida"&amp;" "&amp;"26-27"</f>
        <v>#N/A</v>
      </c>
      <c r="C373" s="49" t="e">
        <f t="shared" si="6"/>
        <v>#N/A</v>
      </c>
      <c r="E373" s="51" t="s">
        <v>102</v>
      </c>
      <c r="F373" s="49" t="b">
        <f>IF(Educator!B378&gt;0,"active")</f>
        <v>0</v>
      </c>
      <c r="J373" s="49" t="str">
        <f>"BP-"&amp;"TSWFL-"&amp;IF(ISNUMBER(Educator!D378),""&amp;Educator!D378,Educator!D378)&amp;"-"&amp;"2027"</f>
        <v>BP-TSWFL--2027</v>
      </c>
    </row>
    <row r="374" spans="1:10" x14ac:dyDescent="0.2">
      <c r="A3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","#",3))+1,1)&amp;"-"&amp;LEFT(Educator!B379, 3)&amp;"-"&amp;LEFT(Educator!A379, 3)&amp;"-"&amp;IF(ISNUMBER(Educator!D379),"G"&amp;Educator!D379,Educator!D379)&amp;"-"&amp;"2027"</f>
        <v>CID-FLH----2027</v>
      </c>
      <c r="B374" s="49" t="e" cm="1">
        <f t="array" ref="B374">Educator!B379&amp;" "&amp;_xlfn.IFS(AND(ISNUMBER(Educator!D379),Educator!D379&lt;&gt;9),"Grade "&amp;Educator!D379,Educator!D379=9,"Grade 9-12",ISTEXT(Educator!D379),Educator!D379)&amp;" "&amp;"Florida"&amp;" "&amp;"26-27"</f>
        <v>#N/A</v>
      </c>
      <c r="C374" s="49" t="e">
        <f t="shared" si="6"/>
        <v>#N/A</v>
      </c>
      <c r="E374" s="51" t="s">
        <v>102</v>
      </c>
      <c r="F374" s="49" t="b">
        <f>IF(Educator!B379&gt;0,"active")</f>
        <v>0</v>
      </c>
      <c r="J374" s="49" t="str">
        <f>"BP-"&amp;"TSWFL-"&amp;IF(ISNUMBER(Educator!D379),""&amp;Educator!D379,Educator!D379)&amp;"-"&amp;"2027"</f>
        <v>BP-TSWFL--2027</v>
      </c>
    </row>
    <row r="375" spans="1:10" x14ac:dyDescent="0.2">
      <c r="A3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","#",3))+1,1)&amp;"-"&amp;LEFT(Educator!B380, 3)&amp;"-"&amp;LEFT(Educator!A380, 3)&amp;"-"&amp;IF(ISNUMBER(Educator!D380),"G"&amp;Educator!D380,Educator!D380)&amp;"-"&amp;"2027"</f>
        <v>CID-FLH----2027</v>
      </c>
      <c r="B375" s="49" t="e" cm="1">
        <f t="array" ref="B375">Educator!B380&amp;" "&amp;_xlfn.IFS(AND(ISNUMBER(Educator!D380),Educator!D380&lt;&gt;9),"Grade "&amp;Educator!D380,Educator!D380=9,"Grade 9-12",ISTEXT(Educator!D380),Educator!D380)&amp;" "&amp;"Florida"&amp;" "&amp;"26-27"</f>
        <v>#N/A</v>
      </c>
      <c r="C375" s="49" t="e">
        <f t="shared" si="6"/>
        <v>#N/A</v>
      </c>
      <c r="E375" s="51" t="s">
        <v>102</v>
      </c>
      <c r="F375" s="49" t="b">
        <f>IF(Educator!B380&gt;0,"active")</f>
        <v>0</v>
      </c>
      <c r="J375" s="49" t="str">
        <f>"BP-"&amp;"TSWFL-"&amp;IF(ISNUMBER(Educator!D380),""&amp;Educator!D380,Educator!D380)&amp;"-"&amp;"2027"</f>
        <v>BP-TSWFL--2027</v>
      </c>
    </row>
    <row r="376" spans="1:10" x14ac:dyDescent="0.2">
      <c r="A3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","#",3))+1,1)&amp;"-"&amp;LEFT(Educator!B381, 3)&amp;"-"&amp;LEFT(Educator!A381, 3)&amp;"-"&amp;IF(ISNUMBER(Educator!D381),"G"&amp;Educator!D381,Educator!D381)&amp;"-"&amp;"2027"</f>
        <v>CID-FLH----2027</v>
      </c>
      <c r="B376" s="49" t="e" cm="1">
        <f t="array" ref="B376">Educator!B381&amp;" "&amp;_xlfn.IFS(AND(ISNUMBER(Educator!D381),Educator!D381&lt;&gt;9),"Grade "&amp;Educator!D381,Educator!D381=9,"Grade 9-12",ISTEXT(Educator!D381),Educator!D381)&amp;" "&amp;"Florida"&amp;" "&amp;"26-27"</f>
        <v>#N/A</v>
      </c>
      <c r="C376" s="49" t="e">
        <f t="shared" si="6"/>
        <v>#N/A</v>
      </c>
      <c r="E376" s="51" t="s">
        <v>102</v>
      </c>
      <c r="F376" s="49" t="b">
        <f>IF(Educator!B381&gt;0,"active")</f>
        <v>0</v>
      </c>
      <c r="J376" s="49" t="str">
        <f>"BP-"&amp;"TSWFL-"&amp;IF(ISNUMBER(Educator!D381),""&amp;Educator!D381,Educator!D381)&amp;"-"&amp;"2027"</f>
        <v>BP-TSWFL--2027</v>
      </c>
    </row>
    <row r="377" spans="1:10" x14ac:dyDescent="0.2">
      <c r="A3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","#",3))+1,1)&amp;"-"&amp;LEFT(Educator!B382, 3)&amp;"-"&amp;LEFT(Educator!A382, 3)&amp;"-"&amp;IF(ISNUMBER(Educator!D382),"G"&amp;Educator!D382,Educator!D382)&amp;"-"&amp;"2027"</f>
        <v>CID-FLH----2027</v>
      </c>
      <c r="B377" s="49" t="e" cm="1">
        <f t="array" ref="B377">Educator!B382&amp;" "&amp;_xlfn.IFS(AND(ISNUMBER(Educator!D382),Educator!D382&lt;&gt;9),"Grade "&amp;Educator!D382,Educator!D382=9,"Grade 9-12",ISTEXT(Educator!D382),Educator!D382)&amp;" "&amp;"Florida"&amp;" "&amp;"26-27"</f>
        <v>#N/A</v>
      </c>
      <c r="C377" s="49" t="e">
        <f t="shared" si="6"/>
        <v>#N/A</v>
      </c>
      <c r="E377" s="51" t="s">
        <v>102</v>
      </c>
      <c r="F377" s="49" t="b">
        <f>IF(Educator!B382&gt;0,"active")</f>
        <v>0</v>
      </c>
      <c r="J377" s="49" t="str">
        <f>"BP-"&amp;"TSWFL-"&amp;IF(ISNUMBER(Educator!D382),""&amp;Educator!D382,Educator!D382)&amp;"-"&amp;"2027"</f>
        <v>BP-TSWFL--2027</v>
      </c>
    </row>
    <row r="378" spans="1:10" x14ac:dyDescent="0.2">
      <c r="A3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","#",3))+1,1)&amp;"-"&amp;LEFT(Educator!B383, 3)&amp;"-"&amp;LEFT(Educator!A383, 3)&amp;"-"&amp;IF(ISNUMBER(Educator!D383),"G"&amp;Educator!D383,Educator!D383)&amp;"-"&amp;"2027"</f>
        <v>CID-FLH----2027</v>
      </c>
      <c r="B378" s="49" t="e" cm="1">
        <f t="array" ref="B378">Educator!B383&amp;" "&amp;_xlfn.IFS(AND(ISNUMBER(Educator!D383),Educator!D383&lt;&gt;9),"Grade "&amp;Educator!D383,Educator!D383=9,"Grade 9-12",ISTEXT(Educator!D383),Educator!D383)&amp;" "&amp;"Florida"&amp;" "&amp;"26-27"</f>
        <v>#N/A</v>
      </c>
      <c r="C378" s="49" t="e">
        <f t="shared" si="6"/>
        <v>#N/A</v>
      </c>
      <c r="E378" s="51" t="s">
        <v>102</v>
      </c>
      <c r="F378" s="49" t="b">
        <f>IF(Educator!B383&gt;0,"active")</f>
        <v>0</v>
      </c>
      <c r="J378" s="49" t="str">
        <f>"BP-"&amp;"TSWFL-"&amp;IF(ISNUMBER(Educator!D383),""&amp;Educator!D383,Educator!D383)&amp;"-"&amp;"2027"</f>
        <v>BP-TSWFL--2027</v>
      </c>
    </row>
    <row r="379" spans="1:10" x14ac:dyDescent="0.2">
      <c r="A3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","#",3))+1,1)&amp;"-"&amp;LEFT(Educator!B384, 3)&amp;"-"&amp;LEFT(Educator!A384, 3)&amp;"-"&amp;IF(ISNUMBER(Educator!D384),"G"&amp;Educator!D384,Educator!D384)&amp;"-"&amp;"2027"</f>
        <v>CID-FLH----2027</v>
      </c>
      <c r="B379" s="49" t="e" cm="1">
        <f t="array" ref="B379">Educator!B384&amp;" "&amp;_xlfn.IFS(AND(ISNUMBER(Educator!D384),Educator!D384&lt;&gt;9),"Grade "&amp;Educator!D384,Educator!D384=9,"Grade 9-12",ISTEXT(Educator!D384),Educator!D384)&amp;" "&amp;"Florida"&amp;" "&amp;"26-27"</f>
        <v>#N/A</v>
      </c>
      <c r="C379" s="49" t="e">
        <f t="shared" si="6"/>
        <v>#N/A</v>
      </c>
      <c r="E379" s="51" t="s">
        <v>102</v>
      </c>
      <c r="F379" s="49" t="b">
        <f>IF(Educator!B384&gt;0,"active")</f>
        <v>0</v>
      </c>
      <c r="J379" s="49" t="str">
        <f>"BP-"&amp;"TSWFL-"&amp;IF(ISNUMBER(Educator!D384),""&amp;Educator!D384,Educator!D384)&amp;"-"&amp;"2027"</f>
        <v>BP-TSWFL--2027</v>
      </c>
    </row>
    <row r="380" spans="1:10" x14ac:dyDescent="0.2">
      <c r="A3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","#",3))+1,1)&amp;"-"&amp;LEFT(Educator!B385, 3)&amp;"-"&amp;LEFT(Educator!A385, 3)&amp;"-"&amp;IF(ISNUMBER(Educator!D385),"G"&amp;Educator!D385,Educator!D385)&amp;"-"&amp;"2027"</f>
        <v>CID-FLH----2027</v>
      </c>
      <c r="B380" s="49" t="e" cm="1">
        <f t="array" ref="B380">Educator!B385&amp;" "&amp;_xlfn.IFS(AND(ISNUMBER(Educator!D385),Educator!D385&lt;&gt;9),"Grade "&amp;Educator!D385,Educator!D385=9,"Grade 9-12",ISTEXT(Educator!D385),Educator!D385)&amp;" "&amp;"Florida"&amp;" "&amp;"26-27"</f>
        <v>#N/A</v>
      </c>
      <c r="C380" s="49" t="e">
        <f t="shared" si="6"/>
        <v>#N/A</v>
      </c>
      <c r="E380" s="51" t="s">
        <v>102</v>
      </c>
      <c r="F380" s="49" t="b">
        <f>IF(Educator!B385&gt;0,"active")</f>
        <v>0</v>
      </c>
      <c r="J380" s="49" t="str">
        <f>"BP-"&amp;"TSWFL-"&amp;IF(ISNUMBER(Educator!D385),""&amp;Educator!D385,Educator!D385)&amp;"-"&amp;"2027"</f>
        <v>BP-TSWFL--2027</v>
      </c>
    </row>
    <row r="381" spans="1:10" x14ac:dyDescent="0.2">
      <c r="A3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","#",3))+1,1)&amp;"-"&amp;LEFT(Educator!B386, 3)&amp;"-"&amp;LEFT(Educator!A386, 3)&amp;"-"&amp;IF(ISNUMBER(Educator!D386),"G"&amp;Educator!D386,Educator!D386)&amp;"-"&amp;"2027"</f>
        <v>CID-FLH----2027</v>
      </c>
      <c r="B381" s="49" t="e" cm="1">
        <f t="array" ref="B381">Educator!B386&amp;" "&amp;_xlfn.IFS(AND(ISNUMBER(Educator!D386),Educator!D386&lt;&gt;9),"Grade "&amp;Educator!D386,Educator!D386=9,"Grade 9-12",ISTEXT(Educator!D386),Educator!D386)&amp;" "&amp;"Florida"&amp;" "&amp;"26-27"</f>
        <v>#N/A</v>
      </c>
      <c r="C381" s="49" t="e">
        <f t="shared" si="6"/>
        <v>#N/A</v>
      </c>
      <c r="E381" s="51" t="s">
        <v>102</v>
      </c>
      <c r="F381" s="49" t="b">
        <f>IF(Educator!B386&gt;0,"active")</f>
        <v>0</v>
      </c>
      <c r="J381" s="49" t="str">
        <f>"BP-"&amp;"TSWFL-"&amp;IF(ISNUMBER(Educator!D386),""&amp;Educator!D386,Educator!D386)&amp;"-"&amp;"2027"</f>
        <v>BP-TSWFL--2027</v>
      </c>
    </row>
    <row r="382" spans="1:10" x14ac:dyDescent="0.2">
      <c r="A3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","#",3))+1,1)&amp;"-"&amp;LEFT(Educator!B387, 3)&amp;"-"&amp;LEFT(Educator!A387, 3)&amp;"-"&amp;IF(ISNUMBER(Educator!D387),"G"&amp;Educator!D387,Educator!D387)&amp;"-"&amp;"2027"</f>
        <v>CID-FLH----2027</v>
      </c>
      <c r="B382" s="49" t="e" cm="1">
        <f t="array" ref="B382">Educator!B387&amp;" "&amp;_xlfn.IFS(AND(ISNUMBER(Educator!D387),Educator!D387&lt;&gt;9),"Grade "&amp;Educator!D387,Educator!D387=9,"Grade 9-12",ISTEXT(Educator!D387),Educator!D387)&amp;" "&amp;"Florida"&amp;" "&amp;"26-27"</f>
        <v>#N/A</v>
      </c>
      <c r="C382" s="49" t="e">
        <f t="shared" si="6"/>
        <v>#N/A</v>
      </c>
      <c r="E382" s="51" t="s">
        <v>102</v>
      </c>
      <c r="F382" s="49" t="b">
        <f>IF(Educator!B387&gt;0,"active")</f>
        <v>0</v>
      </c>
      <c r="J382" s="49" t="str">
        <f>"BP-"&amp;"TSWFL-"&amp;IF(ISNUMBER(Educator!D387),""&amp;Educator!D387,Educator!D387)&amp;"-"&amp;"2027"</f>
        <v>BP-TSWFL--2027</v>
      </c>
    </row>
    <row r="383" spans="1:10" x14ac:dyDescent="0.2">
      <c r="A3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","#",3))+1,1)&amp;"-"&amp;LEFT(Educator!B388, 3)&amp;"-"&amp;LEFT(Educator!A388, 3)&amp;"-"&amp;IF(ISNUMBER(Educator!D388),"G"&amp;Educator!D388,Educator!D388)&amp;"-"&amp;"2027"</f>
        <v>CID-FLH----2027</v>
      </c>
      <c r="B383" s="49" t="e" cm="1">
        <f t="array" ref="B383">Educator!B388&amp;" "&amp;_xlfn.IFS(AND(ISNUMBER(Educator!D388),Educator!D388&lt;&gt;9),"Grade "&amp;Educator!D388,Educator!D388=9,"Grade 9-12",ISTEXT(Educator!D388),Educator!D388)&amp;" "&amp;"Florida"&amp;" "&amp;"26-27"</f>
        <v>#N/A</v>
      </c>
      <c r="C383" s="49" t="e">
        <f t="shared" si="6"/>
        <v>#N/A</v>
      </c>
      <c r="E383" s="51" t="s">
        <v>102</v>
      </c>
      <c r="F383" s="49" t="b">
        <f>IF(Educator!B388&gt;0,"active")</f>
        <v>0</v>
      </c>
      <c r="J383" s="49" t="str">
        <f>"BP-"&amp;"TSWFL-"&amp;IF(ISNUMBER(Educator!D388),""&amp;Educator!D388,Educator!D388)&amp;"-"&amp;"2027"</f>
        <v>BP-TSWFL--2027</v>
      </c>
    </row>
    <row r="384" spans="1:10" x14ac:dyDescent="0.2">
      <c r="A3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","#",3))+1,1)&amp;"-"&amp;LEFT(Educator!B389, 3)&amp;"-"&amp;LEFT(Educator!A389, 3)&amp;"-"&amp;IF(ISNUMBER(Educator!D389),"G"&amp;Educator!D389,Educator!D389)&amp;"-"&amp;"2027"</f>
        <v>CID-FLH----2027</v>
      </c>
      <c r="B384" s="49" t="e" cm="1">
        <f t="array" ref="B384">Educator!B389&amp;" "&amp;_xlfn.IFS(AND(ISNUMBER(Educator!D389),Educator!D389&lt;&gt;9),"Grade "&amp;Educator!D389,Educator!D389=9,"Grade 9-12",ISTEXT(Educator!D389),Educator!D389)&amp;" "&amp;"Florida"&amp;" "&amp;"26-27"</f>
        <v>#N/A</v>
      </c>
      <c r="C384" s="49" t="e">
        <f t="shared" si="6"/>
        <v>#N/A</v>
      </c>
      <c r="E384" s="51" t="s">
        <v>102</v>
      </c>
      <c r="F384" s="49" t="b">
        <f>IF(Educator!B389&gt;0,"active")</f>
        <v>0</v>
      </c>
      <c r="J384" s="49" t="str">
        <f>"BP-"&amp;"TSWFL-"&amp;IF(ISNUMBER(Educator!D389),""&amp;Educator!D389,Educator!D389)&amp;"-"&amp;"2027"</f>
        <v>BP-TSWFL--2027</v>
      </c>
    </row>
    <row r="385" spans="1:10" x14ac:dyDescent="0.2">
      <c r="A3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","#",3))+1,1)&amp;"-"&amp;LEFT(Educator!B390, 3)&amp;"-"&amp;LEFT(Educator!A390, 3)&amp;"-"&amp;IF(ISNUMBER(Educator!D390),"G"&amp;Educator!D390,Educator!D390)&amp;"-"&amp;"2027"</f>
        <v>CID-FLH----2027</v>
      </c>
      <c r="B385" s="49" t="e" cm="1">
        <f t="array" ref="B385">Educator!B390&amp;" "&amp;_xlfn.IFS(AND(ISNUMBER(Educator!D390),Educator!D390&lt;&gt;9),"Grade "&amp;Educator!D390,Educator!D390=9,"Grade 9-12",ISTEXT(Educator!D390),Educator!D390)&amp;" "&amp;"Florida"&amp;" "&amp;"26-27"</f>
        <v>#N/A</v>
      </c>
      <c r="C385" s="49" t="e">
        <f t="shared" si="6"/>
        <v>#N/A</v>
      </c>
      <c r="E385" s="51" t="s">
        <v>102</v>
      </c>
      <c r="F385" s="49" t="b">
        <f>IF(Educator!B390&gt;0,"active")</f>
        <v>0</v>
      </c>
      <c r="J385" s="49" t="str">
        <f>"BP-"&amp;"TSWFL-"&amp;IF(ISNUMBER(Educator!D390),""&amp;Educator!D390,Educator!D390)&amp;"-"&amp;"2027"</f>
        <v>BP-TSWFL--2027</v>
      </c>
    </row>
    <row r="386" spans="1:10" x14ac:dyDescent="0.2">
      <c r="A3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","#",3))+1,1)&amp;"-"&amp;LEFT(Educator!B391, 3)&amp;"-"&amp;LEFT(Educator!A391, 3)&amp;"-"&amp;IF(ISNUMBER(Educator!D391),"G"&amp;Educator!D391,Educator!D391)&amp;"-"&amp;"2027"</f>
        <v>CID-FLH----2027</v>
      </c>
      <c r="B386" s="49" t="e" cm="1">
        <f t="array" ref="B386">Educator!B391&amp;" "&amp;_xlfn.IFS(AND(ISNUMBER(Educator!D391),Educator!D391&lt;&gt;9),"Grade "&amp;Educator!D391,Educator!D391=9,"Grade 9-12",ISTEXT(Educator!D391),Educator!D391)&amp;" "&amp;"Florida"&amp;" "&amp;"26-27"</f>
        <v>#N/A</v>
      </c>
      <c r="C386" s="49" t="e">
        <f t="shared" si="6"/>
        <v>#N/A</v>
      </c>
      <c r="E386" s="51" t="s">
        <v>102</v>
      </c>
      <c r="F386" s="49" t="b">
        <f>IF(Educator!B391&gt;0,"active")</f>
        <v>0</v>
      </c>
      <c r="J386" s="49" t="str">
        <f>"BP-"&amp;"TSWFL-"&amp;IF(ISNUMBER(Educator!D391),""&amp;Educator!D391,Educator!D391)&amp;"-"&amp;"2027"</f>
        <v>BP-TSWFL--2027</v>
      </c>
    </row>
    <row r="387" spans="1:10" x14ac:dyDescent="0.2">
      <c r="A3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","#",3))+1,1)&amp;"-"&amp;LEFT(Educator!B392, 3)&amp;"-"&amp;LEFT(Educator!A392, 3)&amp;"-"&amp;IF(ISNUMBER(Educator!D392),"G"&amp;Educator!D392,Educator!D392)&amp;"-"&amp;"2027"</f>
        <v>CID-FLH----2027</v>
      </c>
      <c r="B387" s="49" t="e" cm="1">
        <f t="array" ref="B387">Educator!B392&amp;" "&amp;_xlfn.IFS(AND(ISNUMBER(Educator!D392),Educator!D392&lt;&gt;9),"Grade "&amp;Educator!D392,Educator!D392=9,"Grade 9-12",ISTEXT(Educator!D392),Educator!D392)&amp;" "&amp;"Florida"&amp;" "&amp;"26-27"</f>
        <v>#N/A</v>
      </c>
      <c r="C387" s="49" t="e">
        <f t="shared" si="6"/>
        <v>#N/A</v>
      </c>
      <c r="E387" s="51" t="s">
        <v>102</v>
      </c>
      <c r="F387" s="49" t="b">
        <f>IF(Educator!B392&gt;0,"active")</f>
        <v>0</v>
      </c>
      <c r="J387" s="49" t="str">
        <f>"BP-"&amp;"TSWFL-"&amp;IF(ISNUMBER(Educator!D392),""&amp;Educator!D392,Educator!D392)&amp;"-"&amp;"2027"</f>
        <v>BP-TSWFL--2027</v>
      </c>
    </row>
    <row r="388" spans="1:10" x14ac:dyDescent="0.2">
      <c r="A3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","#",3))+1,1)&amp;"-"&amp;LEFT(Educator!B393, 3)&amp;"-"&amp;LEFT(Educator!A393, 3)&amp;"-"&amp;IF(ISNUMBER(Educator!D393),"G"&amp;Educator!D393,Educator!D393)&amp;"-"&amp;"2027"</f>
        <v>CID-FLH----2027</v>
      </c>
      <c r="B388" s="49" t="e" cm="1">
        <f t="array" ref="B388">Educator!B393&amp;" "&amp;_xlfn.IFS(AND(ISNUMBER(Educator!D393),Educator!D393&lt;&gt;9),"Grade "&amp;Educator!D393,Educator!D393=9,"Grade 9-12",ISTEXT(Educator!D393),Educator!D393)&amp;" "&amp;"Florida"&amp;" "&amp;"26-27"</f>
        <v>#N/A</v>
      </c>
      <c r="C388" s="49" t="e">
        <f t="shared" si="6"/>
        <v>#N/A</v>
      </c>
      <c r="E388" s="51" t="s">
        <v>102</v>
      </c>
      <c r="F388" s="49" t="b">
        <f>IF(Educator!B393&gt;0,"active")</f>
        <v>0</v>
      </c>
      <c r="J388" s="49" t="str">
        <f>"BP-"&amp;"TSWFL-"&amp;IF(ISNUMBER(Educator!D393),""&amp;Educator!D393,Educator!D393)&amp;"-"&amp;"2027"</f>
        <v>BP-TSWFL--2027</v>
      </c>
    </row>
    <row r="389" spans="1:10" x14ac:dyDescent="0.2">
      <c r="A3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","#",3))+1,1)&amp;"-"&amp;LEFT(Educator!B394, 3)&amp;"-"&amp;LEFT(Educator!A394, 3)&amp;"-"&amp;IF(ISNUMBER(Educator!D394),"G"&amp;Educator!D394,Educator!D394)&amp;"-"&amp;"2027"</f>
        <v>CID-FLH----2027</v>
      </c>
      <c r="B389" s="49" t="e" cm="1">
        <f t="array" ref="B389">Educator!B394&amp;" "&amp;_xlfn.IFS(AND(ISNUMBER(Educator!D394),Educator!D394&lt;&gt;9),"Grade "&amp;Educator!D394,Educator!D394=9,"Grade 9-12",ISTEXT(Educator!D394),Educator!D394)&amp;" "&amp;"Florida"&amp;" "&amp;"26-27"</f>
        <v>#N/A</v>
      </c>
      <c r="C389" s="49" t="e">
        <f t="shared" si="6"/>
        <v>#N/A</v>
      </c>
      <c r="E389" s="51" t="s">
        <v>102</v>
      </c>
      <c r="F389" s="49" t="b">
        <f>IF(Educator!B394&gt;0,"active")</f>
        <v>0</v>
      </c>
      <c r="J389" s="49" t="str">
        <f>"BP-"&amp;"TSWFL-"&amp;IF(ISNUMBER(Educator!D394),""&amp;Educator!D394,Educator!D394)&amp;"-"&amp;"2027"</f>
        <v>BP-TSWFL--2027</v>
      </c>
    </row>
    <row r="390" spans="1:10" x14ac:dyDescent="0.2">
      <c r="A3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","#",3))+1,1)&amp;"-"&amp;LEFT(Educator!B395, 3)&amp;"-"&amp;LEFT(Educator!A395, 3)&amp;"-"&amp;IF(ISNUMBER(Educator!D395),"G"&amp;Educator!D395,Educator!D395)&amp;"-"&amp;"2027"</f>
        <v>CID-FLH----2027</v>
      </c>
      <c r="B390" s="49" t="e" cm="1">
        <f t="array" ref="B390">Educator!B395&amp;" "&amp;_xlfn.IFS(AND(ISNUMBER(Educator!D395),Educator!D395&lt;&gt;9),"Grade "&amp;Educator!D395,Educator!D395=9,"Grade 9-12",ISTEXT(Educator!D395),Educator!D395)&amp;" "&amp;"Florida"&amp;" "&amp;"26-27"</f>
        <v>#N/A</v>
      </c>
      <c r="C390" s="49" t="e">
        <f t="shared" si="6"/>
        <v>#N/A</v>
      </c>
      <c r="E390" s="51" t="s">
        <v>102</v>
      </c>
      <c r="F390" s="49" t="b">
        <f>IF(Educator!B395&gt;0,"active")</f>
        <v>0</v>
      </c>
      <c r="J390" s="49" t="str">
        <f>"BP-"&amp;"TSWFL-"&amp;IF(ISNUMBER(Educator!D395),""&amp;Educator!D395,Educator!D395)&amp;"-"&amp;"2027"</f>
        <v>BP-TSWFL--2027</v>
      </c>
    </row>
    <row r="391" spans="1:10" x14ac:dyDescent="0.2">
      <c r="A3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","#",3))+1,1)&amp;"-"&amp;LEFT(Educator!B396, 3)&amp;"-"&amp;LEFT(Educator!A396, 3)&amp;"-"&amp;IF(ISNUMBER(Educator!D396),"G"&amp;Educator!D396,Educator!D396)&amp;"-"&amp;"2027"</f>
        <v>CID-FLH----2027</v>
      </c>
      <c r="B391" s="49" t="e" cm="1">
        <f t="array" ref="B391">Educator!B396&amp;" "&amp;_xlfn.IFS(AND(ISNUMBER(Educator!D396),Educator!D396&lt;&gt;9),"Grade "&amp;Educator!D396,Educator!D396=9,"Grade 9-12",ISTEXT(Educator!D396),Educator!D396)&amp;" "&amp;"Florida"&amp;" "&amp;"26-27"</f>
        <v>#N/A</v>
      </c>
      <c r="C391" s="49" t="e">
        <f t="shared" si="6"/>
        <v>#N/A</v>
      </c>
      <c r="E391" s="51" t="s">
        <v>102</v>
      </c>
      <c r="F391" s="49" t="b">
        <f>IF(Educator!B396&gt;0,"active")</f>
        <v>0</v>
      </c>
      <c r="J391" s="49" t="str">
        <f>"BP-"&amp;"TSWFL-"&amp;IF(ISNUMBER(Educator!D396),""&amp;Educator!D396,Educator!D396)&amp;"-"&amp;"2027"</f>
        <v>BP-TSWFL--2027</v>
      </c>
    </row>
    <row r="392" spans="1:10" x14ac:dyDescent="0.2">
      <c r="A3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","#",3))+1,1)&amp;"-"&amp;LEFT(Educator!B397, 3)&amp;"-"&amp;LEFT(Educator!A397, 3)&amp;"-"&amp;IF(ISNUMBER(Educator!D397),"G"&amp;Educator!D397,Educator!D397)&amp;"-"&amp;"2027"</f>
        <v>CID-FLH----2027</v>
      </c>
      <c r="B392" s="49" t="e" cm="1">
        <f t="array" ref="B392">Educator!B397&amp;" "&amp;_xlfn.IFS(AND(ISNUMBER(Educator!D397),Educator!D397&lt;&gt;9),"Grade "&amp;Educator!D397,Educator!D397=9,"Grade 9-12",ISTEXT(Educator!D397),Educator!D397)&amp;" "&amp;"Florida"&amp;" "&amp;"26-27"</f>
        <v>#N/A</v>
      </c>
      <c r="C392" s="49" t="e">
        <f t="shared" si="6"/>
        <v>#N/A</v>
      </c>
      <c r="E392" s="51" t="s">
        <v>102</v>
      </c>
      <c r="F392" s="49" t="b">
        <f>IF(Educator!B397&gt;0,"active")</f>
        <v>0</v>
      </c>
      <c r="J392" s="49" t="str">
        <f>"BP-"&amp;"TSWFL-"&amp;IF(ISNUMBER(Educator!D397),""&amp;Educator!D397,Educator!D397)&amp;"-"&amp;"2027"</f>
        <v>BP-TSWFL--2027</v>
      </c>
    </row>
    <row r="393" spans="1:10" x14ac:dyDescent="0.2">
      <c r="A3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","#",3))+1,1)&amp;"-"&amp;LEFT(Educator!B398, 3)&amp;"-"&amp;LEFT(Educator!A398, 3)&amp;"-"&amp;IF(ISNUMBER(Educator!D398),"G"&amp;Educator!D398,Educator!D398)&amp;"-"&amp;"2027"</f>
        <v>CID-FLH----2027</v>
      </c>
      <c r="B393" s="49" t="e" cm="1">
        <f t="array" ref="B393">Educator!B398&amp;" "&amp;_xlfn.IFS(AND(ISNUMBER(Educator!D398),Educator!D398&lt;&gt;9),"Grade "&amp;Educator!D398,Educator!D398=9,"Grade 9-12",ISTEXT(Educator!D398),Educator!D398)&amp;" "&amp;"Florida"&amp;" "&amp;"26-27"</f>
        <v>#N/A</v>
      </c>
      <c r="C393" s="49" t="e">
        <f t="shared" si="6"/>
        <v>#N/A</v>
      </c>
      <c r="E393" s="51" t="s">
        <v>102</v>
      </c>
      <c r="F393" s="49" t="b">
        <f>IF(Educator!B398&gt;0,"active")</f>
        <v>0</v>
      </c>
      <c r="J393" s="49" t="str">
        <f>"BP-"&amp;"TSWFL-"&amp;IF(ISNUMBER(Educator!D398),""&amp;Educator!D398,Educator!D398)&amp;"-"&amp;"2027"</f>
        <v>BP-TSWFL--2027</v>
      </c>
    </row>
    <row r="394" spans="1:10" x14ac:dyDescent="0.2">
      <c r="A3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","#",3))+1,1)&amp;"-"&amp;LEFT(Educator!B399, 3)&amp;"-"&amp;LEFT(Educator!A399, 3)&amp;"-"&amp;IF(ISNUMBER(Educator!D399),"G"&amp;Educator!D399,Educator!D399)&amp;"-"&amp;"2027"</f>
        <v>CID-FLH----2027</v>
      </c>
      <c r="B394" s="49" t="e" cm="1">
        <f t="array" ref="B394">Educator!B399&amp;" "&amp;_xlfn.IFS(AND(ISNUMBER(Educator!D399),Educator!D399&lt;&gt;9),"Grade "&amp;Educator!D399,Educator!D399=9,"Grade 9-12",ISTEXT(Educator!D399),Educator!D399)&amp;" "&amp;"Florida"&amp;" "&amp;"26-27"</f>
        <v>#N/A</v>
      </c>
      <c r="C394" s="49" t="e">
        <f t="shared" si="6"/>
        <v>#N/A</v>
      </c>
      <c r="E394" s="51" t="s">
        <v>102</v>
      </c>
      <c r="F394" s="49" t="b">
        <f>IF(Educator!B399&gt;0,"active")</f>
        <v>0</v>
      </c>
      <c r="J394" s="49" t="str">
        <f>"BP-"&amp;"TSWFL-"&amp;IF(ISNUMBER(Educator!D399),""&amp;Educator!D399,Educator!D399)&amp;"-"&amp;"2027"</f>
        <v>BP-TSWFL--2027</v>
      </c>
    </row>
    <row r="395" spans="1:10" x14ac:dyDescent="0.2">
      <c r="A3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","#",3))+1,1)&amp;"-"&amp;LEFT(Educator!B400, 3)&amp;"-"&amp;LEFT(Educator!A400, 3)&amp;"-"&amp;IF(ISNUMBER(Educator!D400),"G"&amp;Educator!D400,Educator!D400)&amp;"-"&amp;"2027"</f>
        <v>CID-FLH----2027</v>
      </c>
      <c r="B395" s="49" t="e" cm="1">
        <f t="array" ref="B395">Educator!B400&amp;" "&amp;_xlfn.IFS(AND(ISNUMBER(Educator!D400),Educator!D400&lt;&gt;9),"Grade "&amp;Educator!D400,Educator!D400=9,"Grade 9-12",ISTEXT(Educator!D400),Educator!D400)&amp;" "&amp;"Florida"&amp;" "&amp;"26-27"</f>
        <v>#N/A</v>
      </c>
      <c r="C395" s="49" t="e">
        <f t="shared" si="6"/>
        <v>#N/A</v>
      </c>
      <c r="E395" s="51" t="s">
        <v>102</v>
      </c>
      <c r="F395" s="49" t="b">
        <f>IF(Educator!B400&gt;0,"active")</f>
        <v>0</v>
      </c>
      <c r="J395" s="49" t="str">
        <f>"BP-"&amp;"TSWFL-"&amp;IF(ISNUMBER(Educator!D400),""&amp;Educator!D400,Educator!D400)&amp;"-"&amp;"2027"</f>
        <v>BP-TSWFL--2027</v>
      </c>
    </row>
    <row r="396" spans="1:10" x14ac:dyDescent="0.2">
      <c r="A3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","#",3))+1,1)&amp;"-"&amp;LEFT(Educator!B401, 3)&amp;"-"&amp;LEFT(Educator!A401, 3)&amp;"-"&amp;IF(ISNUMBER(Educator!D401),"G"&amp;Educator!D401,Educator!D401)&amp;"-"&amp;"2027"</f>
        <v>CID-FLH----2027</v>
      </c>
      <c r="B396" s="49" t="e" cm="1">
        <f t="array" ref="B396">Educator!B401&amp;" "&amp;_xlfn.IFS(AND(ISNUMBER(Educator!D401),Educator!D401&lt;&gt;9),"Grade "&amp;Educator!D401,Educator!D401=9,"Grade 9-12",ISTEXT(Educator!D401),Educator!D401)&amp;" "&amp;"Florida"&amp;" "&amp;"26-27"</f>
        <v>#N/A</v>
      </c>
      <c r="C396" s="49" t="e">
        <f t="shared" si="6"/>
        <v>#N/A</v>
      </c>
      <c r="E396" s="51" t="s">
        <v>102</v>
      </c>
      <c r="F396" s="49" t="b">
        <f>IF(Educator!B401&gt;0,"active")</f>
        <v>0</v>
      </c>
      <c r="J396" s="49" t="str">
        <f>"BP-"&amp;"TSWFL-"&amp;IF(ISNUMBER(Educator!D401),""&amp;Educator!D401,Educator!D401)&amp;"-"&amp;"2027"</f>
        <v>BP-TSWFL--2027</v>
      </c>
    </row>
    <row r="397" spans="1:10" x14ac:dyDescent="0.2">
      <c r="A3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","#",3))+1,1)&amp;"-"&amp;LEFT(Educator!B402, 3)&amp;"-"&amp;LEFT(Educator!A402, 3)&amp;"-"&amp;IF(ISNUMBER(Educator!D402),"G"&amp;Educator!D402,Educator!D402)&amp;"-"&amp;"2027"</f>
        <v>CID-FLH----2027</v>
      </c>
      <c r="B397" s="49" t="e" cm="1">
        <f t="array" ref="B397">Educator!B402&amp;" "&amp;_xlfn.IFS(AND(ISNUMBER(Educator!D402),Educator!D402&lt;&gt;9),"Grade "&amp;Educator!D402,Educator!D402=9,"Grade 9-12",ISTEXT(Educator!D402),Educator!D402)&amp;" "&amp;"Florida"&amp;" "&amp;"26-27"</f>
        <v>#N/A</v>
      </c>
      <c r="C397" s="49" t="e">
        <f t="shared" si="6"/>
        <v>#N/A</v>
      </c>
      <c r="E397" s="51" t="s">
        <v>102</v>
      </c>
      <c r="F397" s="49" t="b">
        <f>IF(Educator!B402&gt;0,"active")</f>
        <v>0</v>
      </c>
      <c r="J397" s="49" t="str">
        <f>"BP-"&amp;"TSWFL-"&amp;IF(ISNUMBER(Educator!D402),""&amp;Educator!D402,Educator!D402)&amp;"-"&amp;"2027"</f>
        <v>BP-TSWFL--2027</v>
      </c>
    </row>
    <row r="398" spans="1:10" x14ac:dyDescent="0.2">
      <c r="A3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","#",3))+1,1)&amp;"-"&amp;LEFT(Educator!B403, 3)&amp;"-"&amp;LEFT(Educator!A403, 3)&amp;"-"&amp;IF(ISNUMBER(Educator!D403),"G"&amp;Educator!D403,Educator!D403)&amp;"-"&amp;"2027"</f>
        <v>CID-FLH----2027</v>
      </c>
      <c r="B398" s="49" t="e" cm="1">
        <f t="array" ref="B398">Educator!B403&amp;" "&amp;_xlfn.IFS(AND(ISNUMBER(Educator!D403),Educator!D403&lt;&gt;9),"Grade "&amp;Educator!D403,Educator!D403=9,"Grade 9-12",ISTEXT(Educator!D403),Educator!D403)&amp;" "&amp;"Florida"&amp;" "&amp;"26-27"</f>
        <v>#N/A</v>
      </c>
      <c r="C398" s="49" t="e">
        <f t="shared" si="6"/>
        <v>#N/A</v>
      </c>
      <c r="E398" s="51" t="s">
        <v>102</v>
      </c>
      <c r="F398" s="49" t="b">
        <f>IF(Educator!B403&gt;0,"active")</f>
        <v>0</v>
      </c>
      <c r="J398" s="49" t="str">
        <f>"BP-"&amp;"TSWFL-"&amp;IF(ISNUMBER(Educator!D403),""&amp;Educator!D403,Educator!D403)&amp;"-"&amp;"2027"</f>
        <v>BP-TSWFL--2027</v>
      </c>
    </row>
    <row r="399" spans="1:10" x14ac:dyDescent="0.2">
      <c r="A3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","#",3))+1,1)&amp;"-"&amp;LEFT(Educator!B404, 3)&amp;"-"&amp;LEFT(Educator!A404, 3)&amp;"-"&amp;IF(ISNUMBER(Educator!D404),"G"&amp;Educator!D404,Educator!D404)&amp;"-"&amp;"2027"</f>
        <v>CID-FLH----2027</v>
      </c>
      <c r="B399" s="49" t="e" cm="1">
        <f t="array" ref="B399">Educator!B404&amp;" "&amp;_xlfn.IFS(AND(ISNUMBER(Educator!D404),Educator!D404&lt;&gt;9),"Grade "&amp;Educator!D404,Educator!D404=9,"Grade 9-12",ISTEXT(Educator!D404),Educator!D404)&amp;" "&amp;"Florida"&amp;" "&amp;"26-27"</f>
        <v>#N/A</v>
      </c>
      <c r="C399" s="49" t="e">
        <f t="shared" si="6"/>
        <v>#N/A</v>
      </c>
      <c r="E399" s="51" t="s">
        <v>102</v>
      </c>
      <c r="F399" s="49" t="b">
        <f>IF(Educator!B404&gt;0,"active")</f>
        <v>0</v>
      </c>
      <c r="J399" s="49" t="str">
        <f>"BP-"&amp;"TSWFL-"&amp;IF(ISNUMBER(Educator!D404),""&amp;Educator!D404,Educator!D404)&amp;"-"&amp;"2027"</f>
        <v>BP-TSWFL--2027</v>
      </c>
    </row>
    <row r="400" spans="1:10" x14ac:dyDescent="0.2">
      <c r="A4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","#",3))+1,1)&amp;"-"&amp;LEFT(Educator!B405, 3)&amp;"-"&amp;LEFT(Educator!A405, 3)&amp;"-"&amp;IF(ISNUMBER(Educator!D405),"G"&amp;Educator!D405,Educator!D405)&amp;"-"&amp;"2027"</f>
        <v>CID-FLH----2027</v>
      </c>
      <c r="B400" s="49" t="e" cm="1">
        <f t="array" ref="B400">Educator!B405&amp;" "&amp;_xlfn.IFS(AND(ISNUMBER(Educator!D405),Educator!D405&lt;&gt;9),"Grade "&amp;Educator!D405,Educator!D405=9,"Grade 9-12",ISTEXT(Educator!D405),Educator!D405)&amp;" "&amp;"Florida"&amp;" "&amp;"26-27"</f>
        <v>#N/A</v>
      </c>
      <c r="C400" s="49" t="e">
        <f t="shared" si="6"/>
        <v>#N/A</v>
      </c>
      <c r="E400" s="51" t="s">
        <v>102</v>
      </c>
      <c r="F400" s="49" t="b">
        <f>IF(Educator!B405&gt;0,"active")</f>
        <v>0</v>
      </c>
      <c r="J400" s="49" t="str">
        <f>"BP-"&amp;"TSWFL-"&amp;IF(ISNUMBER(Educator!D405),""&amp;Educator!D405,Educator!D405)&amp;"-"&amp;"2027"</f>
        <v>BP-TSWFL--2027</v>
      </c>
    </row>
    <row r="401" spans="1:10" x14ac:dyDescent="0.2">
      <c r="A4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","#",3))+1,1)&amp;"-"&amp;LEFT(Educator!B406, 3)&amp;"-"&amp;LEFT(Educator!A406, 3)&amp;"-"&amp;IF(ISNUMBER(Educator!D406),"G"&amp;Educator!D406,Educator!D406)&amp;"-"&amp;"2027"</f>
        <v>CID-FLH----2027</v>
      </c>
      <c r="B401" s="49" t="e" cm="1">
        <f t="array" ref="B401">Educator!B406&amp;" "&amp;_xlfn.IFS(AND(ISNUMBER(Educator!D406),Educator!D406&lt;&gt;9),"Grade "&amp;Educator!D406,Educator!D406=9,"Grade 9-12",ISTEXT(Educator!D406),Educator!D406)&amp;" "&amp;"Florida"&amp;" "&amp;"26-27"</f>
        <v>#N/A</v>
      </c>
      <c r="C401" s="49" t="e">
        <f t="shared" si="6"/>
        <v>#N/A</v>
      </c>
      <c r="E401" s="51" t="s">
        <v>102</v>
      </c>
      <c r="F401" s="49" t="b">
        <f>IF(Educator!B406&gt;0,"active")</f>
        <v>0</v>
      </c>
      <c r="J401" s="49" t="str">
        <f>"BP-"&amp;"TSWFL-"&amp;IF(ISNUMBER(Educator!D406),""&amp;Educator!D406,Educator!D406)&amp;"-"&amp;"2027"</f>
        <v>BP-TSWFL--2027</v>
      </c>
    </row>
    <row r="402" spans="1:10" x14ac:dyDescent="0.2">
      <c r="A4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","#",3))+1,1)&amp;"-"&amp;LEFT(Educator!B407, 3)&amp;"-"&amp;LEFT(Educator!A407, 3)&amp;"-"&amp;IF(ISNUMBER(Educator!D407),"G"&amp;Educator!D407,Educator!D407)&amp;"-"&amp;"2027"</f>
        <v>CID-FLH----2027</v>
      </c>
      <c r="B402" s="49" t="e" cm="1">
        <f t="array" ref="B402">Educator!B407&amp;" "&amp;_xlfn.IFS(AND(ISNUMBER(Educator!D407),Educator!D407&lt;&gt;9),"Grade "&amp;Educator!D407,Educator!D407=9,"Grade 9-12",ISTEXT(Educator!D407),Educator!D407)&amp;" "&amp;"Florida"&amp;" "&amp;"26-27"</f>
        <v>#N/A</v>
      </c>
      <c r="C402" s="49" t="e">
        <f t="shared" ref="C402:C465" si="7">B402</f>
        <v>#N/A</v>
      </c>
      <c r="E402" s="51" t="s">
        <v>102</v>
      </c>
      <c r="F402" s="49" t="b">
        <f>IF(Educator!B407&gt;0,"active")</f>
        <v>0</v>
      </c>
      <c r="J402" s="49" t="str">
        <f>"BP-"&amp;"TSWFL-"&amp;IF(ISNUMBER(Educator!D407),""&amp;Educator!D407,Educator!D407)&amp;"-"&amp;"2027"</f>
        <v>BP-TSWFL--2027</v>
      </c>
    </row>
    <row r="403" spans="1:10" x14ac:dyDescent="0.2">
      <c r="A4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","#",3))+1,1)&amp;"-"&amp;LEFT(Educator!B408, 3)&amp;"-"&amp;LEFT(Educator!A408, 3)&amp;"-"&amp;IF(ISNUMBER(Educator!D408),"G"&amp;Educator!D408,Educator!D408)&amp;"-"&amp;"2027"</f>
        <v>CID-FLH----2027</v>
      </c>
      <c r="B403" s="49" t="e" cm="1">
        <f t="array" ref="B403">Educator!B408&amp;" "&amp;_xlfn.IFS(AND(ISNUMBER(Educator!D408),Educator!D408&lt;&gt;9),"Grade "&amp;Educator!D408,Educator!D408=9,"Grade 9-12",ISTEXT(Educator!D408),Educator!D408)&amp;" "&amp;"Florida"&amp;" "&amp;"26-27"</f>
        <v>#N/A</v>
      </c>
      <c r="C403" s="49" t="e">
        <f t="shared" si="7"/>
        <v>#N/A</v>
      </c>
      <c r="E403" s="51" t="s">
        <v>102</v>
      </c>
      <c r="F403" s="49" t="b">
        <f>IF(Educator!B408&gt;0,"active")</f>
        <v>0</v>
      </c>
      <c r="J403" s="49" t="str">
        <f>"BP-"&amp;"TSWFL-"&amp;IF(ISNUMBER(Educator!D408),""&amp;Educator!D408,Educator!D408)&amp;"-"&amp;"2027"</f>
        <v>BP-TSWFL--2027</v>
      </c>
    </row>
    <row r="404" spans="1:10" x14ac:dyDescent="0.2">
      <c r="A4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","#",3))+1,1)&amp;"-"&amp;LEFT(Educator!B409, 3)&amp;"-"&amp;LEFT(Educator!A409, 3)&amp;"-"&amp;IF(ISNUMBER(Educator!D409),"G"&amp;Educator!D409,Educator!D409)&amp;"-"&amp;"2027"</f>
        <v>CID-FLH----2027</v>
      </c>
      <c r="B404" s="49" t="e" cm="1">
        <f t="array" ref="B404">Educator!B409&amp;" "&amp;_xlfn.IFS(AND(ISNUMBER(Educator!D409),Educator!D409&lt;&gt;9),"Grade "&amp;Educator!D409,Educator!D409=9,"Grade 9-12",ISTEXT(Educator!D409),Educator!D409)&amp;" "&amp;"Florida"&amp;" "&amp;"26-27"</f>
        <v>#N/A</v>
      </c>
      <c r="C404" s="49" t="e">
        <f t="shared" si="7"/>
        <v>#N/A</v>
      </c>
      <c r="E404" s="51" t="s">
        <v>102</v>
      </c>
      <c r="F404" s="49" t="b">
        <f>IF(Educator!B409&gt;0,"active")</f>
        <v>0</v>
      </c>
      <c r="J404" s="49" t="str">
        <f>"BP-"&amp;"TSWFL-"&amp;IF(ISNUMBER(Educator!D409),""&amp;Educator!D409,Educator!D409)&amp;"-"&amp;"2027"</f>
        <v>BP-TSWFL--2027</v>
      </c>
    </row>
    <row r="405" spans="1:10" x14ac:dyDescent="0.2">
      <c r="A4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","#",3))+1,1)&amp;"-"&amp;LEFT(Educator!B410, 3)&amp;"-"&amp;LEFT(Educator!A410, 3)&amp;"-"&amp;IF(ISNUMBER(Educator!D410),"G"&amp;Educator!D410,Educator!D410)&amp;"-"&amp;"2027"</f>
        <v>CID-FLH----2027</v>
      </c>
      <c r="B405" s="49" t="e" cm="1">
        <f t="array" ref="B405">Educator!B410&amp;" "&amp;_xlfn.IFS(AND(ISNUMBER(Educator!D410),Educator!D410&lt;&gt;9),"Grade "&amp;Educator!D410,Educator!D410=9,"Grade 9-12",ISTEXT(Educator!D410),Educator!D410)&amp;" "&amp;"Florida"&amp;" "&amp;"26-27"</f>
        <v>#N/A</v>
      </c>
      <c r="C405" s="49" t="e">
        <f t="shared" si="7"/>
        <v>#N/A</v>
      </c>
      <c r="E405" s="51" t="s">
        <v>102</v>
      </c>
      <c r="F405" s="49" t="b">
        <f>IF(Educator!B410&gt;0,"active")</f>
        <v>0</v>
      </c>
      <c r="J405" s="49" t="str">
        <f>"BP-"&amp;"TSWFL-"&amp;IF(ISNUMBER(Educator!D410),""&amp;Educator!D410,Educator!D410)&amp;"-"&amp;"2027"</f>
        <v>BP-TSWFL--2027</v>
      </c>
    </row>
    <row r="406" spans="1:10" x14ac:dyDescent="0.2">
      <c r="A4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","#",3))+1,1)&amp;"-"&amp;LEFT(Educator!B411, 3)&amp;"-"&amp;LEFT(Educator!A411, 3)&amp;"-"&amp;IF(ISNUMBER(Educator!D411),"G"&amp;Educator!D411,Educator!D411)&amp;"-"&amp;"2027"</f>
        <v>CID-FLH----2027</v>
      </c>
      <c r="B406" s="49" t="e" cm="1">
        <f t="array" ref="B406">Educator!B411&amp;" "&amp;_xlfn.IFS(AND(ISNUMBER(Educator!D411),Educator!D411&lt;&gt;9),"Grade "&amp;Educator!D411,Educator!D411=9,"Grade 9-12",ISTEXT(Educator!D411),Educator!D411)&amp;" "&amp;"Florida"&amp;" "&amp;"26-27"</f>
        <v>#N/A</v>
      </c>
      <c r="C406" s="49" t="e">
        <f t="shared" si="7"/>
        <v>#N/A</v>
      </c>
      <c r="E406" s="51" t="s">
        <v>102</v>
      </c>
      <c r="F406" s="49" t="b">
        <f>IF(Educator!B411&gt;0,"active")</f>
        <v>0</v>
      </c>
      <c r="J406" s="49" t="str">
        <f>"BP-"&amp;"TSWFL-"&amp;IF(ISNUMBER(Educator!D411),""&amp;Educator!D411,Educator!D411)&amp;"-"&amp;"2027"</f>
        <v>BP-TSWFL--2027</v>
      </c>
    </row>
    <row r="407" spans="1:10" x14ac:dyDescent="0.2">
      <c r="A4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","#",3))+1,1)&amp;"-"&amp;LEFT(Educator!B412, 3)&amp;"-"&amp;LEFT(Educator!A412, 3)&amp;"-"&amp;IF(ISNUMBER(Educator!D412),"G"&amp;Educator!D412,Educator!D412)&amp;"-"&amp;"2027"</f>
        <v>CID-FLH----2027</v>
      </c>
      <c r="B407" s="49" t="e" cm="1">
        <f t="array" ref="B407">Educator!B412&amp;" "&amp;_xlfn.IFS(AND(ISNUMBER(Educator!D412),Educator!D412&lt;&gt;9),"Grade "&amp;Educator!D412,Educator!D412=9,"Grade 9-12",ISTEXT(Educator!D412),Educator!D412)&amp;" "&amp;"Florida"&amp;" "&amp;"26-27"</f>
        <v>#N/A</v>
      </c>
      <c r="C407" s="49" t="e">
        <f t="shared" si="7"/>
        <v>#N/A</v>
      </c>
      <c r="E407" s="51" t="s">
        <v>102</v>
      </c>
      <c r="F407" s="49" t="b">
        <f>IF(Educator!B412&gt;0,"active")</f>
        <v>0</v>
      </c>
      <c r="J407" s="49" t="str">
        <f>"BP-"&amp;"TSWFL-"&amp;IF(ISNUMBER(Educator!D412),""&amp;Educator!D412,Educator!D412)&amp;"-"&amp;"2027"</f>
        <v>BP-TSWFL--2027</v>
      </c>
    </row>
    <row r="408" spans="1:10" x14ac:dyDescent="0.2">
      <c r="A4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","#",3))+1,1)&amp;"-"&amp;LEFT(Educator!B413, 3)&amp;"-"&amp;LEFT(Educator!A413, 3)&amp;"-"&amp;IF(ISNUMBER(Educator!D413),"G"&amp;Educator!D413,Educator!D413)&amp;"-"&amp;"2027"</f>
        <v>CID-FLH----2027</v>
      </c>
      <c r="B408" s="49" t="e" cm="1">
        <f t="array" ref="B408">Educator!B413&amp;" "&amp;_xlfn.IFS(AND(ISNUMBER(Educator!D413),Educator!D413&lt;&gt;9),"Grade "&amp;Educator!D413,Educator!D413=9,"Grade 9-12",ISTEXT(Educator!D413),Educator!D413)&amp;" "&amp;"Florida"&amp;" "&amp;"26-27"</f>
        <v>#N/A</v>
      </c>
      <c r="C408" s="49" t="e">
        <f t="shared" si="7"/>
        <v>#N/A</v>
      </c>
      <c r="E408" s="51" t="s">
        <v>102</v>
      </c>
      <c r="F408" s="49" t="b">
        <f>IF(Educator!B413&gt;0,"active")</f>
        <v>0</v>
      </c>
      <c r="J408" s="49" t="str">
        <f>"BP-"&amp;"TSWFL-"&amp;IF(ISNUMBER(Educator!D413),""&amp;Educator!D413,Educator!D413)&amp;"-"&amp;"2027"</f>
        <v>BP-TSWFL--2027</v>
      </c>
    </row>
    <row r="409" spans="1:10" x14ac:dyDescent="0.2">
      <c r="A4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","#",3))+1,1)&amp;"-"&amp;LEFT(Educator!B414, 3)&amp;"-"&amp;LEFT(Educator!A414, 3)&amp;"-"&amp;IF(ISNUMBER(Educator!D414),"G"&amp;Educator!D414,Educator!D414)&amp;"-"&amp;"2027"</f>
        <v>CID-FLH----2027</v>
      </c>
      <c r="B409" s="49" t="e" cm="1">
        <f t="array" ref="B409">Educator!B414&amp;" "&amp;_xlfn.IFS(AND(ISNUMBER(Educator!D414),Educator!D414&lt;&gt;9),"Grade "&amp;Educator!D414,Educator!D414=9,"Grade 9-12",ISTEXT(Educator!D414),Educator!D414)&amp;" "&amp;"Florida"&amp;" "&amp;"26-27"</f>
        <v>#N/A</v>
      </c>
      <c r="C409" s="49" t="e">
        <f t="shared" si="7"/>
        <v>#N/A</v>
      </c>
      <c r="E409" s="51" t="s">
        <v>102</v>
      </c>
      <c r="F409" s="49" t="b">
        <f>IF(Educator!B414&gt;0,"active")</f>
        <v>0</v>
      </c>
      <c r="J409" s="49" t="str">
        <f>"BP-"&amp;"TSWFL-"&amp;IF(ISNUMBER(Educator!D414),""&amp;Educator!D414,Educator!D414)&amp;"-"&amp;"2027"</f>
        <v>BP-TSWFL--2027</v>
      </c>
    </row>
    <row r="410" spans="1:10" x14ac:dyDescent="0.2">
      <c r="A4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","#",3))+1,1)&amp;"-"&amp;LEFT(Educator!B415, 3)&amp;"-"&amp;LEFT(Educator!A415, 3)&amp;"-"&amp;IF(ISNUMBER(Educator!D415),"G"&amp;Educator!D415,Educator!D415)&amp;"-"&amp;"2027"</f>
        <v>CID-FLH----2027</v>
      </c>
      <c r="B410" s="49" t="e" cm="1">
        <f t="array" ref="B410">Educator!B415&amp;" "&amp;_xlfn.IFS(AND(ISNUMBER(Educator!D415),Educator!D415&lt;&gt;9),"Grade "&amp;Educator!D415,Educator!D415=9,"Grade 9-12",ISTEXT(Educator!D415),Educator!D415)&amp;" "&amp;"Florida"&amp;" "&amp;"26-27"</f>
        <v>#N/A</v>
      </c>
      <c r="C410" s="49" t="e">
        <f t="shared" si="7"/>
        <v>#N/A</v>
      </c>
      <c r="E410" s="51" t="s">
        <v>102</v>
      </c>
      <c r="F410" s="49" t="b">
        <f>IF(Educator!B415&gt;0,"active")</f>
        <v>0</v>
      </c>
      <c r="J410" s="49" t="str">
        <f>"BP-"&amp;"TSWFL-"&amp;IF(ISNUMBER(Educator!D415),""&amp;Educator!D415,Educator!D415)&amp;"-"&amp;"2027"</f>
        <v>BP-TSWFL--2027</v>
      </c>
    </row>
    <row r="411" spans="1:10" x14ac:dyDescent="0.2">
      <c r="A4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","#",3))+1,1)&amp;"-"&amp;LEFT(Educator!B416, 3)&amp;"-"&amp;LEFT(Educator!A416, 3)&amp;"-"&amp;IF(ISNUMBER(Educator!D416),"G"&amp;Educator!D416,Educator!D416)&amp;"-"&amp;"2027"</f>
        <v>CID-FLH----2027</v>
      </c>
      <c r="B411" s="49" t="e" cm="1">
        <f t="array" ref="B411">Educator!B416&amp;" "&amp;_xlfn.IFS(AND(ISNUMBER(Educator!D416),Educator!D416&lt;&gt;9),"Grade "&amp;Educator!D416,Educator!D416=9,"Grade 9-12",ISTEXT(Educator!D416),Educator!D416)&amp;" "&amp;"Florida"&amp;" "&amp;"26-27"</f>
        <v>#N/A</v>
      </c>
      <c r="C411" s="49" t="e">
        <f t="shared" si="7"/>
        <v>#N/A</v>
      </c>
      <c r="E411" s="51" t="s">
        <v>102</v>
      </c>
      <c r="F411" s="49" t="b">
        <f>IF(Educator!B416&gt;0,"active")</f>
        <v>0</v>
      </c>
      <c r="J411" s="49" t="str">
        <f>"BP-"&amp;"TSWFL-"&amp;IF(ISNUMBER(Educator!D416),""&amp;Educator!D416,Educator!D416)&amp;"-"&amp;"2027"</f>
        <v>BP-TSWFL--2027</v>
      </c>
    </row>
    <row r="412" spans="1:10" x14ac:dyDescent="0.2">
      <c r="A4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","#",3))+1,1)&amp;"-"&amp;LEFT(Educator!B417, 3)&amp;"-"&amp;LEFT(Educator!A417, 3)&amp;"-"&amp;IF(ISNUMBER(Educator!D417),"G"&amp;Educator!D417,Educator!D417)&amp;"-"&amp;"2027"</f>
        <v>CID-FLH----2027</v>
      </c>
      <c r="B412" s="49" t="e" cm="1">
        <f t="array" ref="B412">Educator!B417&amp;" "&amp;_xlfn.IFS(AND(ISNUMBER(Educator!D417),Educator!D417&lt;&gt;9),"Grade "&amp;Educator!D417,Educator!D417=9,"Grade 9-12",ISTEXT(Educator!D417),Educator!D417)&amp;" "&amp;"Florida"&amp;" "&amp;"26-27"</f>
        <v>#N/A</v>
      </c>
      <c r="C412" s="49" t="e">
        <f t="shared" si="7"/>
        <v>#N/A</v>
      </c>
      <c r="E412" s="51" t="s">
        <v>102</v>
      </c>
      <c r="F412" s="49" t="b">
        <f>IF(Educator!B417&gt;0,"active")</f>
        <v>0</v>
      </c>
      <c r="J412" s="49" t="str">
        <f>"BP-"&amp;"TSWFL-"&amp;IF(ISNUMBER(Educator!D417),""&amp;Educator!D417,Educator!D417)&amp;"-"&amp;"2027"</f>
        <v>BP-TSWFL--2027</v>
      </c>
    </row>
    <row r="413" spans="1:10" x14ac:dyDescent="0.2">
      <c r="A4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","#",3))+1,1)&amp;"-"&amp;LEFT(Educator!B418, 3)&amp;"-"&amp;LEFT(Educator!A418, 3)&amp;"-"&amp;IF(ISNUMBER(Educator!D418),"G"&amp;Educator!D418,Educator!D418)&amp;"-"&amp;"2027"</f>
        <v>CID-FLH----2027</v>
      </c>
      <c r="B413" s="49" t="e" cm="1">
        <f t="array" ref="B413">Educator!B418&amp;" "&amp;_xlfn.IFS(AND(ISNUMBER(Educator!D418),Educator!D418&lt;&gt;9),"Grade "&amp;Educator!D418,Educator!D418=9,"Grade 9-12",ISTEXT(Educator!D418),Educator!D418)&amp;" "&amp;"Florida"&amp;" "&amp;"26-27"</f>
        <v>#N/A</v>
      </c>
      <c r="C413" s="49" t="e">
        <f t="shared" si="7"/>
        <v>#N/A</v>
      </c>
      <c r="E413" s="51" t="s">
        <v>102</v>
      </c>
      <c r="F413" s="49" t="b">
        <f>IF(Educator!B418&gt;0,"active")</f>
        <v>0</v>
      </c>
      <c r="J413" s="49" t="str">
        <f>"BP-"&amp;"TSWFL-"&amp;IF(ISNUMBER(Educator!D418),""&amp;Educator!D418,Educator!D418)&amp;"-"&amp;"2027"</f>
        <v>BP-TSWFL--2027</v>
      </c>
    </row>
    <row r="414" spans="1:10" x14ac:dyDescent="0.2">
      <c r="A4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","#",3))+1,1)&amp;"-"&amp;LEFT(Educator!B419, 3)&amp;"-"&amp;LEFT(Educator!A419, 3)&amp;"-"&amp;IF(ISNUMBER(Educator!D419),"G"&amp;Educator!D419,Educator!D419)&amp;"-"&amp;"2027"</f>
        <v>CID-FLH----2027</v>
      </c>
      <c r="B414" s="49" t="e" cm="1">
        <f t="array" ref="B414">Educator!B419&amp;" "&amp;_xlfn.IFS(AND(ISNUMBER(Educator!D419),Educator!D419&lt;&gt;9),"Grade "&amp;Educator!D419,Educator!D419=9,"Grade 9-12",ISTEXT(Educator!D419),Educator!D419)&amp;" "&amp;"Florida"&amp;" "&amp;"26-27"</f>
        <v>#N/A</v>
      </c>
      <c r="C414" s="49" t="e">
        <f t="shared" si="7"/>
        <v>#N/A</v>
      </c>
      <c r="E414" s="51" t="s">
        <v>102</v>
      </c>
      <c r="F414" s="49" t="b">
        <f>IF(Educator!B419&gt;0,"active")</f>
        <v>0</v>
      </c>
      <c r="J414" s="49" t="str">
        <f>"BP-"&amp;"TSWFL-"&amp;IF(ISNUMBER(Educator!D419),""&amp;Educator!D419,Educator!D419)&amp;"-"&amp;"2027"</f>
        <v>BP-TSWFL--2027</v>
      </c>
    </row>
    <row r="415" spans="1:10" x14ac:dyDescent="0.2">
      <c r="A4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","#",3))+1,1)&amp;"-"&amp;LEFT(Educator!B420, 3)&amp;"-"&amp;LEFT(Educator!A420, 3)&amp;"-"&amp;IF(ISNUMBER(Educator!D420),"G"&amp;Educator!D420,Educator!D420)&amp;"-"&amp;"2027"</f>
        <v>CID-FLH----2027</v>
      </c>
      <c r="B415" s="49" t="e" cm="1">
        <f t="array" ref="B415">Educator!B420&amp;" "&amp;_xlfn.IFS(AND(ISNUMBER(Educator!D420),Educator!D420&lt;&gt;9),"Grade "&amp;Educator!D420,Educator!D420=9,"Grade 9-12",ISTEXT(Educator!D420),Educator!D420)&amp;" "&amp;"Florida"&amp;" "&amp;"26-27"</f>
        <v>#N/A</v>
      </c>
      <c r="C415" s="49" t="e">
        <f t="shared" si="7"/>
        <v>#N/A</v>
      </c>
      <c r="E415" s="51" t="s">
        <v>102</v>
      </c>
      <c r="F415" s="49" t="b">
        <f>IF(Educator!B420&gt;0,"active")</f>
        <v>0</v>
      </c>
      <c r="J415" s="49" t="str">
        <f>"BP-"&amp;"TSWFL-"&amp;IF(ISNUMBER(Educator!D420),""&amp;Educator!D420,Educator!D420)&amp;"-"&amp;"2027"</f>
        <v>BP-TSWFL--2027</v>
      </c>
    </row>
    <row r="416" spans="1:10" x14ac:dyDescent="0.2">
      <c r="A4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","#",3))+1,1)&amp;"-"&amp;LEFT(Educator!B421, 3)&amp;"-"&amp;LEFT(Educator!A421, 3)&amp;"-"&amp;IF(ISNUMBER(Educator!D421),"G"&amp;Educator!D421,Educator!D421)&amp;"-"&amp;"2027"</f>
        <v>CID-FLH----2027</v>
      </c>
      <c r="B416" s="49" t="e" cm="1">
        <f t="array" ref="B416">Educator!B421&amp;" "&amp;_xlfn.IFS(AND(ISNUMBER(Educator!D421),Educator!D421&lt;&gt;9),"Grade "&amp;Educator!D421,Educator!D421=9,"Grade 9-12",ISTEXT(Educator!D421),Educator!D421)&amp;" "&amp;"Florida"&amp;" "&amp;"26-27"</f>
        <v>#N/A</v>
      </c>
      <c r="C416" s="49" t="e">
        <f t="shared" si="7"/>
        <v>#N/A</v>
      </c>
      <c r="E416" s="51" t="s">
        <v>102</v>
      </c>
      <c r="F416" s="49" t="b">
        <f>IF(Educator!B421&gt;0,"active")</f>
        <v>0</v>
      </c>
      <c r="J416" s="49" t="str">
        <f>"BP-"&amp;"TSWFL-"&amp;IF(ISNUMBER(Educator!D421),""&amp;Educator!D421,Educator!D421)&amp;"-"&amp;"2027"</f>
        <v>BP-TSWFL--2027</v>
      </c>
    </row>
    <row r="417" spans="1:10" x14ac:dyDescent="0.2">
      <c r="A4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","#",3))+1,1)&amp;"-"&amp;LEFT(Educator!B422, 3)&amp;"-"&amp;LEFT(Educator!A422, 3)&amp;"-"&amp;IF(ISNUMBER(Educator!D422),"G"&amp;Educator!D422,Educator!D422)&amp;"-"&amp;"2027"</f>
        <v>CID-FLH----2027</v>
      </c>
      <c r="B417" s="49" t="e" cm="1">
        <f t="array" ref="B417">Educator!B422&amp;" "&amp;_xlfn.IFS(AND(ISNUMBER(Educator!D422),Educator!D422&lt;&gt;9),"Grade "&amp;Educator!D422,Educator!D422=9,"Grade 9-12",ISTEXT(Educator!D422),Educator!D422)&amp;" "&amp;"Florida"&amp;" "&amp;"26-27"</f>
        <v>#N/A</v>
      </c>
      <c r="C417" s="49" t="e">
        <f t="shared" si="7"/>
        <v>#N/A</v>
      </c>
      <c r="E417" s="51" t="s">
        <v>102</v>
      </c>
      <c r="F417" s="49" t="b">
        <f>IF(Educator!B422&gt;0,"active")</f>
        <v>0</v>
      </c>
      <c r="J417" s="49" t="str">
        <f>"BP-"&amp;"TSWFL-"&amp;IF(ISNUMBER(Educator!D422),""&amp;Educator!D422,Educator!D422)&amp;"-"&amp;"2027"</f>
        <v>BP-TSWFL--2027</v>
      </c>
    </row>
    <row r="418" spans="1:10" x14ac:dyDescent="0.2">
      <c r="A4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","#",3))+1,1)&amp;"-"&amp;LEFT(Educator!B423, 3)&amp;"-"&amp;LEFT(Educator!A423, 3)&amp;"-"&amp;IF(ISNUMBER(Educator!D423),"G"&amp;Educator!D423,Educator!D423)&amp;"-"&amp;"2027"</f>
        <v>CID-FLH----2027</v>
      </c>
      <c r="B418" s="49" t="e" cm="1">
        <f t="array" ref="B418">Educator!B423&amp;" "&amp;_xlfn.IFS(AND(ISNUMBER(Educator!D423),Educator!D423&lt;&gt;9),"Grade "&amp;Educator!D423,Educator!D423=9,"Grade 9-12",ISTEXT(Educator!D423),Educator!D423)&amp;" "&amp;"Florida"&amp;" "&amp;"26-27"</f>
        <v>#N/A</v>
      </c>
      <c r="C418" s="49" t="e">
        <f t="shared" si="7"/>
        <v>#N/A</v>
      </c>
      <c r="E418" s="51" t="s">
        <v>102</v>
      </c>
      <c r="F418" s="49" t="b">
        <f>IF(Educator!B423&gt;0,"active")</f>
        <v>0</v>
      </c>
      <c r="J418" s="49" t="str">
        <f>"BP-"&amp;"TSWFL-"&amp;IF(ISNUMBER(Educator!D423),""&amp;Educator!D423,Educator!D423)&amp;"-"&amp;"2027"</f>
        <v>BP-TSWFL--2027</v>
      </c>
    </row>
    <row r="419" spans="1:10" x14ac:dyDescent="0.2">
      <c r="A4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","#",3))+1,1)&amp;"-"&amp;LEFT(Educator!B424, 3)&amp;"-"&amp;LEFT(Educator!A424, 3)&amp;"-"&amp;IF(ISNUMBER(Educator!D424),"G"&amp;Educator!D424,Educator!D424)&amp;"-"&amp;"2027"</f>
        <v>CID-FLH----2027</v>
      </c>
      <c r="B419" s="49" t="e" cm="1">
        <f t="array" ref="B419">Educator!B424&amp;" "&amp;_xlfn.IFS(AND(ISNUMBER(Educator!D424),Educator!D424&lt;&gt;9),"Grade "&amp;Educator!D424,Educator!D424=9,"Grade 9-12",ISTEXT(Educator!D424),Educator!D424)&amp;" "&amp;"Florida"&amp;" "&amp;"26-27"</f>
        <v>#N/A</v>
      </c>
      <c r="C419" s="49" t="e">
        <f t="shared" si="7"/>
        <v>#N/A</v>
      </c>
      <c r="E419" s="51" t="s">
        <v>102</v>
      </c>
      <c r="F419" s="49" t="b">
        <f>IF(Educator!B424&gt;0,"active")</f>
        <v>0</v>
      </c>
      <c r="J419" s="49" t="str">
        <f>"BP-"&amp;"TSWFL-"&amp;IF(ISNUMBER(Educator!D424),""&amp;Educator!D424,Educator!D424)&amp;"-"&amp;"2027"</f>
        <v>BP-TSWFL--2027</v>
      </c>
    </row>
    <row r="420" spans="1:10" x14ac:dyDescent="0.2">
      <c r="A4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","#",3))+1,1)&amp;"-"&amp;LEFT(Educator!B425, 3)&amp;"-"&amp;LEFT(Educator!A425, 3)&amp;"-"&amp;IF(ISNUMBER(Educator!D425),"G"&amp;Educator!D425,Educator!D425)&amp;"-"&amp;"2027"</f>
        <v>CID-FLH----2027</v>
      </c>
      <c r="B420" s="49" t="e" cm="1">
        <f t="array" ref="B420">Educator!B425&amp;" "&amp;_xlfn.IFS(AND(ISNUMBER(Educator!D425),Educator!D425&lt;&gt;9),"Grade "&amp;Educator!D425,Educator!D425=9,"Grade 9-12",ISTEXT(Educator!D425),Educator!D425)&amp;" "&amp;"Florida"&amp;" "&amp;"26-27"</f>
        <v>#N/A</v>
      </c>
      <c r="C420" s="49" t="e">
        <f t="shared" si="7"/>
        <v>#N/A</v>
      </c>
      <c r="E420" s="51" t="s">
        <v>102</v>
      </c>
      <c r="F420" s="49" t="b">
        <f>IF(Educator!B425&gt;0,"active")</f>
        <v>0</v>
      </c>
      <c r="J420" s="49" t="str">
        <f>"BP-"&amp;"TSWFL-"&amp;IF(ISNUMBER(Educator!D425),""&amp;Educator!D425,Educator!D425)&amp;"-"&amp;"2027"</f>
        <v>BP-TSWFL--2027</v>
      </c>
    </row>
    <row r="421" spans="1:10" x14ac:dyDescent="0.2">
      <c r="A4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","#",3))+1,1)&amp;"-"&amp;LEFT(Educator!B426, 3)&amp;"-"&amp;LEFT(Educator!A426, 3)&amp;"-"&amp;IF(ISNUMBER(Educator!D426),"G"&amp;Educator!D426,Educator!D426)&amp;"-"&amp;"2027"</f>
        <v>CID-FLH----2027</v>
      </c>
      <c r="B421" s="49" t="e" cm="1">
        <f t="array" ref="B421">Educator!B426&amp;" "&amp;_xlfn.IFS(AND(ISNUMBER(Educator!D426),Educator!D426&lt;&gt;9),"Grade "&amp;Educator!D426,Educator!D426=9,"Grade 9-12",ISTEXT(Educator!D426),Educator!D426)&amp;" "&amp;"Florida"&amp;" "&amp;"26-27"</f>
        <v>#N/A</v>
      </c>
      <c r="C421" s="49" t="e">
        <f t="shared" si="7"/>
        <v>#N/A</v>
      </c>
      <c r="E421" s="51" t="s">
        <v>102</v>
      </c>
      <c r="F421" s="49" t="b">
        <f>IF(Educator!B426&gt;0,"active")</f>
        <v>0</v>
      </c>
      <c r="J421" s="49" t="str">
        <f>"BP-"&amp;"TSWFL-"&amp;IF(ISNUMBER(Educator!D426),""&amp;Educator!D426,Educator!D426)&amp;"-"&amp;"2027"</f>
        <v>BP-TSWFL--2027</v>
      </c>
    </row>
    <row r="422" spans="1:10" x14ac:dyDescent="0.2">
      <c r="A4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","#",3))+1,1)&amp;"-"&amp;LEFT(Educator!B427, 3)&amp;"-"&amp;LEFT(Educator!A427, 3)&amp;"-"&amp;IF(ISNUMBER(Educator!D427),"G"&amp;Educator!D427,Educator!D427)&amp;"-"&amp;"2027"</f>
        <v>CID-FLH----2027</v>
      </c>
      <c r="B422" s="49" t="e" cm="1">
        <f t="array" ref="B422">Educator!B427&amp;" "&amp;_xlfn.IFS(AND(ISNUMBER(Educator!D427),Educator!D427&lt;&gt;9),"Grade "&amp;Educator!D427,Educator!D427=9,"Grade 9-12",ISTEXT(Educator!D427),Educator!D427)&amp;" "&amp;"Florida"&amp;" "&amp;"26-27"</f>
        <v>#N/A</v>
      </c>
      <c r="C422" s="49" t="e">
        <f t="shared" si="7"/>
        <v>#N/A</v>
      </c>
      <c r="E422" s="51" t="s">
        <v>102</v>
      </c>
      <c r="F422" s="49" t="b">
        <f>IF(Educator!B427&gt;0,"active")</f>
        <v>0</v>
      </c>
      <c r="J422" s="49" t="str">
        <f>"BP-"&amp;"TSWFL-"&amp;IF(ISNUMBER(Educator!D427),""&amp;Educator!D427,Educator!D427)&amp;"-"&amp;"2027"</f>
        <v>BP-TSWFL--2027</v>
      </c>
    </row>
    <row r="423" spans="1:10" x14ac:dyDescent="0.2">
      <c r="A4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","#",3))+1,1)&amp;"-"&amp;LEFT(Educator!B428, 3)&amp;"-"&amp;LEFT(Educator!A428, 3)&amp;"-"&amp;IF(ISNUMBER(Educator!D428),"G"&amp;Educator!D428,Educator!D428)&amp;"-"&amp;"2027"</f>
        <v>CID-FLH----2027</v>
      </c>
      <c r="B423" s="49" t="e" cm="1">
        <f t="array" ref="B423">Educator!B428&amp;" "&amp;_xlfn.IFS(AND(ISNUMBER(Educator!D428),Educator!D428&lt;&gt;9),"Grade "&amp;Educator!D428,Educator!D428=9,"Grade 9-12",ISTEXT(Educator!D428),Educator!D428)&amp;" "&amp;"Florida"&amp;" "&amp;"26-27"</f>
        <v>#N/A</v>
      </c>
      <c r="C423" s="49" t="e">
        <f t="shared" si="7"/>
        <v>#N/A</v>
      </c>
      <c r="E423" s="51" t="s">
        <v>102</v>
      </c>
      <c r="F423" s="49" t="b">
        <f>IF(Educator!B428&gt;0,"active")</f>
        <v>0</v>
      </c>
      <c r="J423" s="49" t="str">
        <f>"BP-"&amp;"TSWFL-"&amp;IF(ISNUMBER(Educator!D428),""&amp;Educator!D428,Educator!D428)&amp;"-"&amp;"2027"</f>
        <v>BP-TSWFL--2027</v>
      </c>
    </row>
    <row r="424" spans="1:10" x14ac:dyDescent="0.2">
      <c r="A4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","#",3))+1,1)&amp;"-"&amp;LEFT(Educator!B429, 3)&amp;"-"&amp;LEFT(Educator!A429, 3)&amp;"-"&amp;IF(ISNUMBER(Educator!D429),"G"&amp;Educator!D429,Educator!D429)&amp;"-"&amp;"2027"</f>
        <v>CID-FLH----2027</v>
      </c>
      <c r="B424" s="49" t="e" cm="1">
        <f t="array" ref="B424">Educator!B429&amp;" "&amp;_xlfn.IFS(AND(ISNUMBER(Educator!D429),Educator!D429&lt;&gt;9),"Grade "&amp;Educator!D429,Educator!D429=9,"Grade 9-12",ISTEXT(Educator!D429),Educator!D429)&amp;" "&amp;"Florida"&amp;" "&amp;"26-27"</f>
        <v>#N/A</v>
      </c>
      <c r="C424" s="49" t="e">
        <f t="shared" si="7"/>
        <v>#N/A</v>
      </c>
      <c r="E424" s="51" t="s">
        <v>102</v>
      </c>
      <c r="F424" s="49" t="b">
        <f>IF(Educator!B429&gt;0,"active")</f>
        <v>0</v>
      </c>
      <c r="J424" s="49" t="str">
        <f>"BP-"&amp;"TSWFL-"&amp;IF(ISNUMBER(Educator!D429),""&amp;Educator!D429,Educator!D429)&amp;"-"&amp;"2027"</f>
        <v>BP-TSWFL--2027</v>
      </c>
    </row>
    <row r="425" spans="1:10" x14ac:dyDescent="0.2">
      <c r="A4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","#",3))+1,1)&amp;"-"&amp;LEFT(Educator!B430, 3)&amp;"-"&amp;LEFT(Educator!A430, 3)&amp;"-"&amp;IF(ISNUMBER(Educator!D430),"G"&amp;Educator!D430,Educator!D430)&amp;"-"&amp;"2027"</f>
        <v>CID-FLH----2027</v>
      </c>
      <c r="B425" s="49" t="e" cm="1">
        <f t="array" ref="B425">Educator!B430&amp;" "&amp;_xlfn.IFS(AND(ISNUMBER(Educator!D430),Educator!D430&lt;&gt;9),"Grade "&amp;Educator!D430,Educator!D430=9,"Grade 9-12",ISTEXT(Educator!D430),Educator!D430)&amp;" "&amp;"Florida"&amp;" "&amp;"26-27"</f>
        <v>#N/A</v>
      </c>
      <c r="C425" s="49" t="e">
        <f t="shared" si="7"/>
        <v>#N/A</v>
      </c>
      <c r="E425" s="51" t="s">
        <v>102</v>
      </c>
      <c r="F425" s="49" t="b">
        <f>IF(Educator!B430&gt;0,"active")</f>
        <v>0</v>
      </c>
      <c r="J425" s="49" t="str">
        <f>"BP-"&amp;"TSWFL-"&amp;IF(ISNUMBER(Educator!D430),""&amp;Educator!D430,Educator!D430)&amp;"-"&amp;"2027"</f>
        <v>BP-TSWFL--2027</v>
      </c>
    </row>
    <row r="426" spans="1:10" x14ac:dyDescent="0.2">
      <c r="A4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","#",3))+1,1)&amp;"-"&amp;LEFT(Educator!B431, 3)&amp;"-"&amp;LEFT(Educator!A431, 3)&amp;"-"&amp;IF(ISNUMBER(Educator!D431),"G"&amp;Educator!D431,Educator!D431)&amp;"-"&amp;"2027"</f>
        <v>CID-FLH----2027</v>
      </c>
      <c r="B426" s="49" t="e" cm="1">
        <f t="array" ref="B426">Educator!B431&amp;" "&amp;_xlfn.IFS(AND(ISNUMBER(Educator!D431),Educator!D431&lt;&gt;9),"Grade "&amp;Educator!D431,Educator!D431=9,"Grade 9-12",ISTEXT(Educator!D431),Educator!D431)&amp;" "&amp;"Florida"&amp;" "&amp;"26-27"</f>
        <v>#N/A</v>
      </c>
      <c r="C426" s="49" t="e">
        <f t="shared" si="7"/>
        <v>#N/A</v>
      </c>
      <c r="E426" s="51" t="s">
        <v>102</v>
      </c>
      <c r="F426" s="49" t="b">
        <f>IF(Educator!B431&gt;0,"active")</f>
        <v>0</v>
      </c>
      <c r="J426" s="49" t="str">
        <f>"BP-"&amp;"TSWFL-"&amp;IF(ISNUMBER(Educator!D431),""&amp;Educator!D431,Educator!D431)&amp;"-"&amp;"2027"</f>
        <v>BP-TSWFL--2027</v>
      </c>
    </row>
    <row r="427" spans="1:10" x14ac:dyDescent="0.2">
      <c r="A4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","#",3))+1,1)&amp;"-"&amp;LEFT(Educator!B432, 3)&amp;"-"&amp;LEFT(Educator!A432, 3)&amp;"-"&amp;IF(ISNUMBER(Educator!D432),"G"&amp;Educator!D432,Educator!D432)&amp;"-"&amp;"2027"</f>
        <v>CID-FLH----2027</v>
      </c>
      <c r="B427" s="49" t="e" cm="1">
        <f t="array" ref="B427">Educator!B432&amp;" "&amp;_xlfn.IFS(AND(ISNUMBER(Educator!D432),Educator!D432&lt;&gt;9),"Grade "&amp;Educator!D432,Educator!D432=9,"Grade 9-12",ISTEXT(Educator!D432),Educator!D432)&amp;" "&amp;"Florida"&amp;" "&amp;"26-27"</f>
        <v>#N/A</v>
      </c>
      <c r="C427" s="49" t="e">
        <f t="shared" si="7"/>
        <v>#N/A</v>
      </c>
      <c r="E427" s="51" t="s">
        <v>102</v>
      </c>
      <c r="F427" s="49" t="b">
        <f>IF(Educator!B432&gt;0,"active")</f>
        <v>0</v>
      </c>
      <c r="J427" s="49" t="str">
        <f>"BP-"&amp;"TSWFL-"&amp;IF(ISNUMBER(Educator!D432),""&amp;Educator!D432,Educator!D432)&amp;"-"&amp;"2027"</f>
        <v>BP-TSWFL--2027</v>
      </c>
    </row>
    <row r="428" spans="1:10" x14ac:dyDescent="0.2">
      <c r="A4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","#",3))+1,1)&amp;"-"&amp;LEFT(Educator!B433, 3)&amp;"-"&amp;LEFT(Educator!A433, 3)&amp;"-"&amp;IF(ISNUMBER(Educator!D433),"G"&amp;Educator!D433,Educator!D433)&amp;"-"&amp;"2027"</f>
        <v>CID-FLH----2027</v>
      </c>
      <c r="B428" s="49" t="e" cm="1">
        <f t="array" ref="B428">Educator!B433&amp;" "&amp;_xlfn.IFS(AND(ISNUMBER(Educator!D433),Educator!D433&lt;&gt;9),"Grade "&amp;Educator!D433,Educator!D433=9,"Grade 9-12",ISTEXT(Educator!D433),Educator!D433)&amp;" "&amp;"Florida"&amp;" "&amp;"26-27"</f>
        <v>#N/A</v>
      </c>
      <c r="C428" s="49" t="e">
        <f t="shared" si="7"/>
        <v>#N/A</v>
      </c>
      <c r="E428" s="51" t="s">
        <v>102</v>
      </c>
      <c r="F428" s="49" t="b">
        <f>IF(Educator!B433&gt;0,"active")</f>
        <v>0</v>
      </c>
      <c r="J428" s="49" t="str">
        <f>"BP-"&amp;"TSWFL-"&amp;IF(ISNUMBER(Educator!D433),""&amp;Educator!D433,Educator!D433)&amp;"-"&amp;"2027"</f>
        <v>BP-TSWFL--2027</v>
      </c>
    </row>
    <row r="429" spans="1:10" x14ac:dyDescent="0.2">
      <c r="A4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","#",3))+1,1)&amp;"-"&amp;LEFT(Educator!B434, 3)&amp;"-"&amp;LEFT(Educator!A434, 3)&amp;"-"&amp;IF(ISNUMBER(Educator!D434),"G"&amp;Educator!D434,Educator!D434)&amp;"-"&amp;"2027"</f>
        <v>CID-FLH----2027</v>
      </c>
      <c r="B429" s="49" t="e" cm="1">
        <f t="array" ref="B429">Educator!B434&amp;" "&amp;_xlfn.IFS(AND(ISNUMBER(Educator!D434),Educator!D434&lt;&gt;9),"Grade "&amp;Educator!D434,Educator!D434=9,"Grade 9-12",ISTEXT(Educator!D434),Educator!D434)&amp;" "&amp;"Florida"&amp;" "&amp;"26-27"</f>
        <v>#N/A</v>
      </c>
      <c r="C429" s="49" t="e">
        <f t="shared" si="7"/>
        <v>#N/A</v>
      </c>
      <c r="E429" s="51" t="s">
        <v>102</v>
      </c>
      <c r="F429" s="49" t="b">
        <f>IF(Educator!B434&gt;0,"active")</f>
        <v>0</v>
      </c>
      <c r="J429" s="49" t="str">
        <f>"BP-"&amp;"TSWFL-"&amp;IF(ISNUMBER(Educator!D434),""&amp;Educator!D434,Educator!D434)&amp;"-"&amp;"2027"</f>
        <v>BP-TSWFL--2027</v>
      </c>
    </row>
    <row r="430" spans="1:10" x14ac:dyDescent="0.2">
      <c r="A4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","#",3))+1,1)&amp;"-"&amp;LEFT(Educator!B435, 3)&amp;"-"&amp;LEFT(Educator!A435, 3)&amp;"-"&amp;IF(ISNUMBER(Educator!D435),"G"&amp;Educator!D435,Educator!D435)&amp;"-"&amp;"2027"</f>
        <v>CID-FLH----2027</v>
      </c>
      <c r="B430" s="49" t="e" cm="1">
        <f t="array" ref="B430">Educator!B435&amp;" "&amp;_xlfn.IFS(AND(ISNUMBER(Educator!D435),Educator!D435&lt;&gt;9),"Grade "&amp;Educator!D435,Educator!D435=9,"Grade 9-12",ISTEXT(Educator!D435),Educator!D435)&amp;" "&amp;"Florida"&amp;" "&amp;"26-27"</f>
        <v>#N/A</v>
      </c>
      <c r="C430" s="49" t="e">
        <f t="shared" si="7"/>
        <v>#N/A</v>
      </c>
      <c r="E430" s="51" t="s">
        <v>102</v>
      </c>
      <c r="F430" s="49" t="b">
        <f>IF(Educator!B435&gt;0,"active")</f>
        <v>0</v>
      </c>
      <c r="J430" s="49" t="str">
        <f>"BP-"&amp;"TSWFL-"&amp;IF(ISNUMBER(Educator!D435),""&amp;Educator!D435,Educator!D435)&amp;"-"&amp;"2027"</f>
        <v>BP-TSWFL--2027</v>
      </c>
    </row>
    <row r="431" spans="1:10" x14ac:dyDescent="0.2">
      <c r="A4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","#",3))+1,1)&amp;"-"&amp;LEFT(Educator!B436, 3)&amp;"-"&amp;LEFT(Educator!A436, 3)&amp;"-"&amp;IF(ISNUMBER(Educator!D436),"G"&amp;Educator!D436,Educator!D436)&amp;"-"&amp;"2027"</f>
        <v>CID-FLH----2027</v>
      </c>
      <c r="B431" s="49" t="e" cm="1">
        <f t="array" ref="B431">Educator!B436&amp;" "&amp;_xlfn.IFS(AND(ISNUMBER(Educator!D436),Educator!D436&lt;&gt;9),"Grade "&amp;Educator!D436,Educator!D436=9,"Grade 9-12",ISTEXT(Educator!D436),Educator!D436)&amp;" "&amp;"Florida"&amp;" "&amp;"26-27"</f>
        <v>#N/A</v>
      </c>
      <c r="C431" s="49" t="e">
        <f t="shared" si="7"/>
        <v>#N/A</v>
      </c>
      <c r="E431" s="51" t="s">
        <v>102</v>
      </c>
      <c r="F431" s="49" t="b">
        <f>IF(Educator!B436&gt;0,"active")</f>
        <v>0</v>
      </c>
      <c r="J431" s="49" t="str">
        <f>"BP-"&amp;"TSWFL-"&amp;IF(ISNUMBER(Educator!D436),""&amp;Educator!D436,Educator!D436)&amp;"-"&amp;"2027"</f>
        <v>BP-TSWFL--2027</v>
      </c>
    </row>
    <row r="432" spans="1:10" x14ac:dyDescent="0.2">
      <c r="A4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","#",3))+1,1)&amp;"-"&amp;LEFT(Educator!B437, 3)&amp;"-"&amp;LEFT(Educator!A437, 3)&amp;"-"&amp;IF(ISNUMBER(Educator!D437),"G"&amp;Educator!D437,Educator!D437)&amp;"-"&amp;"2027"</f>
        <v>CID-FLH----2027</v>
      </c>
      <c r="B432" s="49" t="e" cm="1">
        <f t="array" ref="B432">Educator!B437&amp;" "&amp;_xlfn.IFS(AND(ISNUMBER(Educator!D437),Educator!D437&lt;&gt;9),"Grade "&amp;Educator!D437,Educator!D437=9,"Grade 9-12",ISTEXT(Educator!D437),Educator!D437)&amp;" "&amp;"Florida"&amp;" "&amp;"26-27"</f>
        <v>#N/A</v>
      </c>
      <c r="C432" s="49" t="e">
        <f t="shared" si="7"/>
        <v>#N/A</v>
      </c>
      <c r="E432" s="51" t="s">
        <v>102</v>
      </c>
      <c r="F432" s="49" t="b">
        <f>IF(Educator!B437&gt;0,"active")</f>
        <v>0</v>
      </c>
      <c r="J432" s="49" t="str">
        <f>"BP-"&amp;"TSWFL-"&amp;IF(ISNUMBER(Educator!D437),""&amp;Educator!D437,Educator!D437)&amp;"-"&amp;"2027"</f>
        <v>BP-TSWFL--2027</v>
      </c>
    </row>
    <row r="433" spans="1:10" x14ac:dyDescent="0.2">
      <c r="A4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","#",3))+1,1)&amp;"-"&amp;LEFT(Educator!B438, 3)&amp;"-"&amp;LEFT(Educator!A438, 3)&amp;"-"&amp;IF(ISNUMBER(Educator!D438),"G"&amp;Educator!D438,Educator!D438)&amp;"-"&amp;"2027"</f>
        <v>CID-FLH----2027</v>
      </c>
      <c r="B433" s="49" t="e" cm="1">
        <f t="array" ref="B433">Educator!B438&amp;" "&amp;_xlfn.IFS(AND(ISNUMBER(Educator!D438),Educator!D438&lt;&gt;9),"Grade "&amp;Educator!D438,Educator!D438=9,"Grade 9-12",ISTEXT(Educator!D438),Educator!D438)&amp;" "&amp;"Florida"&amp;" "&amp;"26-27"</f>
        <v>#N/A</v>
      </c>
      <c r="C433" s="49" t="e">
        <f t="shared" si="7"/>
        <v>#N/A</v>
      </c>
      <c r="E433" s="51" t="s">
        <v>102</v>
      </c>
      <c r="F433" s="49" t="b">
        <f>IF(Educator!B438&gt;0,"active")</f>
        <v>0</v>
      </c>
      <c r="J433" s="49" t="str">
        <f>"BP-"&amp;"TSWFL-"&amp;IF(ISNUMBER(Educator!D438),""&amp;Educator!D438,Educator!D438)&amp;"-"&amp;"2027"</f>
        <v>BP-TSWFL--2027</v>
      </c>
    </row>
    <row r="434" spans="1:10" x14ac:dyDescent="0.2">
      <c r="A4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","#",3))+1,1)&amp;"-"&amp;LEFT(Educator!B439, 3)&amp;"-"&amp;LEFT(Educator!A439, 3)&amp;"-"&amp;IF(ISNUMBER(Educator!D439),"G"&amp;Educator!D439,Educator!D439)&amp;"-"&amp;"2027"</f>
        <v>CID-FLH----2027</v>
      </c>
      <c r="B434" s="49" t="e" cm="1">
        <f t="array" ref="B434">Educator!B439&amp;" "&amp;_xlfn.IFS(AND(ISNUMBER(Educator!D439),Educator!D439&lt;&gt;9),"Grade "&amp;Educator!D439,Educator!D439=9,"Grade 9-12",ISTEXT(Educator!D439),Educator!D439)&amp;" "&amp;"Florida"&amp;" "&amp;"26-27"</f>
        <v>#N/A</v>
      </c>
      <c r="C434" s="49" t="e">
        <f t="shared" si="7"/>
        <v>#N/A</v>
      </c>
      <c r="E434" s="51" t="s">
        <v>102</v>
      </c>
      <c r="F434" s="49" t="b">
        <f>IF(Educator!B439&gt;0,"active")</f>
        <v>0</v>
      </c>
      <c r="J434" s="49" t="str">
        <f>"BP-"&amp;"TSWFL-"&amp;IF(ISNUMBER(Educator!D439),""&amp;Educator!D439,Educator!D439)&amp;"-"&amp;"2027"</f>
        <v>BP-TSWFL--2027</v>
      </c>
    </row>
    <row r="435" spans="1:10" x14ac:dyDescent="0.2">
      <c r="A4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","#",3))+1,1)&amp;"-"&amp;LEFT(Educator!B440, 3)&amp;"-"&amp;LEFT(Educator!A440, 3)&amp;"-"&amp;IF(ISNUMBER(Educator!D440),"G"&amp;Educator!D440,Educator!D440)&amp;"-"&amp;"2027"</f>
        <v>CID-FLH----2027</v>
      </c>
      <c r="B435" s="49" t="e" cm="1">
        <f t="array" ref="B435">Educator!B440&amp;" "&amp;_xlfn.IFS(AND(ISNUMBER(Educator!D440),Educator!D440&lt;&gt;9),"Grade "&amp;Educator!D440,Educator!D440=9,"Grade 9-12",ISTEXT(Educator!D440),Educator!D440)&amp;" "&amp;"Florida"&amp;" "&amp;"26-27"</f>
        <v>#N/A</v>
      </c>
      <c r="C435" s="49" t="e">
        <f t="shared" si="7"/>
        <v>#N/A</v>
      </c>
      <c r="E435" s="51" t="s">
        <v>102</v>
      </c>
      <c r="F435" s="49" t="b">
        <f>IF(Educator!B440&gt;0,"active")</f>
        <v>0</v>
      </c>
      <c r="J435" s="49" t="str">
        <f>"BP-"&amp;"TSWFL-"&amp;IF(ISNUMBER(Educator!D440),""&amp;Educator!D440,Educator!D440)&amp;"-"&amp;"2027"</f>
        <v>BP-TSWFL--2027</v>
      </c>
    </row>
    <row r="436" spans="1:10" x14ac:dyDescent="0.2">
      <c r="A4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","#",3))+1,1)&amp;"-"&amp;LEFT(Educator!B441, 3)&amp;"-"&amp;LEFT(Educator!A441, 3)&amp;"-"&amp;IF(ISNUMBER(Educator!D441),"G"&amp;Educator!D441,Educator!D441)&amp;"-"&amp;"2027"</f>
        <v>CID-FLH----2027</v>
      </c>
      <c r="B436" s="49" t="e" cm="1">
        <f t="array" ref="B436">Educator!B441&amp;" "&amp;_xlfn.IFS(AND(ISNUMBER(Educator!D441),Educator!D441&lt;&gt;9),"Grade "&amp;Educator!D441,Educator!D441=9,"Grade 9-12",ISTEXT(Educator!D441),Educator!D441)&amp;" "&amp;"Florida"&amp;" "&amp;"26-27"</f>
        <v>#N/A</v>
      </c>
      <c r="C436" s="49" t="e">
        <f t="shared" si="7"/>
        <v>#N/A</v>
      </c>
      <c r="E436" s="51" t="s">
        <v>102</v>
      </c>
      <c r="F436" s="49" t="b">
        <f>IF(Educator!B441&gt;0,"active")</f>
        <v>0</v>
      </c>
      <c r="J436" s="49" t="str">
        <f>"BP-"&amp;"TSWFL-"&amp;IF(ISNUMBER(Educator!D441),""&amp;Educator!D441,Educator!D441)&amp;"-"&amp;"2027"</f>
        <v>BP-TSWFL--2027</v>
      </c>
    </row>
    <row r="437" spans="1:10" x14ac:dyDescent="0.2">
      <c r="A4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","#",3))+1,1)&amp;"-"&amp;LEFT(Educator!B442, 3)&amp;"-"&amp;LEFT(Educator!A442, 3)&amp;"-"&amp;IF(ISNUMBER(Educator!D442),"G"&amp;Educator!D442,Educator!D442)&amp;"-"&amp;"2027"</f>
        <v>CID-FLH----2027</v>
      </c>
      <c r="B437" s="49" t="e" cm="1">
        <f t="array" ref="B437">Educator!B442&amp;" "&amp;_xlfn.IFS(AND(ISNUMBER(Educator!D442),Educator!D442&lt;&gt;9),"Grade "&amp;Educator!D442,Educator!D442=9,"Grade 9-12",ISTEXT(Educator!D442),Educator!D442)&amp;" "&amp;"Florida"&amp;" "&amp;"26-27"</f>
        <v>#N/A</v>
      </c>
      <c r="C437" s="49" t="e">
        <f t="shared" si="7"/>
        <v>#N/A</v>
      </c>
      <c r="E437" s="51" t="s">
        <v>102</v>
      </c>
      <c r="F437" s="49" t="b">
        <f>IF(Educator!B442&gt;0,"active")</f>
        <v>0</v>
      </c>
      <c r="J437" s="49" t="str">
        <f>"BP-"&amp;"TSWFL-"&amp;IF(ISNUMBER(Educator!D442),""&amp;Educator!D442,Educator!D442)&amp;"-"&amp;"2027"</f>
        <v>BP-TSWFL--2027</v>
      </c>
    </row>
    <row r="438" spans="1:10" x14ac:dyDescent="0.2">
      <c r="A4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","#",3))+1,1)&amp;"-"&amp;LEFT(Educator!B443, 3)&amp;"-"&amp;LEFT(Educator!A443, 3)&amp;"-"&amp;IF(ISNUMBER(Educator!D443),"G"&amp;Educator!D443,Educator!D443)&amp;"-"&amp;"2027"</f>
        <v>CID-FLH----2027</v>
      </c>
      <c r="B438" s="49" t="e" cm="1">
        <f t="array" ref="B438">Educator!B443&amp;" "&amp;_xlfn.IFS(AND(ISNUMBER(Educator!D443),Educator!D443&lt;&gt;9),"Grade "&amp;Educator!D443,Educator!D443=9,"Grade 9-12",ISTEXT(Educator!D443),Educator!D443)&amp;" "&amp;"Florida"&amp;" "&amp;"26-27"</f>
        <v>#N/A</v>
      </c>
      <c r="C438" s="49" t="e">
        <f t="shared" si="7"/>
        <v>#N/A</v>
      </c>
      <c r="E438" s="51" t="s">
        <v>102</v>
      </c>
      <c r="F438" s="49" t="b">
        <f>IF(Educator!B443&gt;0,"active")</f>
        <v>0</v>
      </c>
      <c r="J438" s="49" t="str">
        <f>"BP-"&amp;"TSWFL-"&amp;IF(ISNUMBER(Educator!D443),""&amp;Educator!D443,Educator!D443)&amp;"-"&amp;"2027"</f>
        <v>BP-TSWFL--2027</v>
      </c>
    </row>
    <row r="439" spans="1:10" x14ac:dyDescent="0.2">
      <c r="A4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","#",3))+1,1)&amp;"-"&amp;LEFT(Educator!B444, 3)&amp;"-"&amp;LEFT(Educator!A444, 3)&amp;"-"&amp;IF(ISNUMBER(Educator!D444),"G"&amp;Educator!D444,Educator!D444)&amp;"-"&amp;"2027"</f>
        <v>CID-FLH----2027</v>
      </c>
      <c r="B439" s="49" t="e" cm="1">
        <f t="array" ref="B439">Educator!B444&amp;" "&amp;_xlfn.IFS(AND(ISNUMBER(Educator!D444),Educator!D444&lt;&gt;9),"Grade "&amp;Educator!D444,Educator!D444=9,"Grade 9-12",ISTEXT(Educator!D444),Educator!D444)&amp;" "&amp;"Florida"&amp;" "&amp;"26-27"</f>
        <v>#N/A</v>
      </c>
      <c r="C439" s="49" t="e">
        <f t="shared" si="7"/>
        <v>#N/A</v>
      </c>
      <c r="E439" s="51" t="s">
        <v>102</v>
      </c>
      <c r="F439" s="49" t="b">
        <f>IF(Educator!B444&gt;0,"active")</f>
        <v>0</v>
      </c>
      <c r="J439" s="49" t="str">
        <f>"BP-"&amp;"TSWFL-"&amp;IF(ISNUMBER(Educator!D444),""&amp;Educator!D444,Educator!D444)&amp;"-"&amp;"2027"</f>
        <v>BP-TSWFL--2027</v>
      </c>
    </row>
    <row r="440" spans="1:10" x14ac:dyDescent="0.2">
      <c r="A4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","#",3))+1,1)&amp;"-"&amp;LEFT(Educator!B445, 3)&amp;"-"&amp;LEFT(Educator!A445, 3)&amp;"-"&amp;IF(ISNUMBER(Educator!D445),"G"&amp;Educator!D445,Educator!D445)&amp;"-"&amp;"2027"</f>
        <v>CID-FLH----2027</v>
      </c>
      <c r="B440" s="49" t="e" cm="1">
        <f t="array" ref="B440">Educator!B445&amp;" "&amp;_xlfn.IFS(AND(ISNUMBER(Educator!D445),Educator!D445&lt;&gt;9),"Grade "&amp;Educator!D445,Educator!D445=9,"Grade 9-12",ISTEXT(Educator!D445),Educator!D445)&amp;" "&amp;"Florida"&amp;" "&amp;"26-27"</f>
        <v>#N/A</v>
      </c>
      <c r="C440" s="49" t="e">
        <f t="shared" si="7"/>
        <v>#N/A</v>
      </c>
      <c r="E440" s="51" t="s">
        <v>102</v>
      </c>
      <c r="F440" s="49" t="b">
        <f>IF(Educator!B445&gt;0,"active")</f>
        <v>0</v>
      </c>
      <c r="J440" s="49" t="str">
        <f>"BP-"&amp;"TSWFL-"&amp;IF(ISNUMBER(Educator!D445),""&amp;Educator!D445,Educator!D445)&amp;"-"&amp;"2027"</f>
        <v>BP-TSWFL--2027</v>
      </c>
    </row>
    <row r="441" spans="1:10" x14ac:dyDescent="0.2">
      <c r="A4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","#",3))+1,1)&amp;"-"&amp;LEFT(Educator!B446, 3)&amp;"-"&amp;LEFT(Educator!A446, 3)&amp;"-"&amp;IF(ISNUMBER(Educator!D446),"G"&amp;Educator!D446,Educator!D446)&amp;"-"&amp;"2027"</f>
        <v>CID-FLH----2027</v>
      </c>
      <c r="B441" s="49" t="e" cm="1">
        <f t="array" ref="B441">Educator!B446&amp;" "&amp;_xlfn.IFS(AND(ISNUMBER(Educator!D446),Educator!D446&lt;&gt;9),"Grade "&amp;Educator!D446,Educator!D446=9,"Grade 9-12",ISTEXT(Educator!D446),Educator!D446)&amp;" "&amp;"Florida"&amp;" "&amp;"26-27"</f>
        <v>#N/A</v>
      </c>
      <c r="C441" s="49" t="e">
        <f t="shared" si="7"/>
        <v>#N/A</v>
      </c>
      <c r="E441" s="51" t="s">
        <v>102</v>
      </c>
      <c r="F441" s="49" t="b">
        <f>IF(Educator!B446&gt;0,"active")</f>
        <v>0</v>
      </c>
      <c r="J441" s="49" t="str">
        <f>"BP-"&amp;"TSWFL-"&amp;IF(ISNUMBER(Educator!D446),""&amp;Educator!D446,Educator!D446)&amp;"-"&amp;"2027"</f>
        <v>BP-TSWFL--2027</v>
      </c>
    </row>
    <row r="442" spans="1:10" x14ac:dyDescent="0.2">
      <c r="A4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","#",3))+1,1)&amp;"-"&amp;LEFT(Educator!B447, 3)&amp;"-"&amp;LEFT(Educator!A447, 3)&amp;"-"&amp;IF(ISNUMBER(Educator!D447),"G"&amp;Educator!D447,Educator!D447)&amp;"-"&amp;"2027"</f>
        <v>CID-FLH----2027</v>
      </c>
      <c r="B442" s="49" t="e" cm="1">
        <f t="array" ref="B442">Educator!B447&amp;" "&amp;_xlfn.IFS(AND(ISNUMBER(Educator!D447),Educator!D447&lt;&gt;9),"Grade "&amp;Educator!D447,Educator!D447=9,"Grade 9-12",ISTEXT(Educator!D447),Educator!D447)&amp;" "&amp;"Florida"&amp;" "&amp;"26-27"</f>
        <v>#N/A</v>
      </c>
      <c r="C442" s="49" t="e">
        <f t="shared" si="7"/>
        <v>#N/A</v>
      </c>
      <c r="E442" s="51" t="s">
        <v>102</v>
      </c>
      <c r="F442" s="49" t="b">
        <f>IF(Educator!B447&gt;0,"active")</f>
        <v>0</v>
      </c>
      <c r="J442" s="49" t="str">
        <f>"BP-"&amp;"TSWFL-"&amp;IF(ISNUMBER(Educator!D447),""&amp;Educator!D447,Educator!D447)&amp;"-"&amp;"2027"</f>
        <v>BP-TSWFL--2027</v>
      </c>
    </row>
    <row r="443" spans="1:10" x14ac:dyDescent="0.2">
      <c r="A4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","#",3))+1,1)&amp;"-"&amp;LEFT(Educator!B448, 3)&amp;"-"&amp;LEFT(Educator!A448, 3)&amp;"-"&amp;IF(ISNUMBER(Educator!D448),"G"&amp;Educator!D448,Educator!D448)&amp;"-"&amp;"2027"</f>
        <v>CID-FLH----2027</v>
      </c>
      <c r="B443" s="49" t="e" cm="1">
        <f t="array" ref="B443">Educator!B448&amp;" "&amp;_xlfn.IFS(AND(ISNUMBER(Educator!D448),Educator!D448&lt;&gt;9),"Grade "&amp;Educator!D448,Educator!D448=9,"Grade 9-12",ISTEXT(Educator!D448),Educator!D448)&amp;" "&amp;"Florida"&amp;" "&amp;"26-27"</f>
        <v>#N/A</v>
      </c>
      <c r="C443" s="49" t="e">
        <f t="shared" si="7"/>
        <v>#N/A</v>
      </c>
      <c r="E443" s="51" t="s">
        <v>102</v>
      </c>
      <c r="F443" s="49" t="b">
        <f>IF(Educator!B448&gt;0,"active")</f>
        <v>0</v>
      </c>
      <c r="J443" s="49" t="str">
        <f>"BP-"&amp;"TSWFL-"&amp;IF(ISNUMBER(Educator!D448),""&amp;Educator!D448,Educator!D448)&amp;"-"&amp;"2027"</f>
        <v>BP-TSWFL--2027</v>
      </c>
    </row>
    <row r="444" spans="1:10" x14ac:dyDescent="0.2">
      <c r="A4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","#",3))+1,1)&amp;"-"&amp;LEFT(Educator!B449, 3)&amp;"-"&amp;LEFT(Educator!A449, 3)&amp;"-"&amp;IF(ISNUMBER(Educator!D449),"G"&amp;Educator!D449,Educator!D449)&amp;"-"&amp;"2027"</f>
        <v>CID-FLH----2027</v>
      </c>
      <c r="B444" s="49" t="e" cm="1">
        <f t="array" ref="B444">Educator!B449&amp;" "&amp;_xlfn.IFS(AND(ISNUMBER(Educator!D449),Educator!D449&lt;&gt;9),"Grade "&amp;Educator!D449,Educator!D449=9,"Grade 9-12",ISTEXT(Educator!D449),Educator!D449)&amp;" "&amp;"Florida"&amp;" "&amp;"26-27"</f>
        <v>#N/A</v>
      </c>
      <c r="C444" s="49" t="e">
        <f t="shared" si="7"/>
        <v>#N/A</v>
      </c>
      <c r="E444" s="51" t="s">
        <v>102</v>
      </c>
      <c r="F444" s="49" t="b">
        <f>IF(Educator!B449&gt;0,"active")</f>
        <v>0</v>
      </c>
      <c r="J444" s="49" t="str">
        <f>"BP-"&amp;"TSWFL-"&amp;IF(ISNUMBER(Educator!D449),""&amp;Educator!D449,Educator!D449)&amp;"-"&amp;"2027"</f>
        <v>BP-TSWFL--2027</v>
      </c>
    </row>
    <row r="445" spans="1:10" x14ac:dyDescent="0.2">
      <c r="A4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","#",3))+1,1)&amp;"-"&amp;LEFT(Educator!B450, 3)&amp;"-"&amp;LEFT(Educator!A450, 3)&amp;"-"&amp;IF(ISNUMBER(Educator!D450),"G"&amp;Educator!D450,Educator!D450)&amp;"-"&amp;"2027"</f>
        <v>CID-FLH----2027</v>
      </c>
      <c r="B445" s="49" t="e" cm="1">
        <f t="array" ref="B445">Educator!B450&amp;" "&amp;_xlfn.IFS(AND(ISNUMBER(Educator!D450),Educator!D450&lt;&gt;9),"Grade "&amp;Educator!D450,Educator!D450=9,"Grade 9-12",ISTEXT(Educator!D450),Educator!D450)&amp;" "&amp;"Florida"&amp;" "&amp;"26-27"</f>
        <v>#N/A</v>
      </c>
      <c r="C445" s="49" t="e">
        <f t="shared" si="7"/>
        <v>#N/A</v>
      </c>
      <c r="E445" s="51" t="s">
        <v>102</v>
      </c>
      <c r="F445" s="49" t="b">
        <f>IF(Educator!B450&gt;0,"active")</f>
        <v>0</v>
      </c>
      <c r="J445" s="49" t="str">
        <f>"BP-"&amp;"TSWFL-"&amp;IF(ISNUMBER(Educator!D450),""&amp;Educator!D450,Educator!D450)&amp;"-"&amp;"2027"</f>
        <v>BP-TSWFL--2027</v>
      </c>
    </row>
    <row r="446" spans="1:10" x14ac:dyDescent="0.2">
      <c r="A4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","#",3))+1,1)&amp;"-"&amp;LEFT(Educator!B451, 3)&amp;"-"&amp;LEFT(Educator!A451, 3)&amp;"-"&amp;IF(ISNUMBER(Educator!D451),"G"&amp;Educator!D451,Educator!D451)&amp;"-"&amp;"2027"</f>
        <v>CID-FLH----2027</v>
      </c>
      <c r="B446" s="49" t="e" cm="1">
        <f t="array" ref="B446">Educator!B451&amp;" "&amp;_xlfn.IFS(AND(ISNUMBER(Educator!D451),Educator!D451&lt;&gt;9),"Grade "&amp;Educator!D451,Educator!D451=9,"Grade 9-12",ISTEXT(Educator!D451),Educator!D451)&amp;" "&amp;"Florida"&amp;" "&amp;"26-27"</f>
        <v>#N/A</v>
      </c>
      <c r="C446" s="49" t="e">
        <f t="shared" si="7"/>
        <v>#N/A</v>
      </c>
      <c r="E446" s="51" t="s">
        <v>102</v>
      </c>
      <c r="F446" s="49" t="b">
        <f>IF(Educator!B451&gt;0,"active")</f>
        <v>0</v>
      </c>
      <c r="J446" s="49" t="str">
        <f>"BP-"&amp;"TSWFL-"&amp;IF(ISNUMBER(Educator!D451),""&amp;Educator!D451,Educator!D451)&amp;"-"&amp;"2027"</f>
        <v>BP-TSWFL--2027</v>
      </c>
    </row>
    <row r="447" spans="1:10" x14ac:dyDescent="0.2">
      <c r="A4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","#",3))+1,1)&amp;"-"&amp;LEFT(Educator!B452, 3)&amp;"-"&amp;LEFT(Educator!A452, 3)&amp;"-"&amp;IF(ISNUMBER(Educator!D452),"G"&amp;Educator!D452,Educator!D452)&amp;"-"&amp;"2027"</f>
        <v>CID-FLH----2027</v>
      </c>
      <c r="B447" s="49" t="e" cm="1">
        <f t="array" ref="B447">Educator!B452&amp;" "&amp;_xlfn.IFS(AND(ISNUMBER(Educator!D452),Educator!D452&lt;&gt;9),"Grade "&amp;Educator!D452,Educator!D452=9,"Grade 9-12",ISTEXT(Educator!D452),Educator!D452)&amp;" "&amp;"Florida"&amp;" "&amp;"26-27"</f>
        <v>#N/A</v>
      </c>
      <c r="C447" s="49" t="e">
        <f t="shared" si="7"/>
        <v>#N/A</v>
      </c>
      <c r="E447" s="51" t="s">
        <v>102</v>
      </c>
      <c r="F447" s="49" t="b">
        <f>IF(Educator!B452&gt;0,"active")</f>
        <v>0</v>
      </c>
      <c r="J447" s="49" t="str">
        <f>"BP-"&amp;"TSWFL-"&amp;IF(ISNUMBER(Educator!D452),""&amp;Educator!D452,Educator!D452)&amp;"-"&amp;"2027"</f>
        <v>BP-TSWFL--2027</v>
      </c>
    </row>
    <row r="448" spans="1:10" x14ac:dyDescent="0.2">
      <c r="A4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","#",3))+1,1)&amp;"-"&amp;LEFT(Educator!B453, 3)&amp;"-"&amp;LEFT(Educator!A453, 3)&amp;"-"&amp;IF(ISNUMBER(Educator!D453),"G"&amp;Educator!D453,Educator!D453)&amp;"-"&amp;"2027"</f>
        <v>CID-FLH----2027</v>
      </c>
      <c r="B448" s="49" t="e" cm="1">
        <f t="array" ref="B448">Educator!B453&amp;" "&amp;_xlfn.IFS(AND(ISNUMBER(Educator!D453),Educator!D453&lt;&gt;9),"Grade "&amp;Educator!D453,Educator!D453=9,"Grade 9-12",ISTEXT(Educator!D453),Educator!D453)&amp;" "&amp;"Florida"&amp;" "&amp;"26-27"</f>
        <v>#N/A</v>
      </c>
      <c r="C448" s="49" t="e">
        <f t="shared" si="7"/>
        <v>#N/A</v>
      </c>
      <c r="E448" s="51" t="s">
        <v>102</v>
      </c>
      <c r="F448" s="49" t="b">
        <f>IF(Educator!B453&gt;0,"active")</f>
        <v>0</v>
      </c>
      <c r="J448" s="49" t="str">
        <f>"BP-"&amp;"TSWFL-"&amp;IF(ISNUMBER(Educator!D453),""&amp;Educator!D453,Educator!D453)&amp;"-"&amp;"2027"</f>
        <v>BP-TSWFL--2027</v>
      </c>
    </row>
    <row r="449" spans="1:10" x14ac:dyDescent="0.2">
      <c r="A4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","#",3))+1,1)&amp;"-"&amp;LEFT(Educator!B454, 3)&amp;"-"&amp;LEFT(Educator!A454, 3)&amp;"-"&amp;IF(ISNUMBER(Educator!D454),"G"&amp;Educator!D454,Educator!D454)&amp;"-"&amp;"2027"</f>
        <v>CID-FLH----2027</v>
      </c>
      <c r="B449" s="49" t="e" cm="1">
        <f t="array" ref="B449">Educator!B454&amp;" "&amp;_xlfn.IFS(AND(ISNUMBER(Educator!D454),Educator!D454&lt;&gt;9),"Grade "&amp;Educator!D454,Educator!D454=9,"Grade 9-12",ISTEXT(Educator!D454),Educator!D454)&amp;" "&amp;"Florida"&amp;" "&amp;"26-27"</f>
        <v>#N/A</v>
      </c>
      <c r="C449" s="49" t="e">
        <f t="shared" si="7"/>
        <v>#N/A</v>
      </c>
      <c r="E449" s="51" t="s">
        <v>102</v>
      </c>
      <c r="F449" s="49" t="b">
        <f>IF(Educator!B454&gt;0,"active")</f>
        <v>0</v>
      </c>
      <c r="J449" s="49" t="str">
        <f>"BP-"&amp;"TSWFL-"&amp;IF(ISNUMBER(Educator!D454),""&amp;Educator!D454,Educator!D454)&amp;"-"&amp;"2027"</f>
        <v>BP-TSWFL--2027</v>
      </c>
    </row>
    <row r="450" spans="1:10" x14ac:dyDescent="0.2">
      <c r="A4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","#",3))+1,1)&amp;"-"&amp;LEFT(Educator!B455, 3)&amp;"-"&amp;LEFT(Educator!A455, 3)&amp;"-"&amp;IF(ISNUMBER(Educator!D455),"G"&amp;Educator!D455,Educator!D455)&amp;"-"&amp;"2027"</f>
        <v>CID-FLH----2027</v>
      </c>
      <c r="B450" s="49" t="e" cm="1">
        <f t="array" ref="B450">Educator!B455&amp;" "&amp;_xlfn.IFS(AND(ISNUMBER(Educator!D455),Educator!D455&lt;&gt;9),"Grade "&amp;Educator!D455,Educator!D455=9,"Grade 9-12",ISTEXT(Educator!D455),Educator!D455)&amp;" "&amp;"Florida"&amp;" "&amp;"26-27"</f>
        <v>#N/A</v>
      </c>
      <c r="C450" s="49" t="e">
        <f t="shared" si="7"/>
        <v>#N/A</v>
      </c>
      <c r="E450" s="51" t="s">
        <v>102</v>
      </c>
      <c r="F450" s="49" t="b">
        <f>IF(Educator!B455&gt;0,"active")</f>
        <v>0</v>
      </c>
      <c r="J450" s="49" t="str">
        <f>"BP-"&amp;"TSWFL-"&amp;IF(ISNUMBER(Educator!D455),""&amp;Educator!D455,Educator!D455)&amp;"-"&amp;"2027"</f>
        <v>BP-TSWFL--2027</v>
      </c>
    </row>
    <row r="451" spans="1:10" x14ac:dyDescent="0.2">
      <c r="A4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","#",3))+1,1)&amp;"-"&amp;LEFT(Educator!B456, 3)&amp;"-"&amp;LEFT(Educator!A456, 3)&amp;"-"&amp;IF(ISNUMBER(Educator!D456),"G"&amp;Educator!D456,Educator!D456)&amp;"-"&amp;"2027"</f>
        <v>CID-FLH----2027</v>
      </c>
      <c r="B451" s="49" t="e" cm="1">
        <f t="array" ref="B451">Educator!B456&amp;" "&amp;_xlfn.IFS(AND(ISNUMBER(Educator!D456),Educator!D456&lt;&gt;9),"Grade "&amp;Educator!D456,Educator!D456=9,"Grade 9-12",ISTEXT(Educator!D456),Educator!D456)&amp;" "&amp;"Florida"&amp;" "&amp;"26-27"</f>
        <v>#N/A</v>
      </c>
      <c r="C451" s="49" t="e">
        <f t="shared" si="7"/>
        <v>#N/A</v>
      </c>
      <c r="E451" s="51" t="s">
        <v>102</v>
      </c>
      <c r="F451" s="49" t="b">
        <f>IF(Educator!B456&gt;0,"active")</f>
        <v>0</v>
      </c>
      <c r="J451" s="49" t="str">
        <f>"BP-"&amp;"TSWFL-"&amp;IF(ISNUMBER(Educator!D456),""&amp;Educator!D456,Educator!D456)&amp;"-"&amp;"2027"</f>
        <v>BP-TSWFL--2027</v>
      </c>
    </row>
    <row r="452" spans="1:10" x14ac:dyDescent="0.2">
      <c r="A4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","#",3))+1,1)&amp;"-"&amp;LEFT(Educator!B457, 3)&amp;"-"&amp;LEFT(Educator!A457, 3)&amp;"-"&amp;IF(ISNUMBER(Educator!D457),"G"&amp;Educator!D457,Educator!D457)&amp;"-"&amp;"2027"</f>
        <v>CID-FLH----2027</v>
      </c>
      <c r="B452" s="49" t="e" cm="1">
        <f t="array" ref="B452">Educator!B457&amp;" "&amp;_xlfn.IFS(AND(ISNUMBER(Educator!D457),Educator!D457&lt;&gt;9),"Grade "&amp;Educator!D457,Educator!D457=9,"Grade 9-12",ISTEXT(Educator!D457),Educator!D457)&amp;" "&amp;"Florida"&amp;" "&amp;"26-27"</f>
        <v>#N/A</v>
      </c>
      <c r="C452" s="49" t="e">
        <f t="shared" si="7"/>
        <v>#N/A</v>
      </c>
      <c r="E452" s="51" t="s">
        <v>102</v>
      </c>
      <c r="F452" s="49" t="b">
        <f>IF(Educator!B457&gt;0,"active")</f>
        <v>0</v>
      </c>
      <c r="J452" s="49" t="str">
        <f>"BP-"&amp;"TSWFL-"&amp;IF(ISNUMBER(Educator!D457),""&amp;Educator!D457,Educator!D457)&amp;"-"&amp;"2027"</f>
        <v>BP-TSWFL--2027</v>
      </c>
    </row>
    <row r="453" spans="1:10" x14ac:dyDescent="0.2">
      <c r="A4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","#",3))+1,1)&amp;"-"&amp;LEFT(Educator!B458, 3)&amp;"-"&amp;LEFT(Educator!A458, 3)&amp;"-"&amp;IF(ISNUMBER(Educator!D458),"G"&amp;Educator!D458,Educator!D458)&amp;"-"&amp;"2027"</f>
        <v>CID-FLH----2027</v>
      </c>
      <c r="B453" s="49" t="e" cm="1">
        <f t="array" ref="B453">Educator!B458&amp;" "&amp;_xlfn.IFS(AND(ISNUMBER(Educator!D458),Educator!D458&lt;&gt;9),"Grade "&amp;Educator!D458,Educator!D458=9,"Grade 9-12",ISTEXT(Educator!D458),Educator!D458)&amp;" "&amp;"Florida"&amp;" "&amp;"26-27"</f>
        <v>#N/A</v>
      </c>
      <c r="C453" s="49" t="e">
        <f t="shared" si="7"/>
        <v>#N/A</v>
      </c>
      <c r="E453" s="51" t="s">
        <v>102</v>
      </c>
      <c r="F453" s="49" t="b">
        <f>IF(Educator!B458&gt;0,"active")</f>
        <v>0</v>
      </c>
      <c r="J453" s="49" t="str">
        <f>"BP-"&amp;"TSWFL-"&amp;IF(ISNUMBER(Educator!D458),""&amp;Educator!D458,Educator!D458)&amp;"-"&amp;"2027"</f>
        <v>BP-TSWFL--2027</v>
      </c>
    </row>
    <row r="454" spans="1:10" x14ac:dyDescent="0.2">
      <c r="A4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","#",3))+1,1)&amp;"-"&amp;LEFT(Educator!B459, 3)&amp;"-"&amp;LEFT(Educator!A459, 3)&amp;"-"&amp;IF(ISNUMBER(Educator!D459),"G"&amp;Educator!D459,Educator!D459)&amp;"-"&amp;"2027"</f>
        <v>CID-FLH----2027</v>
      </c>
      <c r="B454" s="49" t="e" cm="1">
        <f t="array" ref="B454">Educator!B459&amp;" "&amp;_xlfn.IFS(AND(ISNUMBER(Educator!D459),Educator!D459&lt;&gt;9),"Grade "&amp;Educator!D459,Educator!D459=9,"Grade 9-12",ISTEXT(Educator!D459),Educator!D459)&amp;" "&amp;"Florida"&amp;" "&amp;"26-27"</f>
        <v>#N/A</v>
      </c>
      <c r="C454" s="49" t="e">
        <f t="shared" si="7"/>
        <v>#N/A</v>
      </c>
      <c r="E454" s="51" t="s">
        <v>102</v>
      </c>
      <c r="F454" s="49" t="b">
        <f>IF(Educator!B459&gt;0,"active")</f>
        <v>0</v>
      </c>
      <c r="J454" s="49" t="str">
        <f>"BP-"&amp;"TSWFL-"&amp;IF(ISNUMBER(Educator!D459),""&amp;Educator!D459,Educator!D459)&amp;"-"&amp;"2027"</f>
        <v>BP-TSWFL--2027</v>
      </c>
    </row>
    <row r="455" spans="1:10" x14ac:dyDescent="0.2">
      <c r="A4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","#",3))+1,1)&amp;"-"&amp;LEFT(Educator!B460, 3)&amp;"-"&amp;LEFT(Educator!A460, 3)&amp;"-"&amp;IF(ISNUMBER(Educator!D460),"G"&amp;Educator!D460,Educator!D460)&amp;"-"&amp;"2027"</f>
        <v>CID-FLH----2027</v>
      </c>
      <c r="B455" s="49" t="e" cm="1">
        <f t="array" ref="B455">Educator!B460&amp;" "&amp;_xlfn.IFS(AND(ISNUMBER(Educator!D460),Educator!D460&lt;&gt;9),"Grade "&amp;Educator!D460,Educator!D460=9,"Grade 9-12",ISTEXT(Educator!D460),Educator!D460)&amp;" "&amp;"Florida"&amp;" "&amp;"26-27"</f>
        <v>#N/A</v>
      </c>
      <c r="C455" s="49" t="e">
        <f t="shared" si="7"/>
        <v>#N/A</v>
      </c>
      <c r="E455" s="51" t="s">
        <v>102</v>
      </c>
      <c r="F455" s="49" t="b">
        <f>IF(Educator!B460&gt;0,"active")</f>
        <v>0</v>
      </c>
      <c r="J455" s="49" t="str">
        <f>"BP-"&amp;"TSWFL-"&amp;IF(ISNUMBER(Educator!D460),""&amp;Educator!D460,Educator!D460)&amp;"-"&amp;"2027"</f>
        <v>BP-TSWFL--2027</v>
      </c>
    </row>
    <row r="456" spans="1:10" x14ac:dyDescent="0.2">
      <c r="A4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","#",3))+1,1)&amp;"-"&amp;LEFT(Educator!B461, 3)&amp;"-"&amp;LEFT(Educator!A461, 3)&amp;"-"&amp;IF(ISNUMBER(Educator!D461),"G"&amp;Educator!D461,Educator!D461)&amp;"-"&amp;"2027"</f>
        <v>CID-FLH----2027</v>
      </c>
      <c r="B456" s="49" t="e" cm="1">
        <f t="array" ref="B456">Educator!B461&amp;" "&amp;_xlfn.IFS(AND(ISNUMBER(Educator!D461),Educator!D461&lt;&gt;9),"Grade "&amp;Educator!D461,Educator!D461=9,"Grade 9-12",ISTEXT(Educator!D461),Educator!D461)&amp;" "&amp;"Florida"&amp;" "&amp;"26-27"</f>
        <v>#N/A</v>
      </c>
      <c r="C456" s="49" t="e">
        <f t="shared" si="7"/>
        <v>#N/A</v>
      </c>
      <c r="E456" s="51" t="s">
        <v>102</v>
      </c>
      <c r="F456" s="49" t="b">
        <f>IF(Educator!B461&gt;0,"active")</f>
        <v>0</v>
      </c>
      <c r="J456" s="49" t="str">
        <f>"BP-"&amp;"TSWFL-"&amp;IF(ISNUMBER(Educator!D461),""&amp;Educator!D461,Educator!D461)&amp;"-"&amp;"2027"</f>
        <v>BP-TSWFL--2027</v>
      </c>
    </row>
    <row r="457" spans="1:10" x14ac:dyDescent="0.2">
      <c r="A4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","#",3))+1,1)&amp;"-"&amp;LEFT(Educator!B462, 3)&amp;"-"&amp;LEFT(Educator!A462, 3)&amp;"-"&amp;IF(ISNUMBER(Educator!D462),"G"&amp;Educator!D462,Educator!D462)&amp;"-"&amp;"2027"</f>
        <v>CID-FLH----2027</v>
      </c>
      <c r="B457" s="49" t="e" cm="1">
        <f t="array" ref="B457">Educator!B462&amp;" "&amp;_xlfn.IFS(AND(ISNUMBER(Educator!D462),Educator!D462&lt;&gt;9),"Grade "&amp;Educator!D462,Educator!D462=9,"Grade 9-12",ISTEXT(Educator!D462),Educator!D462)&amp;" "&amp;"Florida"&amp;" "&amp;"26-27"</f>
        <v>#N/A</v>
      </c>
      <c r="C457" s="49" t="e">
        <f t="shared" si="7"/>
        <v>#N/A</v>
      </c>
      <c r="E457" s="51" t="s">
        <v>102</v>
      </c>
      <c r="F457" s="49" t="b">
        <f>IF(Educator!B462&gt;0,"active")</f>
        <v>0</v>
      </c>
      <c r="J457" s="49" t="str">
        <f>"BP-"&amp;"TSWFL-"&amp;IF(ISNUMBER(Educator!D462),""&amp;Educator!D462,Educator!D462)&amp;"-"&amp;"2027"</f>
        <v>BP-TSWFL--2027</v>
      </c>
    </row>
    <row r="458" spans="1:10" x14ac:dyDescent="0.2">
      <c r="A4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","#",3))+1,1)&amp;"-"&amp;LEFT(Educator!B463, 3)&amp;"-"&amp;LEFT(Educator!A463, 3)&amp;"-"&amp;IF(ISNUMBER(Educator!D463),"G"&amp;Educator!D463,Educator!D463)&amp;"-"&amp;"2027"</f>
        <v>CID-FLH----2027</v>
      </c>
      <c r="B458" s="49" t="e" cm="1">
        <f t="array" ref="B458">Educator!B463&amp;" "&amp;_xlfn.IFS(AND(ISNUMBER(Educator!D463),Educator!D463&lt;&gt;9),"Grade "&amp;Educator!D463,Educator!D463=9,"Grade 9-12",ISTEXT(Educator!D463),Educator!D463)&amp;" "&amp;"Florida"&amp;" "&amp;"26-27"</f>
        <v>#N/A</v>
      </c>
      <c r="C458" s="49" t="e">
        <f t="shared" si="7"/>
        <v>#N/A</v>
      </c>
      <c r="E458" s="51" t="s">
        <v>102</v>
      </c>
      <c r="F458" s="49" t="b">
        <f>IF(Educator!B463&gt;0,"active")</f>
        <v>0</v>
      </c>
      <c r="J458" s="49" t="str">
        <f>"BP-"&amp;"TSWFL-"&amp;IF(ISNUMBER(Educator!D463),""&amp;Educator!D463,Educator!D463)&amp;"-"&amp;"2027"</f>
        <v>BP-TSWFL--2027</v>
      </c>
    </row>
    <row r="459" spans="1:10" x14ac:dyDescent="0.2">
      <c r="A4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","#",3))+1,1)&amp;"-"&amp;LEFT(Educator!B464, 3)&amp;"-"&amp;LEFT(Educator!A464, 3)&amp;"-"&amp;IF(ISNUMBER(Educator!D464),"G"&amp;Educator!D464,Educator!D464)&amp;"-"&amp;"2027"</f>
        <v>CID-FLH----2027</v>
      </c>
      <c r="B459" s="49" t="e" cm="1">
        <f t="array" ref="B459">Educator!B464&amp;" "&amp;_xlfn.IFS(AND(ISNUMBER(Educator!D464),Educator!D464&lt;&gt;9),"Grade "&amp;Educator!D464,Educator!D464=9,"Grade 9-12",ISTEXT(Educator!D464),Educator!D464)&amp;" "&amp;"Florida"&amp;" "&amp;"26-27"</f>
        <v>#N/A</v>
      </c>
      <c r="C459" s="49" t="e">
        <f t="shared" si="7"/>
        <v>#N/A</v>
      </c>
      <c r="E459" s="51" t="s">
        <v>102</v>
      </c>
      <c r="F459" s="49" t="b">
        <f>IF(Educator!B464&gt;0,"active")</f>
        <v>0</v>
      </c>
      <c r="J459" s="49" t="str">
        <f>"BP-"&amp;"TSWFL-"&amp;IF(ISNUMBER(Educator!D464),""&amp;Educator!D464,Educator!D464)&amp;"-"&amp;"2027"</f>
        <v>BP-TSWFL--2027</v>
      </c>
    </row>
    <row r="460" spans="1:10" x14ac:dyDescent="0.2">
      <c r="A4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","#",3))+1,1)&amp;"-"&amp;LEFT(Educator!B465, 3)&amp;"-"&amp;LEFT(Educator!A465, 3)&amp;"-"&amp;IF(ISNUMBER(Educator!D465),"G"&amp;Educator!D465,Educator!D465)&amp;"-"&amp;"2027"</f>
        <v>CID-FLH----2027</v>
      </c>
      <c r="B460" s="49" t="e" cm="1">
        <f t="array" ref="B460">Educator!B465&amp;" "&amp;_xlfn.IFS(AND(ISNUMBER(Educator!D465),Educator!D465&lt;&gt;9),"Grade "&amp;Educator!D465,Educator!D465=9,"Grade 9-12",ISTEXT(Educator!D465),Educator!D465)&amp;" "&amp;"Florida"&amp;" "&amp;"26-27"</f>
        <v>#N/A</v>
      </c>
      <c r="C460" s="49" t="e">
        <f t="shared" si="7"/>
        <v>#N/A</v>
      </c>
      <c r="E460" s="51" t="s">
        <v>102</v>
      </c>
      <c r="F460" s="49" t="b">
        <f>IF(Educator!B465&gt;0,"active")</f>
        <v>0</v>
      </c>
      <c r="J460" s="49" t="str">
        <f>"BP-"&amp;"TSWFL-"&amp;IF(ISNUMBER(Educator!D465),""&amp;Educator!D465,Educator!D465)&amp;"-"&amp;"2027"</f>
        <v>BP-TSWFL--2027</v>
      </c>
    </row>
    <row r="461" spans="1:10" x14ac:dyDescent="0.2">
      <c r="A4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","#",3))+1,1)&amp;"-"&amp;LEFT(Educator!B466, 3)&amp;"-"&amp;LEFT(Educator!A466, 3)&amp;"-"&amp;IF(ISNUMBER(Educator!D466),"G"&amp;Educator!D466,Educator!D466)&amp;"-"&amp;"2027"</f>
        <v>CID-FLH----2027</v>
      </c>
      <c r="B461" s="49" t="e" cm="1">
        <f t="array" ref="B461">Educator!B466&amp;" "&amp;_xlfn.IFS(AND(ISNUMBER(Educator!D466),Educator!D466&lt;&gt;9),"Grade "&amp;Educator!D466,Educator!D466=9,"Grade 9-12",ISTEXT(Educator!D466),Educator!D466)&amp;" "&amp;"Florida"&amp;" "&amp;"26-27"</f>
        <v>#N/A</v>
      </c>
      <c r="C461" s="49" t="e">
        <f t="shared" si="7"/>
        <v>#N/A</v>
      </c>
      <c r="E461" s="51" t="s">
        <v>102</v>
      </c>
      <c r="F461" s="49" t="b">
        <f>IF(Educator!B466&gt;0,"active")</f>
        <v>0</v>
      </c>
      <c r="J461" s="49" t="str">
        <f>"BP-"&amp;"TSWFL-"&amp;IF(ISNUMBER(Educator!D466),""&amp;Educator!D466,Educator!D466)&amp;"-"&amp;"2027"</f>
        <v>BP-TSWFL--2027</v>
      </c>
    </row>
    <row r="462" spans="1:10" x14ac:dyDescent="0.2">
      <c r="A4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","#",3))+1,1)&amp;"-"&amp;LEFT(Educator!B467, 3)&amp;"-"&amp;LEFT(Educator!A467, 3)&amp;"-"&amp;IF(ISNUMBER(Educator!D467),"G"&amp;Educator!D467,Educator!D467)&amp;"-"&amp;"2027"</f>
        <v>CID-FLH----2027</v>
      </c>
      <c r="B462" s="49" t="e" cm="1">
        <f t="array" ref="B462">Educator!B467&amp;" "&amp;_xlfn.IFS(AND(ISNUMBER(Educator!D467),Educator!D467&lt;&gt;9),"Grade "&amp;Educator!D467,Educator!D467=9,"Grade 9-12",ISTEXT(Educator!D467),Educator!D467)&amp;" "&amp;"Florida"&amp;" "&amp;"26-27"</f>
        <v>#N/A</v>
      </c>
      <c r="C462" s="49" t="e">
        <f t="shared" si="7"/>
        <v>#N/A</v>
      </c>
      <c r="E462" s="51" t="s">
        <v>102</v>
      </c>
      <c r="F462" s="49" t="b">
        <f>IF(Educator!B467&gt;0,"active")</f>
        <v>0</v>
      </c>
      <c r="J462" s="49" t="str">
        <f>"BP-"&amp;"TSWFL-"&amp;IF(ISNUMBER(Educator!D467),""&amp;Educator!D467,Educator!D467)&amp;"-"&amp;"2027"</f>
        <v>BP-TSWFL--2027</v>
      </c>
    </row>
    <row r="463" spans="1:10" x14ac:dyDescent="0.2">
      <c r="A4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","#",3))+1,1)&amp;"-"&amp;LEFT(Educator!B468, 3)&amp;"-"&amp;LEFT(Educator!A468, 3)&amp;"-"&amp;IF(ISNUMBER(Educator!D468),"G"&amp;Educator!D468,Educator!D468)&amp;"-"&amp;"2027"</f>
        <v>CID-FLH----2027</v>
      </c>
      <c r="B463" s="49" t="e" cm="1">
        <f t="array" ref="B463">Educator!B468&amp;" "&amp;_xlfn.IFS(AND(ISNUMBER(Educator!D468),Educator!D468&lt;&gt;9),"Grade "&amp;Educator!D468,Educator!D468=9,"Grade 9-12",ISTEXT(Educator!D468),Educator!D468)&amp;" "&amp;"Florida"&amp;" "&amp;"26-27"</f>
        <v>#N/A</v>
      </c>
      <c r="C463" s="49" t="e">
        <f t="shared" si="7"/>
        <v>#N/A</v>
      </c>
      <c r="E463" s="51" t="s">
        <v>102</v>
      </c>
      <c r="F463" s="49" t="b">
        <f>IF(Educator!B468&gt;0,"active")</f>
        <v>0</v>
      </c>
      <c r="J463" s="49" t="str">
        <f>"BP-"&amp;"TSWFL-"&amp;IF(ISNUMBER(Educator!D468),""&amp;Educator!D468,Educator!D468)&amp;"-"&amp;"2027"</f>
        <v>BP-TSWFL--2027</v>
      </c>
    </row>
    <row r="464" spans="1:10" x14ac:dyDescent="0.2">
      <c r="A4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","#",3))+1,1)&amp;"-"&amp;LEFT(Educator!B469, 3)&amp;"-"&amp;LEFT(Educator!A469, 3)&amp;"-"&amp;IF(ISNUMBER(Educator!D469),"G"&amp;Educator!D469,Educator!D469)&amp;"-"&amp;"2027"</f>
        <v>CID-FLH----2027</v>
      </c>
      <c r="B464" s="49" t="e" cm="1">
        <f t="array" ref="B464">Educator!B469&amp;" "&amp;_xlfn.IFS(AND(ISNUMBER(Educator!D469),Educator!D469&lt;&gt;9),"Grade "&amp;Educator!D469,Educator!D469=9,"Grade 9-12",ISTEXT(Educator!D469),Educator!D469)&amp;" "&amp;"Florida"&amp;" "&amp;"26-27"</f>
        <v>#N/A</v>
      </c>
      <c r="C464" s="49" t="e">
        <f t="shared" si="7"/>
        <v>#N/A</v>
      </c>
      <c r="E464" s="51" t="s">
        <v>102</v>
      </c>
      <c r="F464" s="49" t="b">
        <f>IF(Educator!B469&gt;0,"active")</f>
        <v>0</v>
      </c>
      <c r="J464" s="49" t="str">
        <f>"BP-"&amp;"TSWFL-"&amp;IF(ISNUMBER(Educator!D469),""&amp;Educator!D469,Educator!D469)&amp;"-"&amp;"2027"</f>
        <v>BP-TSWFL--2027</v>
      </c>
    </row>
    <row r="465" spans="1:10" x14ac:dyDescent="0.2">
      <c r="A4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","#",3))+1,1)&amp;"-"&amp;LEFT(Educator!B470, 3)&amp;"-"&amp;LEFT(Educator!A470, 3)&amp;"-"&amp;IF(ISNUMBER(Educator!D470),"G"&amp;Educator!D470,Educator!D470)&amp;"-"&amp;"2027"</f>
        <v>CID-FLH----2027</v>
      </c>
      <c r="B465" s="49" t="e" cm="1">
        <f t="array" ref="B465">Educator!B470&amp;" "&amp;_xlfn.IFS(AND(ISNUMBER(Educator!D470),Educator!D470&lt;&gt;9),"Grade "&amp;Educator!D470,Educator!D470=9,"Grade 9-12",ISTEXT(Educator!D470),Educator!D470)&amp;" "&amp;"Florida"&amp;" "&amp;"26-27"</f>
        <v>#N/A</v>
      </c>
      <c r="C465" s="49" t="e">
        <f t="shared" si="7"/>
        <v>#N/A</v>
      </c>
      <c r="E465" s="51" t="s">
        <v>102</v>
      </c>
      <c r="F465" s="49" t="b">
        <f>IF(Educator!B470&gt;0,"active")</f>
        <v>0</v>
      </c>
      <c r="J465" s="49" t="str">
        <f>"BP-"&amp;"TSWFL-"&amp;IF(ISNUMBER(Educator!D470),""&amp;Educator!D470,Educator!D470)&amp;"-"&amp;"2027"</f>
        <v>BP-TSWFL--2027</v>
      </c>
    </row>
    <row r="466" spans="1:10" x14ac:dyDescent="0.2">
      <c r="A4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","#",3))+1,1)&amp;"-"&amp;LEFT(Educator!B471, 3)&amp;"-"&amp;LEFT(Educator!A471, 3)&amp;"-"&amp;IF(ISNUMBER(Educator!D471),"G"&amp;Educator!D471,Educator!D471)&amp;"-"&amp;"2027"</f>
        <v>CID-FLH----2027</v>
      </c>
      <c r="B466" s="49" t="e" cm="1">
        <f t="array" ref="B466">Educator!B471&amp;" "&amp;_xlfn.IFS(AND(ISNUMBER(Educator!D471),Educator!D471&lt;&gt;9),"Grade "&amp;Educator!D471,Educator!D471=9,"Grade 9-12",ISTEXT(Educator!D471),Educator!D471)&amp;" "&amp;"Florida"&amp;" "&amp;"26-27"</f>
        <v>#N/A</v>
      </c>
      <c r="C466" s="49" t="e">
        <f t="shared" ref="C466:C529" si="8">B466</f>
        <v>#N/A</v>
      </c>
      <c r="E466" s="51" t="s">
        <v>102</v>
      </c>
      <c r="F466" s="49" t="b">
        <f>IF(Educator!B471&gt;0,"active")</f>
        <v>0</v>
      </c>
      <c r="J466" s="49" t="str">
        <f>"BP-"&amp;"TSWFL-"&amp;IF(ISNUMBER(Educator!D471),""&amp;Educator!D471,Educator!D471)&amp;"-"&amp;"2027"</f>
        <v>BP-TSWFL--2027</v>
      </c>
    </row>
    <row r="467" spans="1:10" x14ac:dyDescent="0.2">
      <c r="A4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","#",3))+1,1)&amp;"-"&amp;LEFT(Educator!B472, 3)&amp;"-"&amp;LEFT(Educator!A472, 3)&amp;"-"&amp;IF(ISNUMBER(Educator!D472),"G"&amp;Educator!D472,Educator!D472)&amp;"-"&amp;"2027"</f>
        <v>CID-FLH----2027</v>
      </c>
      <c r="B467" s="49" t="e" cm="1">
        <f t="array" ref="B467">Educator!B472&amp;" "&amp;_xlfn.IFS(AND(ISNUMBER(Educator!D472),Educator!D472&lt;&gt;9),"Grade "&amp;Educator!D472,Educator!D472=9,"Grade 9-12",ISTEXT(Educator!D472),Educator!D472)&amp;" "&amp;"Florida"&amp;" "&amp;"26-27"</f>
        <v>#N/A</v>
      </c>
      <c r="C467" s="49" t="e">
        <f t="shared" si="8"/>
        <v>#N/A</v>
      </c>
      <c r="E467" s="51" t="s">
        <v>102</v>
      </c>
      <c r="F467" s="49" t="b">
        <f>IF(Educator!B472&gt;0,"active")</f>
        <v>0</v>
      </c>
      <c r="J467" s="49" t="str">
        <f>"BP-"&amp;"TSWFL-"&amp;IF(ISNUMBER(Educator!D472),""&amp;Educator!D472,Educator!D472)&amp;"-"&amp;"2027"</f>
        <v>BP-TSWFL--2027</v>
      </c>
    </row>
    <row r="468" spans="1:10" x14ac:dyDescent="0.2">
      <c r="A4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","#",3))+1,1)&amp;"-"&amp;LEFT(Educator!B473, 3)&amp;"-"&amp;LEFT(Educator!A473, 3)&amp;"-"&amp;IF(ISNUMBER(Educator!D473),"G"&amp;Educator!D473,Educator!D473)&amp;"-"&amp;"2027"</f>
        <v>CID-FLH----2027</v>
      </c>
      <c r="B468" s="49" t="e" cm="1">
        <f t="array" ref="B468">Educator!B473&amp;" "&amp;_xlfn.IFS(AND(ISNUMBER(Educator!D473),Educator!D473&lt;&gt;9),"Grade "&amp;Educator!D473,Educator!D473=9,"Grade 9-12",ISTEXT(Educator!D473),Educator!D473)&amp;" "&amp;"Florida"&amp;" "&amp;"26-27"</f>
        <v>#N/A</v>
      </c>
      <c r="C468" s="49" t="e">
        <f t="shared" si="8"/>
        <v>#N/A</v>
      </c>
      <c r="E468" s="51" t="s">
        <v>102</v>
      </c>
      <c r="F468" s="49" t="b">
        <f>IF(Educator!B473&gt;0,"active")</f>
        <v>0</v>
      </c>
      <c r="J468" s="49" t="str">
        <f>"BP-"&amp;"TSWFL-"&amp;IF(ISNUMBER(Educator!D473),""&amp;Educator!D473,Educator!D473)&amp;"-"&amp;"2027"</f>
        <v>BP-TSWFL--2027</v>
      </c>
    </row>
    <row r="469" spans="1:10" x14ac:dyDescent="0.2">
      <c r="A4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","#",3))+1,1)&amp;"-"&amp;LEFT(Educator!B474, 3)&amp;"-"&amp;LEFT(Educator!A474, 3)&amp;"-"&amp;IF(ISNUMBER(Educator!D474),"G"&amp;Educator!D474,Educator!D474)&amp;"-"&amp;"2027"</f>
        <v>CID-FLH----2027</v>
      </c>
      <c r="B469" s="49" t="e" cm="1">
        <f t="array" ref="B469">Educator!B474&amp;" "&amp;_xlfn.IFS(AND(ISNUMBER(Educator!D474),Educator!D474&lt;&gt;9),"Grade "&amp;Educator!D474,Educator!D474=9,"Grade 9-12",ISTEXT(Educator!D474),Educator!D474)&amp;" "&amp;"Florida"&amp;" "&amp;"26-27"</f>
        <v>#N/A</v>
      </c>
      <c r="C469" s="49" t="e">
        <f t="shared" si="8"/>
        <v>#N/A</v>
      </c>
      <c r="E469" s="51" t="s">
        <v>102</v>
      </c>
      <c r="F469" s="49" t="b">
        <f>IF(Educator!B474&gt;0,"active")</f>
        <v>0</v>
      </c>
      <c r="J469" s="49" t="str">
        <f>"BP-"&amp;"TSWFL-"&amp;IF(ISNUMBER(Educator!D474),""&amp;Educator!D474,Educator!D474)&amp;"-"&amp;"2027"</f>
        <v>BP-TSWFL--2027</v>
      </c>
    </row>
    <row r="470" spans="1:10" x14ac:dyDescent="0.2">
      <c r="A4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","#",3))+1,1)&amp;"-"&amp;LEFT(Educator!B475, 3)&amp;"-"&amp;LEFT(Educator!A475, 3)&amp;"-"&amp;IF(ISNUMBER(Educator!D475),"G"&amp;Educator!D475,Educator!D475)&amp;"-"&amp;"2027"</f>
        <v>CID-FLH----2027</v>
      </c>
      <c r="B470" s="49" t="e" cm="1">
        <f t="array" ref="B470">Educator!B475&amp;" "&amp;_xlfn.IFS(AND(ISNUMBER(Educator!D475),Educator!D475&lt;&gt;9),"Grade "&amp;Educator!D475,Educator!D475=9,"Grade 9-12",ISTEXT(Educator!D475),Educator!D475)&amp;" "&amp;"Florida"&amp;" "&amp;"26-27"</f>
        <v>#N/A</v>
      </c>
      <c r="C470" s="49" t="e">
        <f t="shared" si="8"/>
        <v>#N/A</v>
      </c>
      <c r="E470" s="51" t="s">
        <v>102</v>
      </c>
      <c r="F470" s="49" t="b">
        <f>IF(Educator!B475&gt;0,"active")</f>
        <v>0</v>
      </c>
      <c r="J470" s="49" t="str">
        <f>"BP-"&amp;"TSWFL-"&amp;IF(ISNUMBER(Educator!D475),""&amp;Educator!D475,Educator!D475)&amp;"-"&amp;"2027"</f>
        <v>BP-TSWFL--2027</v>
      </c>
    </row>
    <row r="471" spans="1:10" x14ac:dyDescent="0.2">
      <c r="A4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","#",3))+1,1)&amp;"-"&amp;LEFT(Educator!B476, 3)&amp;"-"&amp;LEFT(Educator!A476, 3)&amp;"-"&amp;IF(ISNUMBER(Educator!D476),"G"&amp;Educator!D476,Educator!D476)&amp;"-"&amp;"2027"</f>
        <v>CID-FLH----2027</v>
      </c>
      <c r="B471" s="49" t="e" cm="1">
        <f t="array" ref="B471">Educator!B476&amp;" "&amp;_xlfn.IFS(AND(ISNUMBER(Educator!D476),Educator!D476&lt;&gt;9),"Grade "&amp;Educator!D476,Educator!D476=9,"Grade 9-12",ISTEXT(Educator!D476),Educator!D476)&amp;" "&amp;"Florida"&amp;" "&amp;"26-27"</f>
        <v>#N/A</v>
      </c>
      <c r="C471" s="49" t="e">
        <f t="shared" si="8"/>
        <v>#N/A</v>
      </c>
      <c r="E471" s="51" t="s">
        <v>102</v>
      </c>
      <c r="F471" s="49" t="b">
        <f>IF(Educator!B476&gt;0,"active")</f>
        <v>0</v>
      </c>
      <c r="J471" s="49" t="str">
        <f>"BP-"&amp;"TSWFL-"&amp;IF(ISNUMBER(Educator!D476),""&amp;Educator!D476,Educator!D476)&amp;"-"&amp;"2027"</f>
        <v>BP-TSWFL--2027</v>
      </c>
    </row>
    <row r="472" spans="1:10" x14ac:dyDescent="0.2">
      <c r="A4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","#",3))+1,1)&amp;"-"&amp;LEFT(Educator!B477, 3)&amp;"-"&amp;LEFT(Educator!A477, 3)&amp;"-"&amp;IF(ISNUMBER(Educator!D477),"G"&amp;Educator!D477,Educator!D477)&amp;"-"&amp;"2027"</f>
        <v>CID-FLH----2027</v>
      </c>
      <c r="B472" s="49" t="e" cm="1">
        <f t="array" ref="B472">Educator!B477&amp;" "&amp;_xlfn.IFS(AND(ISNUMBER(Educator!D477),Educator!D477&lt;&gt;9),"Grade "&amp;Educator!D477,Educator!D477=9,"Grade 9-12",ISTEXT(Educator!D477),Educator!D477)&amp;" "&amp;"Florida"&amp;" "&amp;"26-27"</f>
        <v>#N/A</v>
      </c>
      <c r="C472" s="49" t="e">
        <f t="shared" si="8"/>
        <v>#N/A</v>
      </c>
      <c r="E472" s="51" t="s">
        <v>102</v>
      </c>
      <c r="F472" s="49" t="b">
        <f>IF(Educator!B477&gt;0,"active")</f>
        <v>0</v>
      </c>
      <c r="J472" s="49" t="str">
        <f>"BP-"&amp;"TSWFL-"&amp;IF(ISNUMBER(Educator!D477),""&amp;Educator!D477,Educator!D477)&amp;"-"&amp;"2027"</f>
        <v>BP-TSWFL--2027</v>
      </c>
    </row>
    <row r="473" spans="1:10" x14ac:dyDescent="0.2">
      <c r="A4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","#",3))+1,1)&amp;"-"&amp;LEFT(Educator!B478, 3)&amp;"-"&amp;LEFT(Educator!A478, 3)&amp;"-"&amp;IF(ISNUMBER(Educator!D478),"G"&amp;Educator!D478,Educator!D478)&amp;"-"&amp;"2027"</f>
        <v>CID-FLH----2027</v>
      </c>
      <c r="B473" s="49" t="e" cm="1">
        <f t="array" ref="B473">Educator!B478&amp;" "&amp;_xlfn.IFS(AND(ISNUMBER(Educator!D478),Educator!D478&lt;&gt;9),"Grade "&amp;Educator!D478,Educator!D478=9,"Grade 9-12",ISTEXT(Educator!D478),Educator!D478)&amp;" "&amp;"Florida"&amp;" "&amp;"26-27"</f>
        <v>#N/A</v>
      </c>
      <c r="C473" s="49" t="e">
        <f t="shared" si="8"/>
        <v>#N/A</v>
      </c>
      <c r="E473" s="51" t="s">
        <v>102</v>
      </c>
      <c r="F473" s="49" t="b">
        <f>IF(Educator!B478&gt;0,"active")</f>
        <v>0</v>
      </c>
      <c r="J473" s="49" t="str">
        <f>"BP-"&amp;"TSWFL-"&amp;IF(ISNUMBER(Educator!D478),""&amp;Educator!D478,Educator!D478)&amp;"-"&amp;"2027"</f>
        <v>BP-TSWFL--2027</v>
      </c>
    </row>
    <row r="474" spans="1:10" x14ac:dyDescent="0.2">
      <c r="A4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","#",3))+1,1)&amp;"-"&amp;LEFT(Educator!B479, 3)&amp;"-"&amp;LEFT(Educator!A479, 3)&amp;"-"&amp;IF(ISNUMBER(Educator!D479),"G"&amp;Educator!D479,Educator!D479)&amp;"-"&amp;"2027"</f>
        <v>CID-FLH----2027</v>
      </c>
      <c r="B474" s="49" t="e" cm="1">
        <f t="array" ref="B474">Educator!B479&amp;" "&amp;_xlfn.IFS(AND(ISNUMBER(Educator!D479),Educator!D479&lt;&gt;9),"Grade "&amp;Educator!D479,Educator!D479=9,"Grade 9-12",ISTEXT(Educator!D479),Educator!D479)&amp;" "&amp;"Florida"&amp;" "&amp;"26-27"</f>
        <v>#N/A</v>
      </c>
      <c r="C474" s="49" t="e">
        <f t="shared" si="8"/>
        <v>#N/A</v>
      </c>
      <c r="E474" s="51" t="s">
        <v>102</v>
      </c>
      <c r="F474" s="49" t="b">
        <f>IF(Educator!B479&gt;0,"active")</f>
        <v>0</v>
      </c>
      <c r="J474" s="49" t="str">
        <f>"BP-"&amp;"TSWFL-"&amp;IF(ISNUMBER(Educator!D479),""&amp;Educator!D479,Educator!D479)&amp;"-"&amp;"2027"</f>
        <v>BP-TSWFL--2027</v>
      </c>
    </row>
    <row r="475" spans="1:10" x14ac:dyDescent="0.2">
      <c r="A4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","#",3))+1,1)&amp;"-"&amp;LEFT(Educator!B480, 3)&amp;"-"&amp;LEFT(Educator!A480, 3)&amp;"-"&amp;IF(ISNUMBER(Educator!D480),"G"&amp;Educator!D480,Educator!D480)&amp;"-"&amp;"2027"</f>
        <v>CID-FLH----2027</v>
      </c>
      <c r="B475" s="49" t="e" cm="1">
        <f t="array" ref="B475">Educator!B480&amp;" "&amp;_xlfn.IFS(AND(ISNUMBER(Educator!D480),Educator!D480&lt;&gt;9),"Grade "&amp;Educator!D480,Educator!D480=9,"Grade 9-12",ISTEXT(Educator!D480),Educator!D480)&amp;" "&amp;"Florida"&amp;" "&amp;"26-27"</f>
        <v>#N/A</v>
      </c>
      <c r="C475" s="49" t="e">
        <f t="shared" si="8"/>
        <v>#N/A</v>
      </c>
      <c r="E475" s="51" t="s">
        <v>102</v>
      </c>
      <c r="F475" s="49" t="b">
        <f>IF(Educator!B480&gt;0,"active")</f>
        <v>0</v>
      </c>
      <c r="J475" s="49" t="str">
        <f>"BP-"&amp;"TSWFL-"&amp;IF(ISNUMBER(Educator!D480),""&amp;Educator!D480,Educator!D480)&amp;"-"&amp;"2027"</f>
        <v>BP-TSWFL--2027</v>
      </c>
    </row>
    <row r="476" spans="1:10" x14ac:dyDescent="0.2">
      <c r="A4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","#",3))+1,1)&amp;"-"&amp;LEFT(Educator!B481, 3)&amp;"-"&amp;LEFT(Educator!A481, 3)&amp;"-"&amp;IF(ISNUMBER(Educator!D481),"G"&amp;Educator!D481,Educator!D481)&amp;"-"&amp;"2027"</f>
        <v>CID-FLH----2027</v>
      </c>
      <c r="B476" s="49" t="e" cm="1">
        <f t="array" ref="B476">Educator!B481&amp;" "&amp;_xlfn.IFS(AND(ISNUMBER(Educator!D481),Educator!D481&lt;&gt;9),"Grade "&amp;Educator!D481,Educator!D481=9,"Grade 9-12",ISTEXT(Educator!D481),Educator!D481)&amp;" "&amp;"Florida"&amp;" "&amp;"26-27"</f>
        <v>#N/A</v>
      </c>
      <c r="C476" s="49" t="e">
        <f t="shared" si="8"/>
        <v>#N/A</v>
      </c>
      <c r="E476" s="51" t="s">
        <v>102</v>
      </c>
      <c r="F476" s="49" t="b">
        <f>IF(Educator!B481&gt;0,"active")</f>
        <v>0</v>
      </c>
      <c r="J476" s="49" t="str">
        <f>"BP-"&amp;"TSWFL-"&amp;IF(ISNUMBER(Educator!D481),""&amp;Educator!D481,Educator!D481)&amp;"-"&amp;"2027"</f>
        <v>BP-TSWFL--2027</v>
      </c>
    </row>
    <row r="477" spans="1:10" x14ac:dyDescent="0.2">
      <c r="A4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","#",3))+1,1)&amp;"-"&amp;LEFT(Educator!B482, 3)&amp;"-"&amp;LEFT(Educator!A482, 3)&amp;"-"&amp;IF(ISNUMBER(Educator!D482),"G"&amp;Educator!D482,Educator!D482)&amp;"-"&amp;"2027"</f>
        <v>CID-FLH----2027</v>
      </c>
      <c r="B477" s="49" t="e" cm="1">
        <f t="array" ref="B477">Educator!B482&amp;" "&amp;_xlfn.IFS(AND(ISNUMBER(Educator!D482),Educator!D482&lt;&gt;9),"Grade "&amp;Educator!D482,Educator!D482=9,"Grade 9-12",ISTEXT(Educator!D482),Educator!D482)&amp;" "&amp;"Florida"&amp;" "&amp;"26-27"</f>
        <v>#N/A</v>
      </c>
      <c r="C477" s="49" t="e">
        <f t="shared" si="8"/>
        <v>#N/A</v>
      </c>
      <c r="E477" s="51" t="s">
        <v>102</v>
      </c>
      <c r="F477" s="49" t="b">
        <f>IF(Educator!B482&gt;0,"active")</f>
        <v>0</v>
      </c>
      <c r="J477" s="49" t="str">
        <f>"BP-"&amp;"TSWFL-"&amp;IF(ISNUMBER(Educator!D482),""&amp;Educator!D482,Educator!D482)&amp;"-"&amp;"2027"</f>
        <v>BP-TSWFL--2027</v>
      </c>
    </row>
    <row r="478" spans="1:10" x14ac:dyDescent="0.2">
      <c r="A4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","#",3))+1,1)&amp;"-"&amp;LEFT(Educator!B483, 3)&amp;"-"&amp;LEFT(Educator!A483, 3)&amp;"-"&amp;IF(ISNUMBER(Educator!D483),"G"&amp;Educator!D483,Educator!D483)&amp;"-"&amp;"2027"</f>
        <v>CID-FLH----2027</v>
      </c>
      <c r="B478" s="49" t="e" cm="1">
        <f t="array" ref="B478">Educator!B483&amp;" "&amp;_xlfn.IFS(AND(ISNUMBER(Educator!D483),Educator!D483&lt;&gt;9),"Grade "&amp;Educator!D483,Educator!D483=9,"Grade 9-12",ISTEXT(Educator!D483),Educator!D483)&amp;" "&amp;"Florida"&amp;" "&amp;"26-27"</f>
        <v>#N/A</v>
      </c>
      <c r="C478" s="49" t="e">
        <f t="shared" si="8"/>
        <v>#N/A</v>
      </c>
      <c r="E478" s="51" t="s">
        <v>102</v>
      </c>
      <c r="F478" s="49" t="b">
        <f>IF(Educator!B483&gt;0,"active")</f>
        <v>0</v>
      </c>
      <c r="J478" s="49" t="str">
        <f>"BP-"&amp;"TSWFL-"&amp;IF(ISNUMBER(Educator!D483),""&amp;Educator!D483,Educator!D483)&amp;"-"&amp;"2027"</f>
        <v>BP-TSWFL--2027</v>
      </c>
    </row>
    <row r="479" spans="1:10" x14ac:dyDescent="0.2">
      <c r="A4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","#",3))+1,1)&amp;"-"&amp;LEFT(Educator!B484, 3)&amp;"-"&amp;LEFT(Educator!A484, 3)&amp;"-"&amp;IF(ISNUMBER(Educator!D484),"G"&amp;Educator!D484,Educator!D484)&amp;"-"&amp;"2027"</f>
        <v>CID-FLH----2027</v>
      </c>
      <c r="B479" s="49" t="e" cm="1">
        <f t="array" ref="B479">Educator!B484&amp;" "&amp;_xlfn.IFS(AND(ISNUMBER(Educator!D484),Educator!D484&lt;&gt;9),"Grade "&amp;Educator!D484,Educator!D484=9,"Grade 9-12",ISTEXT(Educator!D484),Educator!D484)&amp;" "&amp;"Florida"&amp;" "&amp;"26-27"</f>
        <v>#N/A</v>
      </c>
      <c r="C479" s="49" t="e">
        <f t="shared" si="8"/>
        <v>#N/A</v>
      </c>
      <c r="E479" s="51" t="s">
        <v>102</v>
      </c>
      <c r="F479" s="49" t="b">
        <f>IF(Educator!B484&gt;0,"active")</f>
        <v>0</v>
      </c>
      <c r="J479" s="49" t="str">
        <f>"BP-"&amp;"TSWFL-"&amp;IF(ISNUMBER(Educator!D484),""&amp;Educator!D484,Educator!D484)&amp;"-"&amp;"2027"</f>
        <v>BP-TSWFL--2027</v>
      </c>
    </row>
    <row r="480" spans="1:10" x14ac:dyDescent="0.2">
      <c r="A4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","#",3))+1,1)&amp;"-"&amp;LEFT(Educator!B485, 3)&amp;"-"&amp;LEFT(Educator!A485, 3)&amp;"-"&amp;IF(ISNUMBER(Educator!D485),"G"&amp;Educator!D485,Educator!D485)&amp;"-"&amp;"2027"</f>
        <v>CID-FLH----2027</v>
      </c>
      <c r="B480" s="49" t="e" cm="1">
        <f t="array" ref="B480">Educator!B485&amp;" "&amp;_xlfn.IFS(AND(ISNUMBER(Educator!D485),Educator!D485&lt;&gt;9),"Grade "&amp;Educator!D485,Educator!D485=9,"Grade 9-12",ISTEXT(Educator!D485),Educator!D485)&amp;" "&amp;"Florida"&amp;" "&amp;"26-27"</f>
        <v>#N/A</v>
      </c>
      <c r="C480" s="49" t="e">
        <f t="shared" si="8"/>
        <v>#N/A</v>
      </c>
      <c r="E480" s="51" t="s">
        <v>102</v>
      </c>
      <c r="F480" s="49" t="b">
        <f>IF(Educator!B485&gt;0,"active")</f>
        <v>0</v>
      </c>
      <c r="J480" s="49" t="str">
        <f>"BP-"&amp;"TSWFL-"&amp;IF(ISNUMBER(Educator!D485),""&amp;Educator!D485,Educator!D485)&amp;"-"&amp;"2027"</f>
        <v>BP-TSWFL--2027</v>
      </c>
    </row>
    <row r="481" spans="1:10" x14ac:dyDescent="0.2">
      <c r="A4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","#",3))+1,1)&amp;"-"&amp;LEFT(Educator!B486, 3)&amp;"-"&amp;LEFT(Educator!A486, 3)&amp;"-"&amp;IF(ISNUMBER(Educator!D486),"G"&amp;Educator!D486,Educator!D486)&amp;"-"&amp;"2027"</f>
        <v>CID-FLH----2027</v>
      </c>
      <c r="B481" s="49" t="e" cm="1">
        <f t="array" ref="B481">Educator!B486&amp;" "&amp;_xlfn.IFS(AND(ISNUMBER(Educator!D486),Educator!D486&lt;&gt;9),"Grade "&amp;Educator!D486,Educator!D486=9,"Grade 9-12",ISTEXT(Educator!D486),Educator!D486)&amp;" "&amp;"Florida"&amp;" "&amp;"26-27"</f>
        <v>#N/A</v>
      </c>
      <c r="C481" s="49" t="e">
        <f t="shared" si="8"/>
        <v>#N/A</v>
      </c>
      <c r="E481" s="51" t="s">
        <v>102</v>
      </c>
      <c r="F481" s="49" t="b">
        <f>IF(Educator!B486&gt;0,"active")</f>
        <v>0</v>
      </c>
      <c r="J481" s="49" t="str">
        <f>"BP-"&amp;"TSWFL-"&amp;IF(ISNUMBER(Educator!D486),""&amp;Educator!D486,Educator!D486)&amp;"-"&amp;"2027"</f>
        <v>BP-TSWFL--2027</v>
      </c>
    </row>
    <row r="482" spans="1:10" x14ac:dyDescent="0.2">
      <c r="A4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","#",3))+1,1)&amp;"-"&amp;LEFT(Educator!B487, 3)&amp;"-"&amp;LEFT(Educator!A487, 3)&amp;"-"&amp;IF(ISNUMBER(Educator!D487),"G"&amp;Educator!D487,Educator!D487)&amp;"-"&amp;"2027"</f>
        <v>CID-FLH----2027</v>
      </c>
      <c r="B482" s="49" t="e" cm="1">
        <f t="array" ref="B482">Educator!B487&amp;" "&amp;_xlfn.IFS(AND(ISNUMBER(Educator!D487),Educator!D487&lt;&gt;9),"Grade "&amp;Educator!D487,Educator!D487=9,"Grade 9-12",ISTEXT(Educator!D487),Educator!D487)&amp;" "&amp;"Florida"&amp;" "&amp;"26-27"</f>
        <v>#N/A</v>
      </c>
      <c r="C482" s="49" t="e">
        <f t="shared" si="8"/>
        <v>#N/A</v>
      </c>
      <c r="E482" s="51" t="s">
        <v>102</v>
      </c>
      <c r="F482" s="49" t="b">
        <f>IF(Educator!B487&gt;0,"active")</f>
        <v>0</v>
      </c>
      <c r="J482" s="49" t="str">
        <f>"BP-"&amp;"TSWFL-"&amp;IF(ISNUMBER(Educator!D487),""&amp;Educator!D487,Educator!D487)&amp;"-"&amp;"2027"</f>
        <v>BP-TSWFL--2027</v>
      </c>
    </row>
    <row r="483" spans="1:10" x14ac:dyDescent="0.2">
      <c r="A4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","#",3))+1,1)&amp;"-"&amp;LEFT(Educator!B488, 3)&amp;"-"&amp;LEFT(Educator!A488, 3)&amp;"-"&amp;IF(ISNUMBER(Educator!D488),"G"&amp;Educator!D488,Educator!D488)&amp;"-"&amp;"2027"</f>
        <v>CID-FLH----2027</v>
      </c>
      <c r="B483" s="49" t="e" cm="1">
        <f t="array" ref="B483">Educator!B488&amp;" "&amp;_xlfn.IFS(AND(ISNUMBER(Educator!D488),Educator!D488&lt;&gt;9),"Grade "&amp;Educator!D488,Educator!D488=9,"Grade 9-12",ISTEXT(Educator!D488),Educator!D488)&amp;" "&amp;"Florida"&amp;" "&amp;"26-27"</f>
        <v>#N/A</v>
      </c>
      <c r="C483" s="49" t="e">
        <f t="shared" si="8"/>
        <v>#N/A</v>
      </c>
      <c r="E483" s="51" t="s">
        <v>102</v>
      </c>
      <c r="F483" s="49" t="b">
        <f>IF(Educator!B488&gt;0,"active")</f>
        <v>0</v>
      </c>
      <c r="J483" s="49" t="str">
        <f>"BP-"&amp;"TSWFL-"&amp;IF(ISNUMBER(Educator!D488),""&amp;Educator!D488,Educator!D488)&amp;"-"&amp;"2027"</f>
        <v>BP-TSWFL--2027</v>
      </c>
    </row>
    <row r="484" spans="1:10" x14ac:dyDescent="0.2">
      <c r="A4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","#",3))+1,1)&amp;"-"&amp;LEFT(Educator!B489, 3)&amp;"-"&amp;LEFT(Educator!A489, 3)&amp;"-"&amp;IF(ISNUMBER(Educator!D489),"G"&amp;Educator!D489,Educator!D489)&amp;"-"&amp;"2027"</f>
        <v>CID-FLH----2027</v>
      </c>
      <c r="B484" s="49" t="e" cm="1">
        <f t="array" ref="B484">Educator!B489&amp;" "&amp;_xlfn.IFS(AND(ISNUMBER(Educator!D489),Educator!D489&lt;&gt;9),"Grade "&amp;Educator!D489,Educator!D489=9,"Grade 9-12",ISTEXT(Educator!D489),Educator!D489)&amp;" "&amp;"Florida"&amp;" "&amp;"26-27"</f>
        <v>#N/A</v>
      </c>
      <c r="C484" s="49" t="e">
        <f t="shared" si="8"/>
        <v>#N/A</v>
      </c>
      <c r="E484" s="51" t="s">
        <v>102</v>
      </c>
      <c r="F484" s="49" t="b">
        <f>IF(Educator!B489&gt;0,"active")</f>
        <v>0</v>
      </c>
      <c r="J484" s="49" t="str">
        <f>"BP-"&amp;"TSWFL-"&amp;IF(ISNUMBER(Educator!D489),""&amp;Educator!D489,Educator!D489)&amp;"-"&amp;"2027"</f>
        <v>BP-TSWFL--2027</v>
      </c>
    </row>
    <row r="485" spans="1:10" x14ac:dyDescent="0.2">
      <c r="A4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","#",3))+1,1)&amp;"-"&amp;LEFT(Educator!B490, 3)&amp;"-"&amp;LEFT(Educator!A490, 3)&amp;"-"&amp;IF(ISNUMBER(Educator!D490),"G"&amp;Educator!D490,Educator!D490)&amp;"-"&amp;"2027"</f>
        <v>CID-FLH----2027</v>
      </c>
      <c r="B485" s="49" t="e" cm="1">
        <f t="array" ref="B485">Educator!B490&amp;" "&amp;_xlfn.IFS(AND(ISNUMBER(Educator!D490),Educator!D490&lt;&gt;9),"Grade "&amp;Educator!D490,Educator!D490=9,"Grade 9-12",ISTEXT(Educator!D490),Educator!D490)&amp;" "&amp;"Florida"&amp;" "&amp;"26-27"</f>
        <v>#N/A</v>
      </c>
      <c r="C485" s="49" t="e">
        <f t="shared" si="8"/>
        <v>#N/A</v>
      </c>
      <c r="E485" s="51" t="s">
        <v>102</v>
      </c>
      <c r="F485" s="49" t="b">
        <f>IF(Educator!B490&gt;0,"active")</f>
        <v>0</v>
      </c>
      <c r="J485" s="49" t="str">
        <f>"BP-"&amp;"TSWFL-"&amp;IF(ISNUMBER(Educator!D490),""&amp;Educator!D490,Educator!D490)&amp;"-"&amp;"2027"</f>
        <v>BP-TSWFL--2027</v>
      </c>
    </row>
    <row r="486" spans="1:10" x14ac:dyDescent="0.2">
      <c r="A4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","#",3))+1,1)&amp;"-"&amp;LEFT(Educator!B491, 3)&amp;"-"&amp;LEFT(Educator!A491, 3)&amp;"-"&amp;IF(ISNUMBER(Educator!D491),"G"&amp;Educator!D491,Educator!D491)&amp;"-"&amp;"2027"</f>
        <v>CID-FLH----2027</v>
      </c>
      <c r="B486" s="49" t="e" cm="1">
        <f t="array" ref="B486">Educator!B491&amp;" "&amp;_xlfn.IFS(AND(ISNUMBER(Educator!D491),Educator!D491&lt;&gt;9),"Grade "&amp;Educator!D491,Educator!D491=9,"Grade 9-12",ISTEXT(Educator!D491),Educator!D491)&amp;" "&amp;"Florida"&amp;" "&amp;"26-27"</f>
        <v>#N/A</v>
      </c>
      <c r="C486" s="49" t="e">
        <f t="shared" si="8"/>
        <v>#N/A</v>
      </c>
      <c r="E486" s="51" t="s">
        <v>102</v>
      </c>
      <c r="F486" s="49" t="b">
        <f>IF(Educator!B491&gt;0,"active")</f>
        <v>0</v>
      </c>
      <c r="J486" s="49" t="str">
        <f>"BP-"&amp;"TSWFL-"&amp;IF(ISNUMBER(Educator!D491),""&amp;Educator!D491,Educator!D491)&amp;"-"&amp;"2027"</f>
        <v>BP-TSWFL--2027</v>
      </c>
    </row>
    <row r="487" spans="1:10" x14ac:dyDescent="0.2">
      <c r="A4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","#",3))+1,1)&amp;"-"&amp;LEFT(Educator!B492, 3)&amp;"-"&amp;LEFT(Educator!A492, 3)&amp;"-"&amp;IF(ISNUMBER(Educator!D492),"G"&amp;Educator!D492,Educator!D492)&amp;"-"&amp;"2027"</f>
        <v>CID-FLH----2027</v>
      </c>
      <c r="B487" s="49" t="e" cm="1">
        <f t="array" ref="B487">Educator!B492&amp;" "&amp;_xlfn.IFS(AND(ISNUMBER(Educator!D492),Educator!D492&lt;&gt;9),"Grade "&amp;Educator!D492,Educator!D492=9,"Grade 9-12",ISTEXT(Educator!D492),Educator!D492)&amp;" "&amp;"Florida"&amp;" "&amp;"26-27"</f>
        <v>#N/A</v>
      </c>
      <c r="C487" s="49" t="e">
        <f t="shared" si="8"/>
        <v>#N/A</v>
      </c>
      <c r="E487" s="51" t="s">
        <v>102</v>
      </c>
      <c r="F487" s="49" t="b">
        <f>IF(Educator!B492&gt;0,"active")</f>
        <v>0</v>
      </c>
      <c r="J487" s="49" t="str">
        <f>"BP-"&amp;"TSWFL-"&amp;IF(ISNUMBER(Educator!D492),""&amp;Educator!D492,Educator!D492)&amp;"-"&amp;"2027"</f>
        <v>BP-TSWFL--2027</v>
      </c>
    </row>
    <row r="488" spans="1:10" x14ac:dyDescent="0.2">
      <c r="A4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","#",3))+1,1)&amp;"-"&amp;LEFT(Educator!B493, 3)&amp;"-"&amp;LEFT(Educator!A493, 3)&amp;"-"&amp;IF(ISNUMBER(Educator!D493),"G"&amp;Educator!D493,Educator!D493)&amp;"-"&amp;"2027"</f>
        <v>CID-FLH----2027</v>
      </c>
      <c r="B488" s="49" t="e" cm="1">
        <f t="array" ref="B488">Educator!B493&amp;" "&amp;_xlfn.IFS(AND(ISNUMBER(Educator!D493),Educator!D493&lt;&gt;9),"Grade "&amp;Educator!D493,Educator!D493=9,"Grade 9-12",ISTEXT(Educator!D493),Educator!D493)&amp;" "&amp;"Florida"&amp;" "&amp;"26-27"</f>
        <v>#N/A</v>
      </c>
      <c r="C488" s="49" t="e">
        <f t="shared" si="8"/>
        <v>#N/A</v>
      </c>
      <c r="E488" s="51" t="s">
        <v>102</v>
      </c>
      <c r="F488" s="49" t="b">
        <f>IF(Educator!B493&gt;0,"active")</f>
        <v>0</v>
      </c>
      <c r="J488" s="49" t="str">
        <f>"BP-"&amp;"TSWFL-"&amp;IF(ISNUMBER(Educator!D493),""&amp;Educator!D493,Educator!D493)&amp;"-"&amp;"2027"</f>
        <v>BP-TSWFL--2027</v>
      </c>
    </row>
    <row r="489" spans="1:10" x14ac:dyDescent="0.2">
      <c r="A4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","#",3))+1,1)&amp;"-"&amp;LEFT(Educator!B494, 3)&amp;"-"&amp;LEFT(Educator!A494, 3)&amp;"-"&amp;IF(ISNUMBER(Educator!D494),"G"&amp;Educator!D494,Educator!D494)&amp;"-"&amp;"2027"</f>
        <v>CID-FLH----2027</v>
      </c>
      <c r="B489" s="49" t="e" cm="1">
        <f t="array" ref="B489">Educator!B494&amp;" "&amp;_xlfn.IFS(AND(ISNUMBER(Educator!D494),Educator!D494&lt;&gt;9),"Grade "&amp;Educator!D494,Educator!D494=9,"Grade 9-12",ISTEXT(Educator!D494),Educator!D494)&amp;" "&amp;"Florida"&amp;" "&amp;"26-27"</f>
        <v>#N/A</v>
      </c>
      <c r="C489" s="49" t="e">
        <f t="shared" si="8"/>
        <v>#N/A</v>
      </c>
      <c r="E489" s="51" t="s">
        <v>102</v>
      </c>
      <c r="F489" s="49" t="b">
        <f>IF(Educator!B494&gt;0,"active")</f>
        <v>0</v>
      </c>
      <c r="J489" s="49" t="str">
        <f>"BP-"&amp;"TSWFL-"&amp;IF(ISNUMBER(Educator!D494),""&amp;Educator!D494,Educator!D494)&amp;"-"&amp;"2027"</f>
        <v>BP-TSWFL--2027</v>
      </c>
    </row>
    <row r="490" spans="1:10" x14ac:dyDescent="0.2">
      <c r="A4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","#",3))+1,1)&amp;"-"&amp;LEFT(Educator!B495, 3)&amp;"-"&amp;LEFT(Educator!A495, 3)&amp;"-"&amp;IF(ISNUMBER(Educator!D495),"G"&amp;Educator!D495,Educator!D495)&amp;"-"&amp;"2027"</f>
        <v>CID-FLH----2027</v>
      </c>
      <c r="B490" s="49" t="e" cm="1">
        <f t="array" ref="B490">Educator!B495&amp;" "&amp;_xlfn.IFS(AND(ISNUMBER(Educator!D495),Educator!D495&lt;&gt;9),"Grade "&amp;Educator!D495,Educator!D495=9,"Grade 9-12",ISTEXT(Educator!D495),Educator!D495)&amp;" "&amp;"Florida"&amp;" "&amp;"26-27"</f>
        <v>#N/A</v>
      </c>
      <c r="C490" s="49" t="e">
        <f t="shared" si="8"/>
        <v>#N/A</v>
      </c>
      <c r="E490" s="51" t="s">
        <v>102</v>
      </c>
      <c r="F490" s="49" t="b">
        <f>IF(Educator!B495&gt;0,"active")</f>
        <v>0</v>
      </c>
      <c r="J490" s="49" t="str">
        <f>"BP-"&amp;"TSWFL-"&amp;IF(ISNUMBER(Educator!D495),""&amp;Educator!D495,Educator!D495)&amp;"-"&amp;"2027"</f>
        <v>BP-TSWFL--2027</v>
      </c>
    </row>
    <row r="491" spans="1:10" x14ac:dyDescent="0.2">
      <c r="A4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","#",3))+1,1)&amp;"-"&amp;LEFT(Educator!B496, 3)&amp;"-"&amp;LEFT(Educator!A496, 3)&amp;"-"&amp;IF(ISNUMBER(Educator!D496),"G"&amp;Educator!D496,Educator!D496)&amp;"-"&amp;"2027"</f>
        <v>CID-FLH----2027</v>
      </c>
      <c r="B491" s="49" t="e" cm="1">
        <f t="array" ref="B491">Educator!B496&amp;" "&amp;_xlfn.IFS(AND(ISNUMBER(Educator!D496),Educator!D496&lt;&gt;9),"Grade "&amp;Educator!D496,Educator!D496=9,"Grade 9-12",ISTEXT(Educator!D496),Educator!D496)&amp;" "&amp;"Florida"&amp;" "&amp;"26-27"</f>
        <v>#N/A</v>
      </c>
      <c r="C491" s="49" t="e">
        <f t="shared" si="8"/>
        <v>#N/A</v>
      </c>
      <c r="E491" s="51" t="s">
        <v>102</v>
      </c>
      <c r="F491" s="49" t="b">
        <f>IF(Educator!B496&gt;0,"active")</f>
        <v>0</v>
      </c>
      <c r="J491" s="49" t="str">
        <f>"BP-"&amp;"TSWFL-"&amp;IF(ISNUMBER(Educator!D496),""&amp;Educator!D496,Educator!D496)&amp;"-"&amp;"2027"</f>
        <v>BP-TSWFL--2027</v>
      </c>
    </row>
    <row r="492" spans="1:10" x14ac:dyDescent="0.2">
      <c r="A4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","#",3))+1,1)&amp;"-"&amp;LEFT(Educator!B497, 3)&amp;"-"&amp;LEFT(Educator!A497, 3)&amp;"-"&amp;IF(ISNUMBER(Educator!D497),"G"&amp;Educator!D497,Educator!D497)&amp;"-"&amp;"2027"</f>
        <v>CID-FLH----2027</v>
      </c>
      <c r="B492" s="49" t="e" cm="1">
        <f t="array" ref="B492">Educator!B497&amp;" "&amp;_xlfn.IFS(AND(ISNUMBER(Educator!D497),Educator!D497&lt;&gt;9),"Grade "&amp;Educator!D497,Educator!D497=9,"Grade 9-12",ISTEXT(Educator!D497),Educator!D497)&amp;" "&amp;"Florida"&amp;" "&amp;"26-27"</f>
        <v>#N/A</v>
      </c>
      <c r="C492" s="49" t="e">
        <f t="shared" si="8"/>
        <v>#N/A</v>
      </c>
      <c r="E492" s="51" t="s">
        <v>102</v>
      </c>
      <c r="F492" s="49" t="b">
        <f>IF(Educator!B497&gt;0,"active")</f>
        <v>0</v>
      </c>
      <c r="J492" s="49" t="str">
        <f>"BP-"&amp;"TSWFL-"&amp;IF(ISNUMBER(Educator!D497),""&amp;Educator!D497,Educator!D497)&amp;"-"&amp;"2027"</f>
        <v>BP-TSWFL--2027</v>
      </c>
    </row>
    <row r="493" spans="1:10" x14ac:dyDescent="0.2">
      <c r="A4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","#",3))+1,1)&amp;"-"&amp;LEFT(Educator!B498, 3)&amp;"-"&amp;LEFT(Educator!A498, 3)&amp;"-"&amp;IF(ISNUMBER(Educator!D498),"G"&amp;Educator!D498,Educator!D498)&amp;"-"&amp;"2027"</f>
        <v>CID-FLH----2027</v>
      </c>
      <c r="B493" s="49" t="e" cm="1">
        <f t="array" ref="B493">Educator!B498&amp;" "&amp;_xlfn.IFS(AND(ISNUMBER(Educator!D498),Educator!D498&lt;&gt;9),"Grade "&amp;Educator!D498,Educator!D498=9,"Grade 9-12",ISTEXT(Educator!D498),Educator!D498)&amp;" "&amp;"Florida"&amp;" "&amp;"26-27"</f>
        <v>#N/A</v>
      </c>
      <c r="C493" s="49" t="e">
        <f t="shared" si="8"/>
        <v>#N/A</v>
      </c>
      <c r="E493" s="51" t="s">
        <v>102</v>
      </c>
      <c r="F493" s="49" t="b">
        <f>IF(Educator!B498&gt;0,"active")</f>
        <v>0</v>
      </c>
      <c r="J493" s="49" t="str">
        <f>"BP-"&amp;"TSWFL-"&amp;IF(ISNUMBER(Educator!D498),""&amp;Educator!D498,Educator!D498)&amp;"-"&amp;"2027"</f>
        <v>BP-TSWFL--2027</v>
      </c>
    </row>
    <row r="494" spans="1:10" x14ac:dyDescent="0.2">
      <c r="A4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","#",3))+1,1)&amp;"-"&amp;LEFT(Educator!B499, 3)&amp;"-"&amp;LEFT(Educator!A499, 3)&amp;"-"&amp;IF(ISNUMBER(Educator!D499),"G"&amp;Educator!D499,Educator!D499)&amp;"-"&amp;"2027"</f>
        <v>CID-FLH----2027</v>
      </c>
      <c r="B494" s="49" t="e" cm="1">
        <f t="array" ref="B494">Educator!B499&amp;" "&amp;_xlfn.IFS(AND(ISNUMBER(Educator!D499),Educator!D499&lt;&gt;9),"Grade "&amp;Educator!D499,Educator!D499=9,"Grade 9-12",ISTEXT(Educator!D499),Educator!D499)&amp;" "&amp;"Florida"&amp;" "&amp;"26-27"</f>
        <v>#N/A</v>
      </c>
      <c r="C494" s="49" t="e">
        <f t="shared" si="8"/>
        <v>#N/A</v>
      </c>
      <c r="E494" s="51" t="s">
        <v>102</v>
      </c>
      <c r="F494" s="49" t="b">
        <f>IF(Educator!B499&gt;0,"active")</f>
        <v>0</v>
      </c>
      <c r="J494" s="49" t="str">
        <f>"BP-"&amp;"TSWFL-"&amp;IF(ISNUMBER(Educator!D499),""&amp;Educator!D499,Educator!D499)&amp;"-"&amp;"2027"</f>
        <v>BP-TSWFL--2027</v>
      </c>
    </row>
    <row r="495" spans="1:10" x14ac:dyDescent="0.2">
      <c r="A4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","#",3))+1,1)&amp;"-"&amp;LEFT(Educator!B500, 3)&amp;"-"&amp;LEFT(Educator!A500, 3)&amp;"-"&amp;IF(ISNUMBER(Educator!D500),"G"&amp;Educator!D500,Educator!D500)&amp;"-"&amp;"2027"</f>
        <v>CID-FLH----2027</v>
      </c>
      <c r="B495" s="49" t="e" cm="1">
        <f t="array" ref="B495">Educator!B500&amp;" "&amp;_xlfn.IFS(AND(ISNUMBER(Educator!D500),Educator!D500&lt;&gt;9),"Grade "&amp;Educator!D500,Educator!D500=9,"Grade 9-12",ISTEXT(Educator!D500),Educator!D500)&amp;" "&amp;"Florida"&amp;" "&amp;"26-27"</f>
        <v>#N/A</v>
      </c>
      <c r="C495" s="49" t="e">
        <f t="shared" si="8"/>
        <v>#N/A</v>
      </c>
      <c r="E495" s="51" t="s">
        <v>102</v>
      </c>
      <c r="F495" s="49" t="b">
        <f>IF(Educator!B500&gt;0,"active")</f>
        <v>0</v>
      </c>
      <c r="J495" s="49" t="str">
        <f>"BP-"&amp;"TSWFL-"&amp;IF(ISNUMBER(Educator!D500),""&amp;Educator!D500,Educator!D500)&amp;"-"&amp;"2027"</f>
        <v>BP-TSWFL--2027</v>
      </c>
    </row>
    <row r="496" spans="1:10" x14ac:dyDescent="0.2">
      <c r="A4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","#",3))+1,1)&amp;"-"&amp;LEFT(Educator!B501, 3)&amp;"-"&amp;LEFT(Educator!A501, 3)&amp;"-"&amp;IF(ISNUMBER(Educator!D501),"G"&amp;Educator!D501,Educator!D501)&amp;"-"&amp;"2027"</f>
        <v>CID-FLH----2027</v>
      </c>
      <c r="B496" s="49" t="e" cm="1">
        <f t="array" ref="B496">Educator!B501&amp;" "&amp;_xlfn.IFS(AND(ISNUMBER(Educator!D501),Educator!D501&lt;&gt;9),"Grade "&amp;Educator!D501,Educator!D501=9,"Grade 9-12",ISTEXT(Educator!D501),Educator!D501)&amp;" "&amp;"Florida"&amp;" "&amp;"26-27"</f>
        <v>#N/A</v>
      </c>
      <c r="C496" s="49" t="e">
        <f t="shared" si="8"/>
        <v>#N/A</v>
      </c>
      <c r="E496" s="51" t="s">
        <v>102</v>
      </c>
      <c r="F496" s="49" t="b">
        <f>IF(Educator!B501&gt;0,"active")</f>
        <v>0</v>
      </c>
      <c r="J496" s="49" t="str">
        <f>"BP-"&amp;"TSWFL-"&amp;IF(ISNUMBER(Educator!D501),""&amp;Educator!D501,Educator!D501)&amp;"-"&amp;"2027"</f>
        <v>BP-TSWFL--2027</v>
      </c>
    </row>
    <row r="497" spans="1:10" x14ac:dyDescent="0.2">
      <c r="A4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","#",3))+1,1)&amp;"-"&amp;LEFT(Educator!B502, 3)&amp;"-"&amp;LEFT(Educator!A502, 3)&amp;"-"&amp;IF(ISNUMBER(Educator!D502),"G"&amp;Educator!D502,Educator!D502)&amp;"-"&amp;"2027"</f>
        <v>CID-FLH----2027</v>
      </c>
      <c r="B497" s="49" t="e" cm="1">
        <f t="array" ref="B497">Educator!B502&amp;" "&amp;_xlfn.IFS(AND(ISNUMBER(Educator!D502),Educator!D502&lt;&gt;9),"Grade "&amp;Educator!D502,Educator!D502=9,"Grade 9-12",ISTEXT(Educator!D502),Educator!D502)&amp;" "&amp;"Florida"&amp;" "&amp;"26-27"</f>
        <v>#N/A</v>
      </c>
      <c r="C497" s="49" t="e">
        <f t="shared" si="8"/>
        <v>#N/A</v>
      </c>
      <c r="E497" s="51" t="s">
        <v>102</v>
      </c>
      <c r="F497" s="49" t="b">
        <f>IF(Educator!B502&gt;0,"active")</f>
        <v>0</v>
      </c>
      <c r="J497" s="49" t="str">
        <f>"BP-"&amp;"TSWFL-"&amp;IF(ISNUMBER(Educator!D502),""&amp;Educator!D502,Educator!D502)&amp;"-"&amp;"2027"</f>
        <v>BP-TSWFL--2027</v>
      </c>
    </row>
    <row r="498" spans="1:10" x14ac:dyDescent="0.2">
      <c r="A4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","#",3))+1,1)&amp;"-"&amp;LEFT(Educator!B503, 3)&amp;"-"&amp;LEFT(Educator!A503, 3)&amp;"-"&amp;IF(ISNUMBER(Educator!D503),"G"&amp;Educator!D503,Educator!D503)&amp;"-"&amp;"2027"</f>
        <v>CID-FLH----2027</v>
      </c>
      <c r="B498" s="49" t="e" cm="1">
        <f t="array" ref="B498">Educator!B503&amp;" "&amp;_xlfn.IFS(AND(ISNUMBER(Educator!D503),Educator!D503&lt;&gt;9),"Grade "&amp;Educator!D503,Educator!D503=9,"Grade 9-12",ISTEXT(Educator!D503),Educator!D503)&amp;" "&amp;"Florida"&amp;" "&amp;"26-27"</f>
        <v>#N/A</v>
      </c>
      <c r="C498" s="49" t="e">
        <f t="shared" si="8"/>
        <v>#N/A</v>
      </c>
      <c r="E498" s="51" t="s">
        <v>102</v>
      </c>
      <c r="F498" s="49" t="b">
        <f>IF(Educator!B503&gt;0,"active")</f>
        <v>0</v>
      </c>
      <c r="J498" s="49" t="str">
        <f>"BP-"&amp;"TSWFL-"&amp;IF(ISNUMBER(Educator!D503),""&amp;Educator!D503,Educator!D503)&amp;"-"&amp;"2027"</f>
        <v>BP-TSWFL--2027</v>
      </c>
    </row>
    <row r="499" spans="1:10" x14ac:dyDescent="0.2">
      <c r="A4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","#",3))+1,1)&amp;"-"&amp;LEFT(Educator!B504, 3)&amp;"-"&amp;LEFT(Educator!A504, 3)&amp;"-"&amp;IF(ISNUMBER(Educator!D504),"G"&amp;Educator!D504,Educator!D504)&amp;"-"&amp;"2027"</f>
        <v>CID-FLH----2027</v>
      </c>
      <c r="B499" s="49" t="e" cm="1">
        <f t="array" ref="B499">Educator!B504&amp;" "&amp;_xlfn.IFS(AND(ISNUMBER(Educator!D504),Educator!D504&lt;&gt;9),"Grade "&amp;Educator!D504,Educator!D504=9,"Grade 9-12",ISTEXT(Educator!D504),Educator!D504)&amp;" "&amp;"Florida"&amp;" "&amp;"26-27"</f>
        <v>#N/A</v>
      </c>
      <c r="C499" s="49" t="e">
        <f t="shared" si="8"/>
        <v>#N/A</v>
      </c>
      <c r="E499" s="51" t="s">
        <v>102</v>
      </c>
      <c r="F499" s="49" t="b">
        <f>IF(Educator!B504&gt;0,"active")</f>
        <v>0</v>
      </c>
      <c r="J499" s="49" t="str">
        <f>"BP-"&amp;"TSWFL-"&amp;IF(ISNUMBER(Educator!D504),""&amp;Educator!D504,Educator!D504)&amp;"-"&amp;"2027"</f>
        <v>BP-TSWFL--2027</v>
      </c>
    </row>
    <row r="500" spans="1:10" x14ac:dyDescent="0.2">
      <c r="A5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","#",3))+1,1)&amp;"-"&amp;LEFT(Educator!B505, 3)&amp;"-"&amp;LEFT(Educator!A505, 3)&amp;"-"&amp;IF(ISNUMBER(Educator!D505),"G"&amp;Educator!D505,Educator!D505)&amp;"-"&amp;"2027"</f>
        <v>CID-FLH----2027</v>
      </c>
      <c r="B500" s="49" t="e" cm="1">
        <f t="array" ref="B500">Educator!B505&amp;" "&amp;_xlfn.IFS(AND(ISNUMBER(Educator!D505),Educator!D505&lt;&gt;9),"Grade "&amp;Educator!D505,Educator!D505=9,"Grade 9-12",ISTEXT(Educator!D505),Educator!D505)&amp;" "&amp;"Florida"&amp;" "&amp;"26-27"</f>
        <v>#N/A</v>
      </c>
      <c r="C500" s="49" t="e">
        <f t="shared" si="8"/>
        <v>#N/A</v>
      </c>
      <c r="E500" s="51" t="s">
        <v>102</v>
      </c>
      <c r="F500" s="49" t="b">
        <f>IF(Educator!B505&gt;0,"active")</f>
        <v>0</v>
      </c>
      <c r="J500" s="49" t="str">
        <f>"BP-"&amp;"TSWFL-"&amp;IF(ISNUMBER(Educator!D505),""&amp;Educator!D505,Educator!D505)&amp;"-"&amp;"2027"</f>
        <v>BP-TSWFL--2027</v>
      </c>
    </row>
    <row r="501" spans="1:10" x14ac:dyDescent="0.2">
      <c r="A5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","#",3))+1,1)&amp;"-"&amp;LEFT(Educator!B506, 3)&amp;"-"&amp;LEFT(Educator!A506, 3)&amp;"-"&amp;IF(ISNUMBER(Educator!D506),"G"&amp;Educator!D506,Educator!D506)&amp;"-"&amp;"2027"</f>
        <v>CID-FLH----2027</v>
      </c>
      <c r="B501" s="49" t="e" cm="1">
        <f t="array" ref="B501">Educator!B506&amp;" "&amp;_xlfn.IFS(AND(ISNUMBER(Educator!D506),Educator!D506&lt;&gt;9),"Grade "&amp;Educator!D506,Educator!D506=9,"Grade 9-12",ISTEXT(Educator!D506),Educator!D506)&amp;" "&amp;"Florida"&amp;" "&amp;"26-27"</f>
        <v>#N/A</v>
      </c>
      <c r="C501" s="49" t="e">
        <f t="shared" si="8"/>
        <v>#N/A</v>
      </c>
      <c r="E501" s="51" t="s">
        <v>102</v>
      </c>
      <c r="F501" s="49" t="b">
        <f>IF(Educator!B506&gt;0,"active")</f>
        <v>0</v>
      </c>
      <c r="J501" s="49" t="str">
        <f>"BP-"&amp;"TSWFL-"&amp;IF(ISNUMBER(Educator!D506),""&amp;Educator!D506,Educator!D506)&amp;"-"&amp;"2027"</f>
        <v>BP-TSWFL--2027</v>
      </c>
    </row>
    <row r="502" spans="1:10" x14ac:dyDescent="0.2">
      <c r="A5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","#",3))+1,1)&amp;"-"&amp;LEFT(Educator!B507, 3)&amp;"-"&amp;LEFT(Educator!A507, 3)&amp;"-"&amp;IF(ISNUMBER(Educator!D507),"G"&amp;Educator!D507,Educator!D507)&amp;"-"&amp;"2027"</f>
        <v>CID-FLH----2027</v>
      </c>
      <c r="B502" s="49" t="e" cm="1">
        <f t="array" ref="B502">Educator!B507&amp;" "&amp;_xlfn.IFS(AND(ISNUMBER(Educator!D507),Educator!D507&lt;&gt;9),"Grade "&amp;Educator!D507,Educator!D507=9,"Grade 9-12",ISTEXT(Educator!D507),Educator!D507)&amp;" "&amp;"Florida"&amp;" "&amp;"26-27"</f>
        <v>#N/A</v>
      </c>
      <c r="C502" s="49" t="e">
        <f t="shared" si="8"/>
        <v>#N/A</v>
      </c>
      <c r="E502" s="51" t="s">
        <v>102</v>
      </c>
      <c r="F502" s="49" t="b">
        <f>IF(Educator!B507&gt;0,"active")</f>
        <v>0</v>
      </c>
      <c r="J502" s="49" t="str">
        <f>"BP-"&amp;"TSWFL-"&amp;IF(ISNUMBER(Educator!D507),""&amp;Educator!D507,Educator!D507)&amp;"-"&amp;"2027"</f>
        <v>BP-TSWFL--2027</v>
      </c>
    </row>
    <row r="503" spans="1:10" x14ac:dyDescent="0.2">
      <c r="A5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","#",3))+1,1)&amp;"-"&amp;LEFT(Educator!B508, 3)&amp;"-"&amp;LEFT(Educator!A508, 3)&amp;"-"&amp;IF(ISNUMBER(Educator!D508),"G"&amp;Educator!D508,Educator!D508)&amp;"-"&amp;"2027"</f>
        <v>CID-FLH----2027</v>
      </c>
      <c r="B503" s="49" t="e" cm="1">
        <f t="array" ref="B503">Educator!B508&amp;" "&amp;_xlfn.IFS(AND(ISNUMBER(Educator!D508),Educator!D508&lt;&gt;9),"Grade "&amp;Educator!D508,Educator!D508=9,"Grade 9-12",ISTEXT(Educator!D508),Educator!D508)&amp;" "&amp;"Florida"&amp;" "&amp;"26-27"</f>
        <v>#N/A</v>
      </c>
      <c r="C503" s="49" t="e">
        <f t="shared" si="8"/>
        <v>#N/A</v>
      </c>
      <c r="E503" s="51" t="s">
        <v>102</v>
      </c>
      <c r="F503" s="49" t="b">
        <f>IF(Educator!B508&gt;0,"active")</f>
        <v>0</v>
      </c>
      <c r="J503" s="49" t="str">
        <f>"BP-"&amp;"TSWFL-"&amp;IF(ISNUMBER(Educator!D508),""&amp;Educator!D508,Educator!D508)&amp;"-"&amp;"2027"</f>
        <v>BP-TSWFL--2027</v>
      </c>
    </row>
    <row r="504" spans="1:10" x14ac:dyDescent="0.2">
      <c r="A5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","#",3))+1,1)&amp;"-"&amp;LEFT(Educator!B509, 3)&amp;"-"&amp;LEFT(Educator!A509, 3)&amp;"-"&amp;IF(ISNUMBER(Educator!D509),"G"&amp;Educator!D509,Educator!D509)&amp;"-"&amp;"2027"</f>
        <v>CID-FLH----2027</v>
      </c>
      <c r="B504" s="49" t="e" cm="1">
        <f t="array" ref="B504">Educator!B509&amp;" "&amp;_xlfn.IFS(AND(ISNUMBER(Educator!D509),Educator!D509&lt;&gt;9),"Grade "&amp;Educator!D509,Educator!D509=9,"Grade 9-12",ISTEXT(Educator!D509),Educator!D509)&amp;" "&amp;"Florida"&amp;" "&amp;"26-27"</f>
        <v>#N/A</v>
      </c>
      <c r="C504" s="49" t="e">
        <f t="shared" si="8"/>
        <v>#N/A</v>
      </c>
      <c r="E504" s="51" t="s">
        <v>102</v>
      </c>
      <c r="F504" s="49" t="b">
        <f>IF(Educator!B509&gt;0,"active")</f>
        <v>0</v>
      </c>
      <c r="J504" s="49" t="str">
        <f>"BP-"&amp;"TSWFL-"&amp;IF(ISNUMBER(Educator!D509),""&amp;Educator!D509,Educator!D509)&amp;"-"&amp;"2027"</f>
        <v>BP-TSWFL--2027</v>
      </c>
    </row>
    <row r="505" spans="1:10" x14ac:dyDescent="0.2">
      <c r="A5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","#",3))+1,1)&amp;"-"&amp;LEFT(Educator!B510, 3)&amp;"-"&amp;LEFT(Educator!A510, 3)&amp;"-"&amp;IF(ISNUMBER(Educator!D510),"G"&amp;Educator!D510,Educator!D510)&amp;"-"&amp;"2027"</f>
        <v>CID-FLH----2027</v>
      </c>
      <c r="B505" s="49" t="e" cm="1">
        <f t="array" ref="B505">Educator!B510&amp;" "&amp;_xlfn.IFS(AND(ISNUMBER(Educator!D510),Educator!D510&lt;&gt;9),"Grade "&amp;Educator!D510,Educator!D510=9,"Grade 9-12",ISTEXT(Educator!D510),Educator!D510)&amp;" "&amp;"Florida"&amp;" "&amp;"26-27"</f>
        <v>#N/A</v>
      </c>
      <c r="C505" s="49" t="e">
        <f t="shared" si="8"/>
        <v>#N/A</v>
      </c>
      <c r="E505" s="51" t="s">
        <v>102</v>
      </c>
      <c r="F505" s="49" t="b">
        <f>IF(Educator!B510&gt;0,"active")</f>
        <v>0</v>
      </c>
      <c r="J505" s="49" t="str">
        <f>"BP-"&amp;"TSWFL-"&amp;IF(ISNUMBER(Educator!D510),""&amp;Educator!D510,Educator!D510)&amp;"-"&amp;"2027"</f>
        <v>BP-TSWFL--2027</v>
      </c>
    </row>
    <row r="506" spans="1:10" x14ac:dyDescent="0.2">
      <c r="A5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","#",3))+1,1)&amp;"-"&amp;LEFT(Educator!B511, 3)&amp;"-"&amp;LEFT(Educator!A511, 3)&amp;"-"&amp;IF(ISNUMBER(Educator!D511),"G"&amp;Educator!D511,Educator!D511)&amp;"-"&amp;"2027"</f>
        <v>CID-FLH----2027</v>
      </c>
      <c r="B506" s="49" t="e" cm="1">
        <f t="array" ref="B506">Educator!B511&amp;" "&amp;_xlfn.IFS(AND(ISNUMBER(Educator!D511),Educator!D511&lt;&gt;9),"Grade "&amp;Educator!D511,Educator!D511=9,"Grade 9-12",ISTEXT(Educator!D511),Educator!D511)&amp;" "&amp;"Florida"&amp;" "&amp;"26-27"</f>
        <v>#N/A</v>
      </c>
      <c r="C506" s="49" t="e">
        <f t="shared" si="8"/>
        <v>#N/A</v>
      </c>
      <c r="E506" s="51" t="s">
        <v>102</v>
      </c>
      <c r="F506" s="49" t="b">
        <f>IF(Educator!B511&gt;0,"active")</f>
        <v>0</v>
      </c>
      <c r="J506" s="49" t="str">
        <f>"BP-"&amp;"TSWFL-"&amp;IF(ISNUMBER(Educator!D511),""&amp;Educator!D511,Educator!D511)&amp;"-"&amp;"2027"</f>
        <v>BP-TSWFL--2027</v>
      </c>
    </row>
    <row r="507" spans="1:10" x14ac:dyDescent="0.2">
      <c r="A5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","#",3))+1,1)&amp;"-"&amp;LEFT(Educator!B512, 3)&amp;"-"&amp;LEFT(Educator!A512, 3)&amp;"-"&amp;IF(ISNUMBER(Educator!D512),"G"&amp;Educator!D512,Educator!D512)&amp;"-"&amp;"2027"</f>
        <v>CID-FLH----2027</v>
      </c>
      <c r="B507" s="49" t="e" cm="1">
        <f t="array" ref="B507">Educator!B512&amp;" "&amp;_xlfn.IFS(AND(ISNUMBER(Educator!D512),Educator!D512&lt;&gt;9),"Grade "&amp;Educator!D512,Educator!D512=9,"Grade 9-12",ISTEXT(Educator!D512),Educator!D512)&amp;" "&amp;"Florida"&amp;" "&amp;"26-27"</f>
        <v>#N/A</v>
      </c>
      <c r="C507" s="49" t="e">
        <f t="shared" si="8"/>
        <v>#N/A</v>
      </c>
      <c r="E507" s="51" t="s">
        <v>102</v>
      </c>
      <c r="F507" s="49" t="b">
        <f>IF(Educator!B512&gt;0,"active")</f>
        <v>0</v>
      </c>
      <c r="J507" s="49" t="str">
        <f>"BP-"&amp;"TSWFL-"&amp;IF(ISNUMBER(Educator!D512),""&amp;Educator!D512,Educator!D512)&amp;"-"&amp;"2027"</f>
        <v>BP-TSWFL--2027</v>
      </c>
    </row>
    <row r="508" spans="1:10" x14ac:dyDescent="0.2">
      <c r="A5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","#",3))+1,1)&amp;"-"&amp;LEFT(Educator!B513, 3)&amp;"-"&amp;LEFT(Educator!A513, 3)&amp;"-"&amp;IF(ISNUMBER(Educator!D513),"G"&amp;Educator!D513,Educator!D513)&amp;"-"&amp;"2027"</f>
        <v>CID-FLH----2027</v>
      </c>
      <c r="B508" s="49" t="e" cm="1">
        <f t="array" ref="B508">Educator!B513&amp;" "&amp;_xlfn.IFS(AND(ISNUMBER(Educator!D513),Educator!D513&lt;&gt;9),"Grade "&amp;Educator!D513,Educator!D513=9,"Grade 9-12",ISTEXT(Educator!D513),Educator!D513)&amp;" "&amp;"Florida"&amp;" "&amp;"26-27"</f>
        <v>#N/A</v>
      </c>
      <c r="C508" s="49" t="e">
        <f t="shared" si="8"/>
        <v>#N/A</v>
      </c>
      <c r="E508" s="51" t="s">
        <v>102</v>
      </c>
      <c r="F508" s="49" t="b">
        <f>IF(Educator!B513&gt;0,"active")</f>
        <v>0</v>
      </c>
      <c r="J508" s="49" t="str">
        <f>"BP-"&amp;"TSWFL-"&amp;IF(ISNUMBER(Educator!D513),""&amp;Educator!D513,Educator!D513)&amp;"-"&amp;"2027"</f>
        <v>BP-TSWFL--2027</v>
      </c>
    </row>
    <row r="509" spans="1:10" x14ac:dyDescent="0.2">
      <c r="A5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","#",3))+1,1)&amp;"-"&amp;LEFT(Educator!B514, 3)&amp;"-"&amp;LEFT(Educator!A514, 3)&amp;"-"&amp;IF(ISNUMBER(Educator!D514),"G"&amp;Educator!D514,Educator!D514)&amp;"-"&amp;"2027"</f>
        <v>CID-FLH----2027</v>
      </c>
      <c r="B509" s="49" t="e" cm="1">
        <f t="array" ref="B509">Educator!B514&amp;" "&amp;_xlfn.IFS(AND(ISNUMBER(Educator!D514),Educator!D514&lt;&gt;9),"Grade "&amp;Educator!D514,Educator!D514=9,"Grade 9-12",ISTEXT(Educator!D514),Educator!D514)&amp;" "&amp;"Florida"&amp;" "&amp;"26-27"</f>
        <v>#N/A</v>
      </c>
      <c r="C509" s="49" t="e">
        <f t="shared" si="8"/>
        <v>#N/A</v>
      </c>
      <c r="E509" s="51" t="s">
        <v>102</v>
      </c>
      <c r="F509" s="49" t="b">
        <f>IF(Educator!B514&gt;0,"active")</f>
        <v>0</v>
      </c>
      <c r="J509" s="49" t="str">
        <f>"BP-"&amp;"TSWFL-"&amp;IF(ISNUMBER(Educator!D514),""&amp;Educator!D514,Educator!D514)&amp;"-"&amp;"2027"</f>
        <v>BP-TSWFL--2027</v>
      </c>
    </row>
    <row r="510" spans="1:10" x14ac:dyDescent="0.2">
      <c r="A5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","#",3))+1,1)&amp;"-"&amp;LEFT(Educator!B515, 3)&amp;"-"&amp;LEFT(Educator!A515, 3)&amp;"-"&amp;IF(ISNUMBER(Educator!D515),"G"&amp;Educator!D515,Educator!D515)&amp;"-"&amp;"2027"</f>
        <v>CID-FLH----2027</v>
      </c>
      <c r="B510" s="49" t="e" cm="1">
        <f t="array" ref="B510">Educator!B515&amp;" "&amp;_xlfn.IFS(AND(ISNUMBER(Educator!D515),Educator!D515&lt;&gt;9),"Grade "&amp;Educator!D515,Educator!D515=9,"Grade 9-12",ISTEXT(Educator!D515),Educator!D515)&amp;" "&amp;"Florida"&amp;" "&amp;"26-27"</f>
        <v>#N/A</v>
      </c>
      <c r="C510" s="49" t="e">
        <f t="shared" si="8"/>
        <v>#N/A</v>
      </c>
      <c r="E510" s="51" t="s">
        <v>102</v>
      </c>
      <c r="F510" s="49" t="b">
        <f>IF(Educator!B515&gt;0,"active")</f>
        <v>0</v>
      </c>
      <c r="J510" s="49" t="str">
        <f>"BP-"&amp;"TSWFL-"&amp;IF(ISNUMBER(Educator!D515),""&amp;Educator!D515,Educator!D515)&amp;"-"&amp;"2027"</f>
        <v>BP-TSWFL--2027</v>
      </c>
    </row>
    <row r="511" spans="1:10" x14ac:dyDescent="0.2">
      <c r="A5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","#",3))+1,1)&amp;"-"&amp;LEFT(Educator!B516, 3)&amp;"-"&amp;LEFT(Educator!A516, 3)&amp;"-"&amp;IF(ISNUMBER(Educator!D516),"G"&amp;Educator!D516,Educator!D516)&amp;"-"&amp;"2027"</f>
        <v>CID-FLH----2027</v>
      </c>
      <c r="B511" s="49" t="e" cm="1">
        <f t="array" ref="B511">Educator!B516&amp;" "&amp;_xlfn.IFS(AND(ISNUMBER(Educator!D516),Educator!D516&lt;&gt;9),"Grade "&amp;Educator!D516,Educator!D516=9,"Grade 9-12",ISTEXT(Educator!D516),Educator!D516)&amp;" "&amp;"Florida"&amp;" "&amp;"26-27"</f>
        <v>#N/A</v>
      </c>
      <c r="C511" s="49" t="e">
        <f t="shared" si="8"/>
        <v>#N/A</v>
      </c>
      <c r="E511" s="51" t="s">
        <v>102</v>
      </c>
      <c r="F511" s="49" t="b">
        <f>IF(Educator!B516&gt;0,"active")</f>
        <v>0</v>
      </c>
      <c r="J511" s="49" t="str">
        <f>"BP-"&amp;"TSWFL-"&amp;IF(ISNUMBER(Educator!D516),""&amp;Educator!D516,Educator!D516)&amp;"-"&amp;"2027"</f>
        <v>BP-TSWFL--2027</v>
      </c>
    </row>
    <row r="512" spans="1:10" x14ac:dyDescent="0.2">
      <c r="A5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","#",3))+1,1)&amp;"-"&amp;LEFT(Educator!B517, 3)&amp;"-"&amp;LEFT(Educator!A517, 3)&amp;"-"&amp;IF(ISNUMBER(Educator!D517),"G"&amp;Educator!D517,Educator!D517)&amp;"-"&amp;"2027"</f>
        <v>CID-FLH----2027</v>
      </c>
      <c r="B512" s="49" t="e" cm="1">
        <f t="array" ref="B512">Educator!B517&amp;" "&amp;_xlfn.IFS(AND(ISNUMBER(Educator!D517),Educator!D517&lt;&gt;9),"Grade "&amp;Educator!D517,Educator!D517=9,"Grade 9-12",ISTEXT(Educator!D517),Educator!D517)&amp;" "&amp;"Florida"&amp;" "&amp;"26-27"</f>
        <v>#N/A</v>
      </c>
      <c r="C512" s="49" t="e">
        <f t="shared" si="8"/>
        <v>#N/A</v>
      </c>
      <c r="E512" s="51" t="s">
        <v>102</v>
      </c>
      <c r="F512" s="49" t="b">
        <f>IF(Educator!B517&gt;0,"active")</f>
        <v>0</v>
      </c>
      <c r="J512" s="49" t="str">
        <f>"BP-"&amp;"TSWFL-"&amp;IF(ISNUMBER(Educator!D517),""&amp;Educator!D517,Educator!D517)&amp;"-"&amp;"2027"</f>
        <v>BP-TSWFL--2027</v>
      </c>
    </row>
    <row r="513" spans="1:10" x14ac:dyDescent="0.2">
      <c r="A5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","#",3))+1,1)&amp;"-"&amp;LEFT(Educator!B518, 3)&amp;"-"&amp;LEFT(Educator!A518, 3)&amp;"-"&amp;IF(ISNUMBER(Educator!D518),"G"&amp;Educator!D518,Educator!D518)&amp;"-"&amp;"2027"</f>
        <v>CID-FLH----2027</v>
      </c>
      <c r="B513" s="49" t="e" cm="1">
        <f t="array" ref="B513">Educator!B518&amp;" "&amp;_xlfn.IFS(AND(ISNUMBER(Educator!D518),Educator!D518&lt;&gt;9),"Grade "&amp;Educator!D518,Educator!D518=9,"Grade 9-12",ISTEXT(Educator!D518),Educator!D518)&amp;" "&amp;"Florida"&amp;" "&amp;"26-27"</f>
        <v>#N/A</v>
      </c>
      <c r="C513" s="49" t="e">
        <f t="shared" si="8"/>
        <v>#N/A</v>
      </c>
      <c r="E513" s="51" t="s">
        <v>102</v>
      </c>
      <c r="F513" s="49" t="b">
        <f>IF(Educator!B518&gt;0,"active")</f>
        <v>0</v>
      </c>
      <c r="J513" s="49" t="str">
        <f>"BP-"&amp;"TSWFL-"&amp;IF(ISNUMBER(Educator!D518),""&amp;Educator!D518,Educator!D518)&amp;"-"&amp;"2027"</f>
        <v>BP-TSWFL--2027</v>
      </c>
    </row>
    <row r="514" spans="1:10" x14ac:dyDescent="0.2">
      <c r="A5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","#",3))+1,1)&amp;"-"&amp;LEFT(Educator!B519, 3)&amp;"-"&amp;LEFT(Educator!A519, 3)&amp;"-"&amp;IF(ISNUMBER(Educator!D519),"G"&amp;Educator!D519,Educator!D519)&amp;"-"&amp;"2027"</f>
        <v>CID-FLH----2027</v>
      </c>
      <c r="B514" s="49" t="e" cm="1">
        <f t="array" ref="B514">Educator!B519&amp;" "&amp;_xlfn.IFS(AND(ISNUMBER(Educator!D519),Educator!D519&lt;&gt;9),"Grade "&amp;Educator!D519,Educator!D519=9,"Grade 9-12",ISTEXT(Educator!D519),Educator!D519)&amp;" "&amp;"Florida"&amp;" "&amp;"26-27"</f>
        <v>#N/A</v>
      </c>
      <c r="C514" s="49" t="e">
        <f t="shared" si="8"/>
        <v>#N/A</v>
      </c>
      <c r="E514" s="51" t="s">
        <v>102</v>
      </c>
      <c r="F514" s="49" t="b">
        <f>IF(Educator!B519&gt;0,"active")</f>
        <v>0</v>
      </c>
      <c r="J514" s="49" t="str">
        <f>"BP-"&amp;"TSWFL-"&amp;IF(ISNUMBER(Educator!D519),""&amp;Educator!D519,Educator!D519)&amp;"-"&amp;"2027"</f>
        <v>BP-TSWFL--2027</v>
      </c>
    </row>
    <row r="515" spans="1:10" x14ac:dyDescent="0.2">
      <c r="A5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","#",3))+1,1)&amp;"-"&amp;LEFT(Educator!B520, 3)&amp;"-"&amp;LEFT(Educator!A520, 3)&amp;"-"&amp;IF(ISNUMBER(Educator!D520),"G"&amp;Educator!D520,Educator!D520)&amp;"-"&amp;"2027"</f>
        <v>CID-FLH----2027</v>
      </c>
      <c r="B515" s="49" t="e" cm="1">
        <f t="array" ref="B515">Educator!B520&amp;" "&amp;_xlfn.IFS(AND(ISNUMBER(Educator!D520),Educator!D520&lt;&gt;9),"Grade "&amp;Educator!D520,Educator!D520=9,"Grade 9-12",ISTEXT(Educator!D520),Educator!D520)&amp;" "&amp;"Florida"&amp;" "&amp;"26-27"</f>
        <v>#N/A</v>
      </c>
      <c r="C515" s="49" t="e">
        <f t="shared" si="8"/>
        <v>#N/A</v>
      </c>
      <c r="E515" s="51" t="s">
        <v>102</v>
      </c>
      <c r="F515" s="49" t="b">
        <f>IF(Educator!B520&gt;0,"active")</f>
        <v>0</v>
      </c>
      <c r="J515" s="49" t="str">
        <f>"BP-"&amp;"TSWFL-"&amp;IF(ISNUMBER(Educator!D520),""&amp;Educator!D520,Educator!D520)&amp;"-"&amp;"2027"</f>
        <v>BP-TSWFL--2027</v>
      </c>
    </row>
    <row r="516" spans="1:10" x14ac:dyDescent="0.2">
      <c r="A5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","#",3))+1,1)&amp;"-"&amp;LEFT(Educator!B521, 3)&amp;"-"&amp;LEFT(Educator!A521, 3)&amp;"-"&amp;IF(ISNUMBER(Educator!D521),"G"&amp;Educator!D521,Educator!D521)&amp;"-"&amp;"2027"</f>
        <v>CID-FLH----2027</v>
      </c>
      <c r="B516" s="49" t="e" cm="1">
        <f t="array" ref="B516">Educator!B521&amp;" "&amp;_xlfn.IFS(AND(ISNUMBER(Educator!D521),Educator!D521&lt;&gt;9),"Grade "&amp;Educator!D521,Educator!D521=9,"Grade 9-12",ISTEXT(Educator!D521),Educator!D521)&amp;" "&amp;"Florida"&amp;" "&amp;"26-27"</f>
        <v>#N/A</v>
      </c>
      <c r="C516" s="49" t="e">
        <f t="shared" si="8"/>
        <v>#N/A</v>
      </c>
      <c r="E516" s="51" t="s">
        <v>102</v>
      </c>
      <c r="F516" s="49" t="b">
        <f>IF(Educator!B521&gt;0,"active")</f>
        <v>0</v>
      </c>
      <c r="J516" s="49" t="str">
        <f>"BP-"&amp;"TSWFL-"&amp;IF(ISNUMBER(Educator!D521),""&amp;Educator!D521,Educator!D521)&amp;"-"&amp;"2027"</f>
        <v>BP-TSWFL--2027</v>
      </c>
    </row>
    <row r="517" spans="1:10" x14ac:dyDescent="0.2">
      <c r="A5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","#",3))+1,1)&amp;"-"&amp;LEFT(Educator!B522, 3)&amp;"-"&amp;LEFT(Educator!A522, 3)&amp;"-"&amp;IF(ISNUMBER(Educator!D522),"G"&amp;Educator!D522,Educator!D522)&amp;"-"&amp;"2027"</f>
        <v>CID-FLH----2027</v>
      </c>
      <c r="B517" s="49" t="e" cm="1">
        <f t="array" ref="B517">Educator!B522&amp;" "&amp;_xlfn.IFS(AND(ISNUMBER(Educator!D522),Educator!D522&lt;&gt;9),"Grade "&amp;Educator!D522,Educator!D522=9,"Grade 9-12",ISTEXT(Educator!D522),Educator!D522)&amp;" "&amp;"Florida"&amp;" "&amp;"26-27"</f>
        <v>#N/A</v>
      </c>
      <c r="C517" s="49" t="e">
        <f t="shared" si="8"/>
        <v>#N/A</v>
      </c>
      <c r="E517" s="51" t="s">
        <v>102</v>
      </c>
      <c r="F517" s="49" t="b">
        <f>IF(Educator!B522&gt;0,"active")</f>
        <v>0</v>
      </c>
      <c r="J517" s="49" t="str">
        <f>"BP-"&amp;"TSWFL-"&amp;IF(ISNUMBER(Educator!D522),""&amp;Educator!D522,Educator!D522)&amp;"-"&amp;"2027"</f>
        <v>BP-TSWFL--2027</v>
      </c>
    </row>
    <row r="518" spans="1:10" x14ac:dyDescent="0.2">
      <c r="A5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","#",3))+1,1)&amp;"-"&amp;LEFT(Educator!B523, 3)&amp;"-"&amp;LEFT(Educator!A523, 3)&amp;"-"&amp;IF(ISNUMBER(Educator!D523),"G"&amp;Educator!D523,Educator!D523)&amp;"-"&amp;"2027"</f>
        <v>CID-FLH----2027</v>
      </c>
      <c r="B518" s="49" t="e" cm="1">
        <f t="array" ref="B518">Educator!B523&amp;" "&amp;_xlfn.IFS(AND(ISNUMBER(Educator!D523),Educator!D523&lt;&gt;9),"Grade "&amp;Educator!D523,Educator!D523=9,"Grade 9-12",ISTEXT(Educator!D523),Educator!D523)&amp;" "&amp;"Florida"&amp;" "&amp;"26-27"</f>
        <v>#N/A</v>
      </c>
      <c r="C518" s="49" t="e">
        <f t="shared" si="8"/>
        <v>#N/A</v>
      </c>
      <c r="E518" s="51" t="s">
        <v>102</v>
      </c>
      <c r="F518" s="49" t="b">
        <f>IF(Educator!B523&gt;0,"active")</f>
        <v>0</v>
      </c>
      <c r="J518" s="49" t="str">
        <f>"BP-"&amp;"TSWFL-"&amp;IF(ISNUMBER(Educator!D523),""&amp;Educator!D523,Educator!D523)&amp;"-"&amp;"2027"</f>
        <v>BP-TSWFL--2027</v>
      </c>
    </row>
    <row r="519" spans="1:10" x14ac:dyDescent="0.2">
      <c r="A5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","#",3))+1,1)&amp;"-"&amp;LEFT(Educator!B524, 3)&amp;"-"&amp;LEFT(Educator!A524, 3)&amp;"-"&amp;IF(ISNUMBER(Educator!D524),"G"&amp;Educator!D524,Educator!D524)&amp;"-"&amp;"2027"</f>
        <v>CID-FLH----2027</v>
      </c>
      <c r="B519" s="49" t="e" cm="1">
        <f t="array" ref="B519">Educator!B524&amp;" "&amp;_xlfn.IFS(AND(ISNUMBER(Educator!D524),Educator!D524&lt;&gt;9),"Grade "&amp;Educator!D524,Educator!D524=9,"Grade 9-12",ISTEXT(Educator!D524),Educator!D524)&amp;" "&amp;"Florida"&amp;" "&amp;"26-27"</f>
        <v>#N/A</v>
      </c>
      <c r="C519" s="49" t="e">
        <f t="shared" si="8"/>
        <v>#N/A</v>
      </c>
      <c r="E519" s="51" t="s">
        <v>102</v>
      </c>
      <c r="F519" s="49" t="b">
        <f>IF(Educator!B524&gt;0,"active")</f>
        <v>0</v>
      </c>
      <c r="J519" s="49" t="str">
        <f>"BP-"&amp;"TSWFL-"&amp;IF(ISNUMBER(Educator!D524),""&amp;Educator!D524,Educator!D524)&amp;"-"&amp;"2027"</f>
        <v>BP-TSWFL--2027</v>
      </c>
    </row>
    <row r="520" spans="1:10" x14ac:dyDescent="0.2">
      <c r="A5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","#",3))+1,1)&amp;"-"&amp;LEFT(Educator!B525, 3)&amp;"-"&amp;LEFT(Educator!A525, 3)&amp;"-"&amp;IF(ISNUMBER(Educator!D525),"G"&amp;Educator!D525,Educator!D525)&amp;"-"&amp;"2027"</f>
        <v>CID-FLH----2027</v>
      </c>
      <c r="B520" s="49" t="e" cm="1">
        <f t="array" ref="B520">Educator!B525&amp;" "&amp;_xlfn.IFS(AND(ISNUMBER(Educator!D525),Educator!D525&lt;&gt;9),"Grade "&amp;Educator!D525,Educator!D525=9,"Grade 9-12",ISTEXT(Educator!D525),Educator!D525)&amp;" "&amp;"Florida"&amp;" "&amp;"26-27"</f>
        <v>#N/A</v>
      </c>
      <c r="C520" s="49" t="e">
        <f t="shared" si="8"/>
        <v>#N/A</v>
      </c>
      <c r="E520" s="51" t="s">
        <v>102</v>
      </c>
      <c r="F520" s="49" t="b">
        <f>IF(Educator!B525&gt;0,"active")</f>
        <v>0</v>
      </c>
      <c r="J520" s="49" t="str">
        <f>"BP-"&amp;"TSWFL-"&amp;IF(ISNUMBER(Educator!D525),""&amp;Educator!D525,Educator!D525)&amp;"-"&amp;"2027"</f>
        <v>BP-TSWFL--2027</v>
      </c>
    </row>
    <row r="521" spans="1:10" x14ac:dyDescent="0.2">
      <c r="A5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","#",3))+1,1)&amp;"-"&amp;LEFT(Educator!B526, 3)&amp;"-"&amp;LEFT(Educator!A526, 3)&amp;"-"&amp;IF(ISNUMBER(Educator!D526),"G"&amp;Educator!D526,Educator!D526)&amp;"-"&amp;"2027"</f>
        <v>CID-FLH----2027</v>
      </c>
      <c r="B521" s="49" t="e" cm="1">
        <f t="array" ref="B521">Educator!B526&amp;" "&amp;_xlfn.IFS(AND(ISNUMBER(Educator!D526),Educator!D526&lt;&gt;9),"Grade "&amp;Educator!D526,Educator!D526=9,"Grade 9-12",ISTEXT(Educator!D526),Educator!D526)&amp;" "&amp;"Florida"&amp;" "&amp;"26-27"</f>
        <v>#N/A</v>
      </c>
      <c r="C521" s="49" t="e">
        <f t="shared" si="8"/>
        <v>#N/A</v>
      </c>
      <c r="E521" s="51" t="s">
        <v>102</v>
      </c>
      <c r="F521" s="49" t="b">
        <f>IF(Educator!B526&gt;0,"active")</f>
        <v>0</v>
      </c>
      <c r="J521" s="49" t="str">
        <f>"BP-"&amp;"TSWFL-"&amp;IF(ISNUMBER(Educator!D526),""&amp;Educator!D526,Educator!D526)&amp;"-"&amp;"2027"</f>
        <v>BP-TSWFL--2027</v>
      </c>
    </row>
    <row r="522" spans="1:10" x14ac:dyDescent="0.2">
      <c r="A5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","#",3))+1,1)&amp;"-"&amp;LEFT(Educator!B527, 3)&amp;"-"&amp;LEFT(Educator!A527, 3)&amp;"-"&amp;IF(ISNUMBER(Educator!D527),"G"&amp;Educator!D527,Educator!D527)&amp;"-"&amp;"2027"</f>
        <v>CID-FLH----2027</v>
      </c>
      <c r="B522" s="49" t="e" cm="1">
        <f t="array" ref="B522">Educator!B527&amp;" "&amp;_xlfn.IFS(AND(ISNUMBER(Educator!D527),Educator!D527&lt;&gt;9),"Grade "&amp;Educator!D527,Educator!D527=9,"Grade 9-12",ISTEXT(Educator!D527),Educator!D527)&amp;" "&amp;"Florida"&amp;" "&amp;"26-27"</f>
        <v>#N/A</v>
      </c>
      <c r="C522" s="49" t="e">
        <f t="shared" si="8"/>
        <v>#N/A</v>
      </c>
      <c r="E522" s="51" t="s">
        <v>102</v>
      </c>
      <c r="F522" s="49" t="b">
        <f>IF(Educator!B527&gt;0,"active")</f>
        <v>0</v>
      </c>
      <c r="J522" s="49" t="str">
        <f>"BP-"&amp;"TSWFL-"&amp;IF(ISNUMBER(Educator!D527),""&amp;Educator!D527,Educator!D527)&amp;"-"&amp;"2027"</f>
        <v>BP-TSWFL--2027</v>
      </c>
    </row>
    <row r="523" spans="1:10" x14ac:dyDescent="0.2">
      <c r="A5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","#",3))+1,1)&amp;"-"&amp;LEFT(Educator!B528, 3)&amp;"-"&amp;LEFT(Educator!A528, 3)&amp;"-"&amp;IF(ISNUMBER(Educator!D528),"G"&amp;Educator!D528,Educator!D528)&amp;"-"&amp;"2027"</f>
        <v>CID-FLH----2027</v>
      </c>
      <c r="B523" s="49" t="e" cm="1">
        <f t="array" ref="B523">Educator!B528&amp;" "&amp;_xlfn.IFS(AND(ISNUMBER(Educator!D528),Educator!D528&lt;&gt;9),"Grade "&amp;Educator!D528,Educator!D528=9,"Grade 9-12",ISTEXT(Educator!D528),Educator!D528)&amp;" "&amp;"Florida"&amp;" "&amp;"26-27"</f>
        <v>#N/A</v>
      </c>
      <c r="C523" s="49" t="e">
        <f t="shared" si="8"/>
        <v>#N/A</v>
      </c>
      <c r="E523" s="51" t="s">
        <v>102</v>
      </c>
      <c r="F523" s="49" t="b">
        <f>IF(Educator!B528&gt;0,"active")</f>
        <v>0</v>
      </c>
      <c r="J523" s="49" t="str">
        <f>"BP-"&amp;"TSWFL-"&amp;IF(ISNUMBER(Educator!D528),""&amp;Educator!D528,Educator!D528)&amp;"-"&amp;"2027"</f>
        <v>BP-TSWFL--2027</v>
      </c>
    </row>
    <row r="524" spans="1:10" x14ac:dyDescent="0.2">
      <c r="A5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","#",3))+1,1)&amp;"-"&amp;LEFT(Educator!B529, 3)&amp;"-"&amp;LEFT(Educator!A529, 3)&amp;"-"&amp;IF(ISNUMBER(Educator!D529),"G"&amp;Educator!D529,Educator!D529)&amp;"-"&amp;"2027"</f>
        <v>CID-FLH----2027</v>
      </c>
      <c r="B524" s="49" t="e" cm="1">
        <f t="array" ref="B524">Educator!B529&amp;" "&amp;_xlfn.IFS(AND(ISNUMBER(Educator!D529),Educator!D529&lt;&gt;9),"Grade "&amp;Educator!D529,Educator!D529=9,"Grade 9-12",ISTEXT(Educator!D529),Educator!D529)&amp;" "&amp;"Florida"&amp;" "&amp;"26-27"</f>
        <v>#N/A</v>
      </c>
      <c r="C524" s="49" t="e">
        <f t="shared" si="8"/>
        <v>#N/A</v>
      </c>
      <c r="E524" s="51" t="s">
        <v>102</v>
      </c>
      <c r="F524" s="49" t="b">
        <f>IF(Educator!B529&gt;0,"active")</f>
        <v>0</v>
      </c>
      <c r="J524" s="49" t="str">
        <f>"BP-"&amp;"TSWFL-"&amp;IF(ISNUMBER(Educator!D529),""&amp;Educator!D529,Educator!D529)&amp;"-"&amp;"2027"</f>
        <v>BP-TSWFL--2027</v>
      </c>
    </row>
    <row r="525" spans="1:10" x14ac:dyDescent="0.2">
      <c r="A5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","#",3))+1,1)&amp;"-"&amp;LEFT(Educator!B530, 3)&amp;"-"&amp;LEFT(Educator!A530, 3)&amp;"-"&amp;IF(ISNUMBER(Educator!D530),"G"&amp;Educator!D530,Educator!D530)&amp;"-"&amp;"2027"</f>
        <v>CID-FLH----2027</v>
      </c>
      <c r="B525" s="49" t="e" cm="1">
        <f t="array" ref="B525">Educator!B530&amp;" "&amp;_xlfn.IFS(AND(ISNUMBER(Educator!D530),Educator!D530&lt;&gt;9),"Grade "&amp;Educator!D530,Educator!D530=9,"Grade 9-12",ISTEXT(Educator!D530),Educator!D530)&amp;" "&amp;"Florida"&amp;" "&amp;"26-27"</f>
        <v>#N/A</v>
      </c>
      <c r="C525" s="49" t="e">
        <f t="shared" si="8"/>
        <v>#N/A</v>
      </c>
      <c r="E525" s="51" t="s">
        <v>102</v>
      </c>
      <c r="F525" s="49" t="b">
        <f>IF(Educator!B530&gt;0,"active")</f>
        <v>0</v>
      </c>
      <c r="J525" s="49" t="str">
        <f>"BP-"&amp;"TSWFL-"&amp;IF(ISNUMBER(Educator!D530),""&amp;Educator!D530,Educator!D530)&amp;"-"&amp;"2027"</f>
        <v>BP-TSWFL--2027</v>
      </c>
    </row>
    <row r="526" spans="1:10" x14ac:dyDescent="0.2">
      <c r="A5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","#",3))+1,1)&amp;"-"&amp;LEFT(Educator!B531, 3)&amp;"-"&amp;LEFT(Educator!A531, 3)&amp;"-"&amp;IF(ISNUMBER(Educator!D531),"G"&amp;Educator!D531,Educator!D531)&amp;"-"&amp;"2027"</f>
        <v>CID-FLH----2027</v>
      </c>
      <c r="B526" s="49" t="e" cm="1">
        <f t="array" ref="B526">Educator!B531&amp;" "&amp;_xlfn.IFS(AND(ISNUMBER(Educator!D531),Educator!D531&lt;&gt;9),"Grade "&amp;Educator!D531,Educator!D531=9,"Grade 9-12",ISTEXT(Educator!D531),Educator!D531)&amp;" "&amp;"Florida"&amp;" "&amp;"26-27"</f>
        <v>#N/A</v>
      </c>
      <c r="C526" s="49" t="e">
        <f t="shared" si="8"/>
        <v>#N/A</v>
      </c>
      <c r="E526" s="51" t="s">
        <v>102</v>
      </c>
      <c r="F526" s="49" t="b">
        <f>IF(Educator!B531&gt;0,"active")</f>
        <v>0</v>
      </c>
      <c r="J526" s="49" t="str">
        <f>"BP-"&amp;"TSWFL-"&amp;IF(ISNUMBER(Educator!D531),""&amp;Educator!D531,Educator!D531)&amp;"-"&amp;"2027"</f>
        <v>BP-TSWFL--2027</v>
      </c>
    </row>
    <row r="527" spans="1:10" x14ac:dyDescent="0.2">
      <c r="A5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","#",3))+1,1)&amp;"-"&amp;LEFT(Educator!B532, 3)&amp;"-"&amp;LEFT(Educator!A532, 3)&amp;"-"&amp;IF(ISNUMBER(Educator!D532),"G"&amp;Educator!D532,Educator!D532)&amp;"-"&amp;"2027"</f>
        <v>CID-FLH----2027</v>
      </c>
      <c r="B527" s="49" t="e" cm="1">
        <f t="array" ref="B527">Educator!B532&amp;" "&amp;_xlfn.IFS(AND(ISNUMBER(Educator!D532),Educator!D532&lt;&gt;9),"Grade "&amp;Educator!D532,Educator!D532=9,"Grade 9-12",ISTEXT(Educator!D532),Educator!D532)&amp;" "&amp;"Florida"&amp;" "&amp;"26-27"</f>
        <v>#N/A</v>
      </c>
      <c r="C527" s="49" t="e">
        <f t="shared" si="8"/>
        <v>#N/A</v>
      </c>
      <c r="E527" s="51" t="s">
        <v>102</v>
      </c>
      <c r="F527" s="49" t="b">
        <f>IF(Educator!B532&gt;0,"active")</f>
        <v>0</v>
      </c>
      <c r="J527" s="49" t="str">
        <f>"BP-"&amp;"TSWFL-"&amp;IF(ISNUMBER(Educator!D532),""&amp;Educator!D532,Educator!D532)&amp;"-"&amp;"2027"</f>
        <v>BP-TSWFL--2027</v>
      </c>
    </row>
    <row r="528" spans="1:10" x14ac:dyDescent="0.2">
      <c r="A5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","#",3))+1,1)&amp;"-"&amp;LEFT(Educator!B533, 3)&amp;"-"&amp;LEFT(Educator!A533, 3)&amp;"-"&amp;IF(ISNUMBER(Educator!D533),"G"&amp;Educator!D533,Educator!D533)&amp;"-"&amp;"2027"</f>
        <v>CID-FLH----2027</v>
      </c>
      <c r="B528" s="49" t="e" cm="1">
        <f t="array" ref="B528">Educator!B533&amp;" "&amp;_xlfn.IFS(AND(ISNUMBER(Educator!D533),Educator!D533&lt;&gt;9),"Grade "&amp;Educator!D533,Educator!D533=9,"Grade 9-12",ISTEXT(Educator!D533),Educator!D533)&amp;" "&amp;"Florida"&amp;" "&amp;"26-27"</f>
        <v>#N/A</v>
      </c>
      <c r="C528" s="49" t="e">
        <f t="shared" si="8"/>
        <v>#N/A</v>
      </c>
      <c r="E528" s="51" t="s">
        <v>102</v>
      </c>
      <c r="F528" s="49" t="b">
        <f>IF(Educator!B533&gt;0,"active")</f>
        <v>0</v>
      </c>
      <c r="J528" s="49" t="str">
        <f>"BP-"&amp;"TSWFL-"&amp;IF(ISNUMBER(Educator!D533),""&amp;Educator!D533,Educator!D533)&amp;"-"&amp;"2027"</f>
        <v>BP-TSWFL--2027</v>
      </c>
    </row>
    <row r="529" spans="1:10" x14ac:dyDescent="0.2">
      <c r="A5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","#",3))+1,1)&amp;"-"&amp;LEFT(Educator!B534, 3)&amp;"-"&amp;LEFT(Educator!A534, 3)&amp;"-"&amp;IF(ISNUMBER(Educator!D534),"G"&amp;Educator!D534,Educator!D534)&amp;"-"&amp;"2027"</f>
        <v>CID-FLH----2027</v>
      </c>
      <c r="B529" s="49" t="e" cm="1">
        <f t="array" ref="B529">Educator!B534&amp;" "&amp;_xlfn.IFS(AND(ISNUMBER(Educator!D534),Educator!D534&lt;&gt;9),"Grade "&amp;Educator!D534,Educator!D534=9,"Grade 9-12",ISTEXT(Educator!D534),Educator!D534)&amp;" "&amp;"Florida"&amp;" "&amp;"26-27"</f>
        <v>#N/A</v>
      </c>
      <c r="C529" s="49" t="e">
        <f t="shared" si="8"/>
        <v>#N/A</v>
      </c>
      <c r="E529" s="51" t="s">
        <v>102</v>
      </c>
      <c r="F529" s="49" t="b">
        <f>IF(Educator!B534&gt;0,"active")</f>
        <v>0</v>
      </c>
      <c r="J529" s="49" t="str">
        <f>"BP-"&amp;"TSWFL-"&amp;IF(ISNUMBER(Educator!D534),""&amp;Educator!D534,Educator!D534)&amp;"-"&amp;"2027"</f>
        <v>BP-TSWFL--2027</v>
      </c>
    </row>
    <row r="530" spans="1:10" x14ac:dyDescent="0.2">
      <c r="A5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","#",3))+1,1)&amp;"-"&amp;LEFT(Educator!B535, 3)&amp;"-"&amp;LEFT(Educator!A535, 3)&amp;"-"&amp;IF(ISNUMBER(Educator!D535),"G"&amp;Educator!D535,Educator!D535)&amp;"-"&amp;"2027"</f>
        <v>CID-FLH----2027</v>
      </c>
      <c r="B530" s="49" t="e" cm="1">
        <f t="array" ref="B530">Educator!B535&amp;" "&amp;_xlfn.IFS(AND(ISNUMBER(Educator!D535),Educator!D535&lt;&gt;9),"Grade "&amp;Educator!D535,Educator!D535=9,"Grade 9-12",ISTEXT(Educator!D535),Educator!D535)&amp;" "&amp;"Florida"&amp;" "&amp;"26-27"</f>
        <v>#N/A</v>
      </c>
      <c r="C530" s="49" t="e">
        <f t="shared" ref="C530:C593" si="9">B530</f>
        <v>#N/A</v>
      </c>
      <c r="E530" s="51" t="s">
        <v>102</v>
      </c>
      <c r="F530" s="49" t="b">
        <f>IF(Educator!B535&gt;0,"active")</f>
        <v>0</v>
      </c>
      <c r="J530" s="49" t="str">
        <f>"BP-"&amp;"TSWFL-"&amp;IF(ISNUMBER(Educator!D535),""&amp;Educator!D535,Educator!D535)&amp;"-"&amp;"2027"</f>
        <v>BP-TSWFL--2027</v>
      </c>
    </row>
    <row r="531" spans="1:10" x14ac:dyDescent="0.2">
      <c r="A5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","#",3))+1,1)&amp;"-"&amp;LEFT(Educator!B536, 3)&amp;"-"&amp;LEFT(Educator!A536, 3)&amp;"-"&amp;IF(ISNUMBER(Educator!D536),"G"&amp;Educator!D536,Educator!D536)&amp;"-"&amp;"2027"</f>
        <v>CID-FLH----2027</v>
      </c>
      <c r="B531" s="49" t="e" cm="1">
        <f t="array" ref="B531">Educator!B536&amp;" "&amp;_xlfn.IFS(AND(ISNUMBER(Educator!D536),Educator!D536&lt;&gt;9),"Grade "&amp;Educator!D536,Educator!D536=9,"Grade 9-12",ISTEXT(Educator!D536),Educator!D536)&amp;" "&amp;"Florida"&amp;" "&amp;"26-27"</f>
        <v>#N/A</v>
      </c>
      <c r="C531" s="49" t="e">
        <f t="shared" si="9"/>
        <v>#N/A</v>
      </c>
      <c r="E531" s="51" t="s">
        <v>102</v>
      </c>
      <c r="F531" s="49" t="b">
        <f>IF(Educator!B536&gt;0,"active")</f>
        <v>0</v>
      </c>
      <c r="J531" s="49" t="str">
        <f>"BP-"&amp;"TSWFL-"&amp;IF(ISNUMBER(Educator!D536),""&amp;Educator!D536,Educator!D536)&amp;"-"&amp;"2027"</f>
        <v>BP-TSWFL--2027</v>
      </c>
    </row>
    <row r="532" spans="1:10" x14ac:dyDescent="0.2">
      <c r="A5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","#",3))+1,1)&amp;"-"&amp;LEFT(Educator!B537, 3)&amp;"-"&amp;LEFT(Educator!A537, 3)&amp;"-"&amp;IF(ISNUMBER(Educator!D537),"G"&amp;Educator!D537,Educator!D537)&amp;"-"&amp;"2027"</f>
        <v>CID-FLH----2027</v>
      </c>
      <c r="B532" s="49" t="e" cm="1">
        <f t="array" ref="B532">Educator!B537&amp;" "&amp;_xlfn.IFS(AND(ISNUMBER(Educator!D537),Educator!D537&lt;&gt;9),"Grade "&amp;Educator!D537,Educator!D537=9,"Grade 9-12",ISTEXT(Educator!D537),Educator!D537)&amp;" "&amp;"Florida"&amp;" "&amp;"26-27"</f>
        <v>#N/A</v>
      </c>
      <c r="C532" s="49" t="e">
        <f t="shared" si="9"/>
        <v>#N/A</v>
      </c>
      <c r="E532" s="51" t="s">
        <v>102</v>
      </c>
      <c r="F532" s="49" t="b">
        <f>IF(Educator!B537&gt;0,"active")</f>
        <v>0</v>
      </c>
      <c r="J532" s="49" t="str">
        <f>"BP-"&amp;"TSWFL-"&amp;IF(ISNUMBER(Educator!D537),""&amp;Educator!D537,Educator!D537)&amp;"-"&amp;"2027"</f>
        <v>BP-TSWFL--2027</v>
      </c>
    </row>
    <row r="533" spans="1:10" x14ac:dyDescent="0.2">
      <c r="A5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","#",3))+1,1)&amp;"-"&amp;LEFT(Educator!B538, 3)&amp;"-"&amp;LEFT(Educator!A538, 3)&amp;"-"&amp;IF(ISNUMBER(Educator!D538),"G"&amp;Educator!D538,Educator!D538)&amp;"-"&amp;"2027"</f>
        <v>CID-FLH----2027</v>
      </c>
      <c r="B533" s="49" t="e" cm="1">
        <f t="array" ref="B533">Educator!B538&amp;" "&amp;_xlfn.IFS(AND(ISNUMBER(Educator!D538),Educator!D538&lt;&gt;9),"Grade "&amp;Educator!D538,Educator!D538=9,"Grade 9-12",ISTEXT(Educator!D538),Educator!D538)&amp;" "&amp;"Florida"&amp;" "&amp;"26-27"</f>
        <v>#N/A</v>
      </c>
      <c r="C533" s="49" t="e">
        <f t="shared" si="9"/>
        <v>#N/A</v>
      </c>
      <c r="E533" s="51" t="s">
        <v>102</v>
      </c>
      <c r="F533" s="49" t="b">
        <f>IF(Educator!B538&gt;0,"active")</f>
        <v>0</v>
      </c>
      <c r="J533" s="49" t="str">
        <f>"BP-"&amp;"TSWFL-"&amp;IF(ISNUMBER(Educator!D538),""&amp;Educator!D538,Educator!D538)&amp;"-"&amp;"2027"</f>
        <v>BP-TSWFL--2027</v>
      </c>
    </row>
    <row r="534" spans="1:10" x14ac:dyDescent="0.2">
      <c r="A5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","#",3))+1,1)&amp;"-"&amp;LEFT(Educator!B539, 3)&amp;"-"&amp;LEFT(Educator!A539, 3)&amp;"-"&amp;IF(ISNUMBER(Educator!D539),"G"&amp;Educator!D539,Educator!D539)&amp;"-"&amp;"2027"</f>
        <v>CID-FLH----2027</v>
      </c>
      <c r="B534" s="49" t="e" cm="1">
        <f t="array" ref="B534">Educator!B539&amp;" "&amp;_xlfn.IFS(AND(ISNUMBER(Educator!D539),Educator!D539&lt;&gt;9),"Grade "&amp;Educator!D539,Educator!D539=9,"Grade 9-12",ISTEXT(Educator!D539),Educator!D539)&amp;" "&amp;"Florida"&amp;" "&amp;"26-27"</f>
        <v>#N/A</v>
      </c>
      <c r="C534" s="49" t="e">
        <f t="shared" si="9"/>
        <v>#N/A</v>
      </c>
      <c r="E534" s="51" t="s">
        <v>102</v>
      </c>
      <c r="F534" s="49" t="b">
        <f>IF(Educator!B539&gt;0,"active")</f>
        <v>0</v>
      </c>
      <c r="J534" s="49" t="str">
        <f>"BP-"&amp;"TSWFL-"&amp;IF(ISNUMBER(Educator!D539),""&amp;Educator!D539,Educator!D539)&amp;"-"&amp;"2027"</f>
        <v>BP-TSWFL--2027</v>
      </c>
    </row>
    <row r="535" spans="1:10" x14ac:dyDescent="0.2">
      <c r="A5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","#",3))+1,1)&amp;"-"&amp;LEFT(Educator!B540, 3)&amp;"-"&amp;LEFT(Educator!A540, 3)&amp;"-"&amp;IF(ISNUMBER(Educator!D540),"G"&amp;Educator!D540,Educator!D540)&amp;"-"&amp;"2027"</f>
        <v>CID-FLH----2027</v>
      </c>
      <c r="B535" s="49" t="e" cm="1">
        <f t="array" ref="B535">Educator!B540&amp;" "&amp;_xlfn.IFS(AND(ISNUMBER(Educator!D540),Educator!D540&lt;&gt;9),"Grade "&amp;Educator!D540,Educator!D540=9,"Grade 9-12",ISTEXT(Educator!D540),Educator!D540)&amp;" "&amp;"Florida"&amp;" "&amp;"26-27"</f>
        <v>#N/A</v>
      </c>
      <c r="C535" s="49" t="e">
        <f t="shared" si="9"/>
        <v>#N/A</v>
      </c>
      <c r="E535" s="51" t="s">
        <v>102</v>
      </c>
      <c r="F535" s="49" t="b">
        <f>IF(Educator!B540&gt;0,"active")</f>
        <v>0</v>
      </c>
      <c r="J535" s="49" t="str">
        <f>"BP-"&amp;"TSWFL-"&amp;IF(ISNUMBER(Educator!D540),""&amp;Educator!D540,Educator!D540)&amp;"-"&amp;"2027"</f>
        <v>BP-TSWFL--2027</v>
      </c>
    </row>
    <row r="536" spans="1:10" x14ac:dyDescent="0.2">
      <c r="A5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","#",3))+1,1)&amp;"-"&amp;LEFT(Educator!B541, 3)&amp;"-"&amp;LEFT(Educator!A541, 3)&amp;"-"&amp;IF(ISNUMBER(Educator!D541),"G"&amp;Educator!D541,Educator!D541)&amp;"-"&amp;"2027"</f>
        <v>CID-FLH----2027</v>
      </c>
      <c r="B536" s="49" t="e" cm="1">
        <f t="array" ref="B536">Educator!B541&amp;" "&amp;_xlfn.IFS(AND(ISNUMBER(Educator!D541),Educator!D541&lt;&gt;9),"Grade "&amp;Educator!D541,Educator!D541=9,"Grade 9-12",ISTEXT(Educator!D541),Educator!D541)&amp;" "&amp;"Florida"&amp;" "&amp;"26-27"</f>
        <v>#N/A</v>
      </c>
      <c r="C536" s="49" t="e">
        <f t="shared" si="9"/>
        <v>#N/A</v>
      </c>
      <c r="E536" s="51" t="s">
        <v>102</v>
      </c>
      <c r="F536" s="49" t="b">
        <f>IF(Educator!B541&gt;0,"active")</f>
        <v>0</v>
      </c>
      <c r="J536" s="49" t="str">
        <f>"BP-"&amp;"TSWFL-"&amp;IF(ISNUMBER(Educator!D541),""&amp;Educator!D541,Educator!D541)&amp;"-"&amp;"2027"</f>
        <v>BP-TSWFL--2027</v>
      </c>
    </row>
    <row r="537" spans="1:10" x14ac:dyDescent="0.2">
      <c r="A5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","#",3))+1,1)&amp;"-"&amp;LEFT(Educator!B542, 3)&amp;"-"&amp;LEFT(Educator!A542, 3)&amp;"-"&amp;IF(ISNUMBER(Educator!D542),"G"&amp;Educator!D542,Educator!D542)&amp;"-"&amp;"2027"</f>
        <v>CID-FLH----2027</v>
      </c>
      <c r="B537" s="49" t="e" cm="1">
        <f t="array" ref="B537">Educator!B542&amp;" "&amp;_xlfn.IFS(AND(ISNUMBER(Educator!D542),Educator!D542&lt;&gt;9),"Grade "&amp;Educator!D542,Educator!D542=9,"Grade 9-12",ISTEXT(Educator!D542),Educator!D542)&amp;" "&amp;"Florida"&amp;" "&amp;"26-27"</f>
        <v>#N/A</v>
      </c>
      <c r="C537" s="49" t="e">
        <f t="shared" si="9"/>
        <v>#N/A</v>
      </c>
      <c r="E537" s="51" t="s">
        <v>102</v>
      </c>
      <c r="F537" s="49" t="b">
        <f>IF(Educator!B542&gt;0,"active")</f>
        <v>0</v>
      </c>
      <c r="J537" s="49" t="str">
        <f>"BP-"&amp;"TSWFL-"&amp;IF(ISNUMBER(Educator!D542),""&amp;Educator!D542,Educator!D542)&amp;"-"&amp;"2027"</f>
        <v>BP-TSWFL--2027</v>
      </c>
    </row>
    <row r="538" spans="1:10" x14ac:dyDescent="0.2">
      <c r="A5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","#",3))+1,1)&amp;"-"&amp;LEFT(Educator!B543, 3)&amp;"-"&amp;LEFT(Educator!A543, 3)&amp;"-"&amp;IF(ISNUMBER(Educator!D543),"G"&amp;Educator!D543,Educator!D543)&amp;"-"&amp;"2027"</f>
        <v>CID-FLH----2027</v>
      </c>
      <c r="B538" s="49" t="e" cm="1">
        <f t="array" ref="B538">Educator!B543&amp;" "&amp;_xlfn.IFS(AND(ISNUMBER(Educator!D543),Educator!D543&lt;&gt;9),"Grade "&amp;Educator!D543,Educator!D543=9,"Grade 9-12",ISTEXT(Educator!D543),Educator!D543)&amp;" "&amp;"Florida"&amp;" "&amp;"26-27"</f>
        <v>#N/A</v>
      </c>
      <c r="C538" s="49" t="e">
        <f t="shared" si="9"/>
        <v>#N/A</v>
      </c>
      <c r="E538" s="51" t="s">
        <v>102</v>
      </c>
      <c r="F538" s="49" t="b">
        <f>IF(Educator!B543&gt;0,"active")</f>
        <v>0</v>
      </c>
      <c r="J538" s="49" t="str">
        <f>"BP-"&amp;"TSWFL-"&amp;IF(ISNUMBER(Educator!D543),""&amp;Educator!D543,Educator!D543)&amp;"-"&amp;"2027"</f>
        <v>BP-TSWFL--2027</v>
      </c>
    </row>
    <row r="539" spans="1:10" x14ac:dyDescent="0.2">
      <c r="A5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","#",3))+1,1)&amp;"-"&amp;LEFT(Educator!B544, 3)&amp;"-"&amp;LEFT(Educator!A544, 3)&amp;"-"&amp;IF(ISNUMBER(Educator!D544),"G"&amp;Educator!D544,Educator!D544)&amp;"-"&amp;"2027"</f>
        <v>CID-FLH----2027</v>
      </c>
      <c r="B539" s="49" t="e" cm="1">
        <f t="array" ref="B539">Educator!B544&amp;" "&amp;_xlfn.IFS(AND(ISNUMBER(Educator!D544),Educator!D544&lt;&gt;9),"Grade "&amp;Educator!D544,Educator!D544=9,"Grade 9-12",ISTEXT(Educator!D544),Educator!D544)&amp;" "&amp;"Florida"&amp;" "&amp;"26-27"</f>
        <v>#N/A</v>
      </c>
      <c r="C539" s="49" t="e">
        <f t="shared" si="9"/>
        <v>#N/A</v>
      </c>
      <c r="E539" s="51" t="s">
        <v>102</v>
      </c>
      <c r="F539" s="49" t="b">
        <f>IF(Educator!B544&gt;0,"active")</f>
        <v>0</v>
      </c>
      <c r="J539" s="49" t="str">
        <f>"BP-"&amp;"TSWFL-"&amp;IF(ISNUMBER(Educator!D544),""&amp;Educator!D544,Educator!D544)&amp;"-"&amp;"2027"</f>
        <v>BP-TSWFL--2027</v>
      </c>
    </row>
    <row r="540" spans="1:10" x14ac:dyDescent="0.2">
      <c r="A5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","#",3))+1,1)&amp;"-"&amp;LEFT(Educator!B545, 3)&amp;"-"&amp;LEFT(Educator!A545, 3)&amp;"-"&amp;IF(ISNUMBER(Educator!D545),"G"&amp;Educator!D545,Educator!D545)&amp;"-"&amp;"2027"</f>
        <v>CID-FLH----2027</v>
      </c>
      <c r="B540" s="49" t="e" cm="1">
        <f t="array" ref="B540">Educator!B545&amp;" "&amp;_xlfn.IFS(AND(ISNUMBER(Educator!D545),Educator!D545&lt;&gt;9),"Grade "&amp;Educator!D545,Educator!D545=9,"Grade 9-12",ISTEXT(Educator!D545),Educator!D545)&amp;" "&amp;"Florida"&amp;" "&amp;"26-27"</f>
        <v>#N/A</v>
      </c>
      <c r="C540" s="49" t="e">
        <f t="shared" si="9"/>
        <v>#N/A</v>
      </c>
      <c r="E540" s="51" t="s">
        <v>102</v>
      </c>
      <c r="F540" s="49" t="b">
        <f>IF(Educator!B545&gt;0,"active")</f>
        <v>0</v>
      </c>
      <c r="J540" s="49" t="str">
        <f>"BP-"&amp;"TSWFL-"&amp;IF(ISNUMBER(Educator!D545),""&amp;Educator!D545,Educator!D545)&amp;"-"&amp;"2027"</f>
        <v>BP-TSWFL--2027</v>
      </c>
    </row>
    <row r="541" spans="1:10" x14ac:dyDescent="0.2">
      <c r="A5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","#",3))+1,1)&amp;"-"&amp;LEFT(Educator!B546, 3)&amp;"-"&amp;LEFT(Educator!A546, 3)&amp;"-"&amp;IF(ISNUMBER(Educator!D546),"G"&amp;Educator!D546,Educator!D546)&amp;"-"&amp;"2027"</f>
        <v>CID-FLH----2027</v>
      </c>
      <c r="B541" s="49" t="e" cm="1">
        <f t="array" ref="B541">Educator!B546&amp;" "&amp;_xlfn.IFS(AND(ISNUMBER(Educator!D546),Educator!D546&lt;&gt;9),"Grade "&amp;Educator!D546,Educator!D546=9,"Grade 9-12",ISTEXT(Educator!D546),Educator!D546)&amp;" "&amp;"Florida"&amp;" "&amp;"26-27"</f>
        <v>#N/A</v>
      </c>
      <c r="C541" s="49" t="e">
        <f t="shared" si="9"/>
        <v>#N/A</v>
      </c>
      <c r="E541" s="51" t="s">
        <v>102</v>
      </c>
      <c r="F541" s="49" t="b">
        <f>IF(Educator!B546&gt;0,"active")</f>
        <v>0</v>
      </c>
      <c r="J541" s="49" t="str">
        <f>"BP-"&amp;"TSWFL-"&amp;IF(ISNUMBER(Educator!D546),""&amp;Educator!D546,Educator!D546)&amp;"-"&amp;"2027"</f>
        <v>BP-TSWFL--2027</v>
      </c>
    </row>
    <row r="542" spans="1:10" x14ac:dyDescent="0.2">
      <c r="A5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","#",3))+1,1)&amp;"-"&amp;LEFT(Educator!B547, 3)&amp;"-"&amp;LEFT(Educator!A547, 3)&amp;"-"&amp;IF(ISNUMBER(Educator!D547),"G"&amp;Educator!D547,Educator!D547)&amp;"-"&amp;"2027"</f>
        <v>CID-FLH----2027</v>
      </c>
      <c r="B542" s="49" t="e" cm="1">
        <f t="array" ref="B542">Educator!B547&amp;" "&amp;_xlfn.IFS(AND(ISNUMBER(Educator!D547),Educator!D547&lt;&gt;9),"Grade "&amp;Educator!D547,Educator!D547=9,"Grade 9-12",ISTEXT(Educator!D547),Educator!D547)&amp;" "&amp;"Florida"&amp;" "&amp;"26-27"</f>
        <v>#N/A</v>
      </c>
      <c r="C542" s="49" t="e">
        <f t="shared" si="9"/>
        <v>#N/A</v>
      </c>
      <c r="E542" s="51" t="s">
        <v>102</v>
      </c>
      <c r="F542" s="49" t="b">
        <f>IF(Educator!B547&gt;0,"active")</f>
        <v>0</v>
      </c>
      <c r="J542" s="49" t="str">
        <f>"BP-"&amp;"TSWFL-"&amp;IF(ISNUMBER(Educator!D547),""&amp;Educator!D547,Educator!D547)&amp;"-"&amp;"2027"</f>
        <v>BP-TSWFL--2027</v>
      </c>
    </row>
    <row r="543" spans="1:10" x14ac:dyDescent="0.2">
      <c r="A5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","#",3))+1,1)&amp;"-"&amp;LEFT(Educator!B548, 3)&amp;"-"&amp;LEFT(Educator!A548, 3)&amp;"-"&amp;IF(ISNUMBER(Educator!D548),"G"&amp;Educator!D548,Educator!D548)&amp;"-"&amp;"2027"</f>
        <v>CID-FLH----2027</v>
      </c>
      <c r="B543" s="49" t="e" cm="1">
        <f t="array" ref="B543">Educator!B548&amp;" "&amp;_xlfn.IFS(AND(ISNUMBER(Educator!D548),Educator!D548&lt;&gt;9),"Grade "&amp;Educator!D548,Educator!D548=9,"Grade 9-12",ISTEXT(Educator!D548),Educator!D548)&amp;" "&amp;"Florida"&amp;" "&amp;"26-27"</f>
        <v>#N/A</v>
      </c>
      <c r="C543" s="49" t="e">
        <f t="shared" si="9"/>
        <v>#N/A</v>
      </c>
      <c r="E543" s="51" t="s">
        <v>102</v>
      </c>
      <c r="F543" s="49" t="b">
        <f>IF(Educator!B548&gt;0,"active")</f>
        <v>0</v>
      </c>
      <c r="J543" s="49" t="str">
        <f>"BP-"&amp;"TSWFL-"&amp;IF(ISNUMBER(Educator!D548),""&amp;Educator!D548,Educator!D548)&amp;"-"&amp;"2027"</f>
        <v>BP-TSWFL--2027</v>
      </c>
    </row>
    <row r="544" spans="1:10" x14ac:dyDescent="0.2">
      <c r="A5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","#",3))+1,1)&amp;"-"&amp;LEFT(Educator!B549, 3)&amp;"-"&amp;LEFT(Educator!A549, 3)&amp;"-"&amp;IF(ISNUMBER(Educator!D549),"G"&amp;Educator!D549,Educator!D549)&amp;"-"&amp;"2027"</f>
        <v>CID-FLH----2027</v>
      </c>
      <c r="B544" s="49" t="e" cm="1">
        <f t="array" ref="B544">Educator!B549&amp;" "&amp;_xlfn.IFS(AND(ISNUMBER(Educator!D549),Educator!D549&lt;&gt;9),"Grade "&amp;Educator!D549,Educator!D549=9,"Grade 9-12",ISTEXT(Educator!D549),Educator!D549)&amp;" "&amp;"Florida"&amp;" "&amp;"26-27"</f>
        <v>#N/A</v>
      </c>
      <c r="C544" s="49" t="e">
        <f t="shared" si="9"/>
        <v>#N/A</v>
      </c>
      <c r="E544" s="51" t="s">
        <v>102</v>
      </c>
      <c r="F544" s="49" t="b">
        <f>IF(Educator!B549&gt;0,"active")</f>
        <v>0</v>
      </c>
      <c r="J544" s="49" t="str">
        <f>"BP-"&amp;"TSWFL-"&amp;IF(ISNUMBER(Educator!D549),""&amp;Educator!D549,Educator!D549)&amp;"-"&amp;"2027"</f>
        <v>BP-TSWFL--2027</v>
      </c>
    </row>
    <row r="545" spans="1:10" x14ac:dyDescent="0.2">
      <c r="A5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","#",3))+1,1)&amp;"-"&amp;LEFT(Educator!B550, 3)&amp;"-"&amp;LEFT(Educator!A550, 3)&amp;"-"&amp;IF(ISNUMBER(Educator!D550),"G"&amp;Educator!D550,Educator!D550)&amp;"-"&amp;"2027"</f>
        <v>CID-FLH----2027</v>
      </c>
      <c r="B545" s="49" t="e" cm="1">
        <f t="array" ref="B545">Educator!B550&amp;" "&amp;_xlfn.IFS(AND(ISNUMBER(Educator!D550),Educator!D550&lt;&gt;9),"Grade "&amp;Educator!D550,Educator!D550=9,"Grade 9-12",ISTEXT(Educator!D550),Educator!D550)&amp;" "&amp;"Florida"&amp;" "&amp;"26-27"</f>
        <v>#N/A</v>
      </c>
      <c r="C545" s="49" t="e">
        <f t="shared" si="9"/>
        <v>#N/A</v>
      </c>
      <c r="E545" s="51" t="s">
        <v>102</v>
      </c>
      <c r="F545" s="49" t="b">
        <f>IF(Educator!B550&gt;0,"active")</f>
        <v>0</v>
      </c>
      <c r="J545" s="49" t="str">
        <f>"BP-"&amp;"TSWFL-"&amp;IF(ISNUMBER(Educator!D550),""&amp;Educator!D550,Educator!D550)&amp;"-"&amp;"2027"</f>
        <v>BP-TSWFL--2027</v>
      </c>
    </row>
    <row r="546" spans="1:10" x14ac:dyDescent="0.2">
      <c r="A5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","#",3))+1,1)&amp;"-"&amp;LEFT(Educator!B551, 3)&amp;"-"&amp;LEFT(Educator!A551, 3)&amp;"-"&amp;IF(ISNUMBER(Educator!D551),"G"&amp;Educator!D551,Educator!D551)&amp;"-"&amp;"2027"</f>
        <v>CID-FLH----2027</v>
      </c>
      <c r="B546" s="49" t="e" cm="1">
        <f t="array" ref="B546">Educator!B551&amp;" "&amp;_xlfn.IFS(AND(ISNUMBER(Educator!D551),Educator!D551&lt;&gt;9),"Grade "&amp;Educator!D551,Educator!D551=9,"Grade 9-12",ISTEXT(Educator!D551),Educator!D551)&amp;" "&amp;"Florida"&amp;" "&amp;"26-27"</f>
        <v>#N/A</v>
      </c>
      <c r="C546" s="49" t="e">
        <f t="shared" si="9"/>
        <v>#N/A</v>
      </c>
      <c r="E546" s="51" t="s">
        <v>102</v>
      </c>
      <c r="F546" s="49" t="b">
        <f>IF(Educator!B551&gt;0,"active")</f>
        <v>0</v>
      </c>
      <c r="J546" s="49" t="str">
        <f>"BP-"&amp;"TSWFL-"&amp;IF(ISNUMBER(Educator!D551),""&amp;Educator!D551,Educator!D551)&amp;"-"&amp;"2027"</f>
        <v>BP-TSWFL--2027</v>
      </c>
    </row>
    <row r="547" spans="1:10" x14ac:dyDescent="0.2">
      <c r="A5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","#",3))+1,1)&amp;"-"&amp;LEFT(Educator!B552, 3)&amp;"-"&amp;LEFT(Educator!A552, 3)&amp;"-"&amp;IF(ISNUMBER(Educator!D552),"G"&amp;Educator!D552,Educator!D552)&amp;"-"&amp;"2027"</f>
        <v>CID-FLH----2027</v>
      </c>
      <c r="B547" s="49" t="e" cm="1">
        <f t="array" ref="B547">Educator!B552&amp;" "&amp;_xlfn.IFS(AND(ISNUMBER(Educator!D552),Educator!D552&lt;&gt;9),"Grade "&amp;Educator!D552,Educator!D552=9,"Grade 9-12",ISTEXT(Educator!D552),Educator!D552)&amp;" "&amp;"Florida"&amp;" "&amp;"26-27"</f>
        <v>#N/A</v>
      </c>
      <c r="C547" s="49" t="e">
        <f t="shared" si="9"/>
        <v>#N/A</v>
      </c>
      <c r="E547" s="51" t="s">
        <v>102</v>
      </c>
      <c r="F547" s="49" t="b">
        <f>IF(Educator!B552&gt;0,"active")</f>
        <v>0</v>
      </c>
      <c r="J547" s="49" t="str">
        <f>"BP-"&amp;"TSWFL-"&amp;IF(ISNUMBER(Educator!D552),""&amp;Educator!D552,Educator!D552)&amp;"-"&amp;"2027"</f>
        <v>BP-TSWFL--2027</v>
      </c>
    </row>
    <row r="548" spans="1:10" x14ac:dyDescent="0.2">
      <c r="A5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","#",3))+1,1)&amp;"-"&amp;LEFT(Educator!B553, 3)&amp;"-"&amp;LEFT(Educator!A553, 3)&amp;"-"&amp;IF(ISNUMBER(Educator!D553),"G"&amp;Educator!D553,Educator!D553)&amp;"-"&amp;"2027"</f>
        <v>CID-FLH----2027</v>
      </c>
      <c r="B548" s="49" t="e" cm="1">
        <f t="array" ref="B548">Educator!B553&amp;" "&amp;_xlfn.IFS(AND(ISNUMBER(Educator!D553),Educator!D553&lt;&gt;9),"Grade "&amp;Educator!D553,Educator!D553=9,"Grade 9-12",ISTEXT(Educator!D553),Educator!D553)&amp;" "&amp;"Florida"&amp;" "&amp;"26-27"</f>
        <v>#N/A</v>
      </c>
      <c r="C548" s="49" t="e">
        <f t="shared" si="9"/>
        <v>#N/A</v>
      </c>
      <c r="E548" s="51" t="s">
        <v>102</v>
      </c>
      <c r="F548" s="49" t="b">
        <f>IF(Educator!B553&gt;0,"active")</f>
        <v>0</v>
      </c>
      <c r="J548" s="49" t="str">
        <f>"BP-"&amp;"TSWFL-"&amp;IF(ISNUMBER(Educator!D553),""&amp;Educator!D553,Educator!D553)&amp;"-"&amp;"2027"</f>
        <v>BP-TSWFL--2027</v>
      </c>
    </row>
    <row r="549" spans="1:10" x14ac:dyDescent="0.2">
      <c r="A5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","#",3))+1,1)&amp;"-"&amp;LEFT(Educator!B554, 3)&amp;"-"&amp;LEFT(Educator!A554, 3)&amp;"-"&amp;IF(ISNUMBER(Educator!D554),"G"&amp;Educator!D554,Educator!D554)&amp;"-"&amp;"2027"</f>
        <v>CID-FLH----2027</v>
      </c>
      <c r="B549" s="49" t="e" cm="1">
        <f t="array" ref="B549">Educator!B554&amp;" "&amp;_xlfn.IFS(AND(ISNUMBER(Educator!D554),Educator!D554&lt;&gt;9),"Grade "&amp;Educator!D554,Educator!D554=9,"Grade 9-12",ISTEXT(Educator!D554),Educator!D554)&amp;" "&amp;"Florida"&amp;" "&amp;"26-27"</f>
        <v>#N/A</v>
      </c>
      <c r="C549" s="49" t="e">
        <f t="shared" si="9"/>
        <v>#N/A</v>
      </c>
      <c r="E549" s="51" t="s">
        <v>102</v>
      </c>
      <c r="F549" s="49" t="b">
        <f>IF(Educator!B554&gt;0,"active")</f>
        <v>0</v>
      </c>
      <c r="J549" s="49" t="str">
        <f>"BP-"&amp;"TSWFL-"&amp;IF(ISNUMBER(Educator!D554),""&amp;Educator!D554,Educator!D554)&amp;"-"&amp;"2027"</f>
        <v>BP-TSWFL--2027</v>
      </c>
    </row>
    <row r="550" spans="1:10" x14ac:dyDescent="0.2">
      <c r="A5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","#",3))+1,1)&amp;"-"&amp;LEFT(Educator!B555, 3)&amp;"-"&amp;LEFT(Educator!A555, 3)&amp;"-"&amp;IF(ISNUMBER(Educator!D555),"G"&amp;Educator!D555,Educator!D555)&amp;"-"&amp;"2027"</f>
        <v>CID-FLH----2027</v>
      </c>
      <c r="B550" s="49" t="e" cm="1">
        <f t="array" ref="B550">Educator!B555&amp;" "&amp;_xlfn.IFS(AND(ISNUMBER(Educator!D555),Educator!D555&lt;&gt;9),"Grade "&amp;Educator!D555,Educator!D555=9,"Grade 9-12",ISTEXT(Educator!D555),Educator!D555)&amp;" "&amp;"Florida"&amp;" "&amp;"26-27"</f>
        <v>#N/A</v>
      </c>
      <c r="C550" s="49" t="e">
        <f t="shared" si="9"/>
        <v>#N/A</v>
      </c>
      <c r="E550" s="51" t="s">
        <v>102</v>
      </c>
      <c r="F550" s="49" t="b">
        <f>IF(Educator!B555&gt;0,"active")</f>
        <v>0</v>
      </c>
      <c r="J550" s="49" t="str">
        <f>"BP-"&amp;"TSWFL-"&amp;IF(ISNUMBER(Educator!D555),""&amp;Educator!D555,Educator!D555)&amp;"-"&amp;"2027"</f>
        <v>BP-TSWFL--2027</v>
      </c>
    </row>
    <row r="551" spans="1:10" x14ac:dyDescent="0.2">
      <c r="A5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","#",3))+1,1)&amp;"-"&amp;LEFT(Educator!B556, 3)&amp;"-"&amp;LEFT(Educator!A556, 3)&amp;"-"&amp;IF(ISNUMBER(Educator!D556),"G"&amp;Educator!D556,Educator!D556)&amp;"-"&amp;"2027"</f>
        <v>CID-FLH----2027</v>
      </c>
      <c r="B551" s="49" t="e" cm="1">
        <f t="array" ref="B551">Educator!B556&amp;" "&amp;_xlfn.IFS(AND(ISNUMBER(Educator!D556),Educator!D556&lt;&gt;9),"Grade "&amp;Educator!D556,Educator!D556=9,"Grade 9-12",ISTEXT(Educator!D556),Educator!D556)&amp;" "&amp;"Florida"&amp;" "&amp;"26-27"</f>
        <v>#N/A</v>
      </c>
      <c r="C551" s="49" t="e">
        <f t="shared" si="9"/>
        <v>#N/A</v>
      </c>
      <c r="E551" s="51" t="s">
        <v>102</v>
      </c>
      <c r="F551" s="49" t="b">
        <f>IF(Educator!B556&gt;0,"active")</f>
        <v>0</v>
      </c>
      <c r="J551" s="49" t="str">
        <f>"BP-"&amp;"TSWFL-"&amp;IF(ISNUMBER(Educator!D556),""&amp;Educator!D556,Educator!D556)&amp;"-"&amp;"2027"</f>
        <v>BP-TSWFL--2027</v>
      </c>
    </row>
    <row r="552" spans="1:10" x14ac:dyDescent="0.2">
      <c r="A5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","#",3))+1,1)&amp;"-"&amp;LEFT(Educator!B557, 3)&amp;"-"&amp;LEFT(Educator!A557, 3)&amp;"-"&amp;IF(ISNUMBER(Educator!D557),"G"&amp;Educator!D557,Educator!D557)&amp;"-"&amp;"2027"</f>
        <v>CID-FLH----2027</v>
      </c>
      <c r="B552" s="49" t="e" cm="1">
        <f t="array" ref="B552">Educator!B557&amp;" "&amp;_xlfn.IFS(AND(ISNUMBER(Educator!D557),Educator!D557&lt;&gt;9),"Grade "&amp;Educator!D557,Educator!D557=9,"Grade 9-12",ISTEXT(Educator!D557),Educator!D557)&amp;" "&amp;"Florida"&amp;" "&amp;"26-27"</f>
        <v>#N/A</v>
      </c>
      <c r="C552" s="49" t="e">
        <f t="shared" si="9"/>
        <v>#N/A</v>
      </c>
      <c r="E552" s="51" t="s">
        <v>102</v>
      </c>
      <c r="F552" s="49" t="b">
        <f>IF(Educator!B557&gt;0,"active")</f>
        <v>0</v>
      </c>
      <c r="J552" s="49" t="str">
        <f>"BP-"&amp;"TSWFL-"&amp;IF(ISNUMBER(Educator!D557),""&amp;Educator!D557,Educator!D557)&amp;"-"&amp;"2027"</f>
        <v>BP-TSWFL--2027</v>
      </c>
    </row>
    <row r="553" spans="1:10" x14ac:dyDescent="0.2">
      <c r="A5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","#",3))+1,1)&amp;"-"&amp;LEFT(Educator!B558, 3)&amp;"-"&amp;LEFT(Educator!A558, 3)&amp;"-"&amp;IF(ISNUMBER(Educator!D558),"G"&amp;Educator!D558,Educator!D558)&amp;"-"&amp;"2027"</f>
        <v>CID-FLH----2027</v>
      </c>
      <c r="B553" s="49" t="e" cm="1">
        <f t="array" ref="B553">Educator!B558&amp;" "&amp;_xlfn.IFS(AND(ISNUMBER(Educator!D558),Educator!D558&lt;&gt;9),"Grade "&amp;Educator!D558,Educator!D558=9,"Grade 9-12",ISTEXT(Educator!D558),Educator!D558)&amp;" "&amp;"Florida"&amp;" "&amp;"26-27"</f>
        <v>#N/A</v>
      </c>
      <c r="C553" s="49" t="e">
        <f t="shared" si="9"/>
        <v>#N/A</v>
      </c>
      <c r="E553" s="51" t="s">
        <v>102</v>
      </c>
      <c r="F553" s="49" t="b">
        <f>IF(Educator!B558&gt;0,"active")</f>
        <v>0</v>
      </c>
      <c r="J553" s="49" t="str">
        <f>"BP-"&amp;"TSWFL-"&amp;IF(ISNUMBER(Educator!D558),""&amp;Educator!D558,Educator!D558)&amp;"-"&amp;"2027"</f>
        <v>BP-TSWFL--2027</v>
      </c>
    </row>
    <row r="554" spans="1:10" x14ac:dyDescent="0.2">
      <c r="A5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","#",3))+1,1)&amp;"-"&amp;LEFT(Educator!B559, 3)&amp;"-"&amp;LEFT(Educator!A559, 3)&amp;"-"&amp;IF(ISNUMBER(Educator!D559),"G"&amp;Educator!D559,Educator!D559)&amp;"-"&amp;"2027"</f>
        <v>CID-FLH----2027</v>
      </c>
      <c r="B554" s="49" t="e" cm="1">
        <f t="array" ref="B554">Educator!B559&amp;" "&amp;_xlfn.IFS(AND(ISNUMBER(Educator!D559),Educator!D559&lt;&gt;9),"Grade "&amp;Educator!D559,Educator!D559=9,"Grade 9-12",ISTEXT(Educator!D559),Educator!D559)&amp;" "&amp;"Florida"&amp;" "&amp;"26-27"</f>
        <v>#N/A</v>
      </c>
      <c r="C554" s="49" t="e">
        <f t="shared" si="9"/>
        <v>#N/A</v>
      </c>
      <c r="E554" s="51" t="s">
        <v>102</v>
      </c>
      <c r="F554" s="49" t="b">
        <f>IF(Educator!B559&gt;0,"active")</f>
        <v>0</v>
      </c>
      <c r="J554" s="49" t="str">
        <f>"BP-"&amp;"TSWFL-"&amp;IF(ISNUMBER(Educator!D559),""&amp;Educator!D559,Educator!D559)&amp;"-"&amp;"2027"</f>
        <v>BP-TSWFL--2027</v>
      </c>
    </row>
    <row r="555" spans="1:10" x14ac:dyDescent="0.2">
      <c r="A5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","#",3))+1,1)&amp;"-"&amp;LEFT(Educator!B560, 3)&amp;"-"&amp;LEFT(Educator!A560, 3)&amp;"-"&amp;IF(ISNUMBER(Educator!D560),"G"&amp;Educator!D560,Educator!D560)&amp;"-"&amp;"2027"</f>
        <v>CID-FLH----2027</v>
      </c>
      <c r="B555" s="49" t="e" cm="1">
        <f t="array" ref="B555">Educator!B560&amp;" "&amp;_xlfn.IFS(AND(ISNUMBER(Educator!D560),Educator!D560&lt;&gt;9),"Grade "&amp;Educator!D560,Educator!D560=9,"Grade 9-12",ISTEXT(Educator!D560),Educator!D560)&amp;" "&amp;"Florida"&amp;" "&amp;"26-27"</f>
        <v>#N/A</v>
      </c>
      <c r="C555" s="49" t="e">
        <f t="shared" si="9"/>
        <v>#N/A</v>
      </c>
      <c r="E555" s="51" t="s">
        <v>102</v>
      </c>
      <c r="F555" s="49" t="b">
        <f>IF(Educator!B560&gt;0,"active")</f>
        <v>0</v>
      </c>
      <c r="J555" s="49" t="str">
        <f>"BP-"&amp;"TSWFL-"&amp;IF(ISNUMBER(Educator!D560),""&amp;Educator!D560,Educator!D560)&amp;"-"&amp;"2027"</f>
        <v>BP-TSWFL--2027</v>
      </c>
    </row>
    <row r="556" spans="1:10" x14ac:dyDescent="0.2">
      <c r="A5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","#",3))+1,1)&amp;"-"&amp;LEFT(Educator!B561, 3)&amp;"-"&amp;LEFT(Educator!A561, 3)&amp;"-"&amp;IF(ISNUMBER(Educator!D561),"G"&amp;Educator!D561,Educator!D561)&amp;"-"&amp;"2027"</f>
        <v>CID-FLH----2027</v>
      </c>
      <c r="B556" s="49" t="e" cm="1">
        <f t="array" ref="B556">Educator!B561&amp;" "&amp;_xlfn.IFS(AND(ISNUMBER(Educator!D561),Educator!D561&lt;&gt;9),"Grade "&amp;Educator!D561,Educator!D561=9,"Grade 9-12",ISTEXT(Educator!D561),Educator!D561)&amp;" "&amp;"Florida"&amp;" "&amp;"26-27"</f>
        <v>#N/A</v>
      </c>
      <c r="C556" s="49" t="e">
        <f t="shared" si="9"/>
        <v>#N/A</v>
      </c>
      <c r="E556" s="51" t="s">
        <v>102</v>
      </c>
      <c r="F556" s="49" t="b">
        <f>IF(Educator!B561&gt;0,"active")</f>
        <v>0</v>
      </c>
      <c r="J556" s="49" t="str">
        <f>"BP-"&amp;"TSWFL-"&amp;IF(ISNUMBER(Educator!D561),""&amp;Educator!D561,Educator!D561)&amp;"-"&amp;"2027"</f>
        <v>BP-TSWFL--2027</v>
      </c>
    </row>
    <row r="557" spans="1:10" x14ac:dyDescent="0.2">
      <c r="A5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","#",3))+1,1)&amp;"-"&amp;LEFT(Educator!B562, 3)&amp;"-"&amp;LEFT(Educator!A562, 3)&amp;"-"&amp;IF(ISNUMBER(Educator!D562),"G"&amp;Educator!D562,Educator!D562)&amp;"-"&amp;"2027"</f>
        <v>CID-FLH----2027</v>
      </c>
      <c r="B557" s="49" t="e" cm="1">
        <f t="array" ref="B557">Educator!B562&amp;" "&amp;_xlfn.IFS(AND(ISNUMBER(Educator!D562),Educator!D562&lt;&gt;9),"Grade "&amp;Educator!D562,Educator!D562=9,"Grade 9-12",ISTEXT(Educator!D562),Educator!D562)&amp;" "&amp;"Florida"&amp;" "&amp;"26-27"</f>
        <v>#N/A</v>
      </c>
      <c r="C557" s="49" t="e">
        <f t="shared" si="9"/>
        <v>#N/A</v>
      </c>
      <c r="E557" s="51" t="s">
        <v>102</v>
      </c>
      <c r="F557" s="49" t="b">
        <f>IF(Educator!B562&gt;0,"active")</f>
        <v>0</v>
      </c>
      <c r="J557" s="49" t="str">
        <f>"BP-"&amp;"TSWFL-"&amp;IF(ISNUMBER(Educator!D562),""&amp;Educator!D562,Educator!D562)&amp;"-"&amp;"2027"</f>
        <v>BP-TSWFL--2027</v>
      </c>
    </row>
    <row r="558" spans="1:10" x14ac:dyDescent="0.2">
      <c r="A5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","#",3))+1,1)&amp;"-"&amp;LEFT(Educator!B563, 3)&amp;"-"&amp;LEFT(Educator!A563, 3)&amp;"-"&amp;IF(ISNUMBER(Educator!D563),"G"&amp;Educator!D563,Educator!D563)&amp;"-"&amp;"2027"</f>
        <v>CID-FLH----2027</v>
      </c>
      <c r="B558" s="49" t="e" cm="1">
        <f t="array" ref="B558">Educator!B563&amp;" "&amp;_xlfn.IFS(AND(ISNUMBER(Educator!D563),Educator!D563&lt;&gt;9),"Grade "&amp;Educator!D563,Educator!D563=9,"Grade 9-12",ISTEXT(Educator!D563),Educator!D563)&amp;" "&amp;"Florida"&amp;" "&amp;"26-27"</f>
        <v>#N/A</v>
      </c>
      <c r="C558" s="49" t="e">
        <f t="shared" si="9"/>
        <v>#N/A</v>
      </c>
      <c r="E558" s="51" t="s">
        <v>102</v>
      </c>
      <c r="F558" s="49" t="b">
        <f>IF(Educator!B563&gt;0,"active")</f>
        <v>0</v>
      </c>
      <c r="J558" s="49" t="str">
        <f>"BP-"&amp;"TSWFL-"&amp;IF(ISNUMBER(Educator!D563),""&amp;Educator!D563,Educator!D563)&amp;"-"&amp;"2027"</f>
        <v>BP-TSWFL--2027</v>
      </c>
    </row>
    <row r="559" spans="1:10" x14ac:dyDescent="0.2">
      <c r="A5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","#",3))+1,1)&amp;"-"&amp;LEFT(Educator!B564, 3)&amp;"-"&amp;LEFT(Educator!A564, 3)&amp;"-"&amp;IF(ISNUMBER(Educator!D564),"G"&amp;Educator!D564,Educator!D564)&amp;"-"&amp;"2027"</f>
        <v>CID-FLH----2027</v>
      </c>
      <c r="B559" s="49" t="e" cm="1">
        <f t="array" ref="B559">Educator!B564&amp;" "&amp;_xlfn.IFS(AND(ISNUMBER(Educator!D564),Educator!D564&lt;&gt;9),"Grade "&amp;Educator!D564,Educator!D564=9,"Grade 9-12",ISTEXT(Educator!D564),Educator!D564)&amp;" "&amp;"Florida"&amp;" "&amp;"26-27"</f>
        <v>#N/A</v>
      </c>
      <c r="C559" s="49" t="e">
        <f t="shared" si="9"/>
        <v>#N/A</v>
      </c>
      <c r="E559" s="51" t="s">
        <v>102</v>
      </c>
      <c r="F559" s="49" t="b">
        <f>IF(Educator!B564&gt;0,"active")</f>
        <v>0</v>
      </c>
      <c r="J559" s="49" t="str">
        <f>"BP-"&amp;"TSWFL-"&amp;IF(ISNUMBER(Educator!D564),""&amp;Educator!D564,Educator!D564)&amp;"-"&amp;"2027"</f>
        <v>BP-TSWFL--2027</v>
      </c>
    </row>
    <row r="560" spans="1:10" x14ac:dyDescent="0.2">
      <c r="A5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","#",3))+1,1)&amp;"-"&amp;LEFT(Educator!B565, 3)&amp;"-"&amp;LEFT(Educator!A565, 3)&amp;"-"&amp;IF(ISNUMBER(Educator!D565),"G"&amp;Educator!D565,Educator!D565)&amp;"-"&amp;"2027"</f>
        <v>CID-FLH----2027</v>
      </c>
      <c r="B560" s="49" t="e" cm="1">
        <f t="array" ref="B560">Educator!B565&amp;" "&amp;_xlfn.IFS(AND(ISNUMBER(Educator!D565),Educator!D565&lt;&gt;9),"Grade "&amp;Educator!D565,Educator!D565=9,"Grade 9-12",ISTEXT(Educator!D565),Educator!D565)&amp;" "&amp;"Florida"&amp;" "&amp;"26-27"</f>
        <v>#N/A</v>
      </c>
      <c r="C560" s="49" t="e">
        <f t="shared" si="9"/>
        <v>#N/A</v>
      </c>
      <c r="E560" s="51" t="s">
        <v>102</v>
      </c>
      <c r="F560" s="49" t="b">
        <f>IF(Educator!B565&gt;0,"active")</f>
        <v>0</v>
      </c>
      <c r="J560" s="49" t="str">
        <f>"BP-"&amp;"TSWFL-"&amp;IF(ISNUMBER(Educator!D565),""&amp;Educator!D565,Educator!D565)&amp;"-"&amp;"2027"</f>
        <v>BP-TSWFL--2027</v>
      </c>
    </row>
    <row r="561" spans="1:10" x14ac:dyDescent="0.2">
      <c r="A5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","#",3))+1,1)&amp;"-"&amp;LEFT(Educator!B566, 3)&amp;"-"&amp;LEFT(Educator!A566, 3)&amp;"-"&amp;IF(ISNUMBER(Educator!D566),"G"&amp;Educator!D566,Educator!D566)&amp;"-"&amp;"2027"</f>
        <v>CID-FLH----2027</v>
      </c>
      <c r="B561" s="49" t="e" cm="1">
        <f t="array" ref="B561">Educator!B566&amp;" "&amp;_xlfn.IFS(AND(ISNUMBER(Educator!D566),Educator!D566&lt;&gt;9),"Grade "&amp;Educator!D566,Educator!D566=9,"Grade 9-12",ISTEXT(Educator!D566),Educator!D566)&amp;" "&amp;"Florida"&amp;" "&amp;"26-27"</f>
        <v>#N/A</v>
      </c>
      <c r="C561" s="49" t="e">
        <f t="shared" si="9"/>
        <v>#N/A</v>
      </c>
      <c r="E561" s="51" t="s">
        <v>102</v>
      </c>
      <c r="F561" s="49" t="b">
        <f>IF(Educator!B566&gt;0,"active")</f>
        <v>0</v>
      </c>
      <c r="J561" s="49" t="str">
        <f>"BP-"&amp;"TSWFL-"&amp;IF(ISNUMBER(Educator!D566),""&amp;Educator!D566,Educator!D566)&amp;"-"&amp;"2027"</f>
        <v>BP-TSWFL--2027</v>
      </c>
    </row>
    <row r="562" spans="1:10" x14ac:dyDescent="0.2">
      <c r="A5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","#",3))+1,1)&amp;"-"&amp;LEFT(Educator!B567, 3)&amp;"-"&amp;LEFT(Educator!A567, 3)&amp;"-"&amp;IF(ISNUMBER(Educator!D567),"G"&amp;Educator!D567,Educator!D567)&amp;"-"&amp;"2027"</f>
        <v>CID-FLH----2027</v>
      </c>
      <c r="B562" s="49" t="e" cm="1">
        <f t="array" ref="B562">Educator!B567&amp;" "&amp;_xlfn.IFS(AND(ISNUMBER(Educator!D567),Educator!D567&lt;&gt;9),"Grade "&amp;Educator!D567,Educator!D567=9,"Grade 9-12",ISTEXT(Educator!D567),Educator!D567)&amp;" "&amp;"Florida"&amp;" "&amp;"26-27"</f>
        <v>#N/A</v>
      </c>
      <c r="C562" s="49" t="e">
        <f t="shared" si="9"/>
        <v>#N/A</v>
      </c>
      <c r="E562" s="51" t="s">
        <v>102</v>
      </c>
      <c r="F562" s="49" t="b">
        <f>IF(Educator!B567&gt;0,"active")</f>
        <v>0</v>
      </c>
      <c r="J562" s="49" t="str">
        <f>"BP-"&amp;"TSWFL-"&amp;IF(ISNUMBER(Educator!D567),""&amp;Educator!D567,Educator!D567)&amp;"-"&amp;"2027"</f>
        <v>BP-TSWFL--2027</v>
      </c>
    </row>
    <row r="563" spans="1:10" x14ac:dyDescent="0.2">
      <c r="A5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","#",3))+1,1)&amp;"-"&amp;LEFT(Educator!B568, 3)&amp;"-"&amp;LEFT(Educator!A568, 3)&amp;"-"&amp;IF(ISNUMBER(Educator!D568),"G"&amp;Educator!D568,Educator!D568)&amp;"-"&amp;"2027"</f>
        <v>CID-FLH----2027</v>
      </c>
      <c r="B563" s="49" t="e" cm="1">
        <f t="array" ref="B563">Educator!B568&amp;" "&amp;_xlfn.IFS(AND(ISNUMBER(Educator!D568),Educator!D568&lt;&gt;9),"Grade "&amp;Educator!D568,Educator!D568=9,"Grade 9-12",ISTEXT(Educator!D568),Educator!D568)&amp;" "&amp;"Florida"&amp;" "&amp;"26-27"</f>
        <v>#N/A</v>
      </c>
      <c r="C563" s="49" t="e">
        <f t="shared" si="9"/>
        <v>#N/A</v>
      </c>
      <c r="E563" s="51" t="s">
        <v>102</v>
      </c>
      <c r="F563" s="49" t="b">
        <f>IF(Educator!B568&gt;0,"active")</f>
        <v>0</v>
      </c>
      <c r="J563" s="49" t="str">
        <f>"BP-"&amp;"TSWFL-"&amp;IF(ISNUMBER(Educator!D568),""&amp;Educator!D568,Educator!D568)&amp;"-"&amp;"2027"</f>
        <v>BP-TSWFL--2027</v>
      </c>
    </row>
    <row r="564" spans="1:10" x14ac:dyDescent="0.2">
      <c r="A5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","#",3))+1,1)&amp;"-"&amp;LEFT(Educator!B569, 3)&amp;"-"&amp;LEFT(Educator!A569, 3)&amp;"-"&amp;IF(ISNUMBER(Educator!D569),"G"&amp;Educator!D569,Educator!D569)&amp;"-"&amp;"2027"</f>
        <v>CID-FLH----2027</v>
      </c>
      <c r="B564" s="49" t="e" cm="1">
        <f t="array" ref="B564">Educator!B569&amp;" "&amp;_xlfn.IFS(AND(ISNUMBER(Educator!D569),Educator!D569&lt;&gt;9),"Grade "&amp;Educator!D569,Educator!D569=9,"Grade 9-12",ISTEXT(Educator!D569),Educator!D569)&amp;" "&amp;"Florida"&amp;" "&amp;"26-27"</f>
        <v>#N/A</v>
      </c>
      <c r="C564" s="49" t="e">
        <f t="shared" si="9"/>
        <v>#N/A</v>
      </c>
      <c r="E564" s="51" t="s">
        <v>102</v>
      </c>
      <c r="F564" s="49" t="b">
        <f>IF(Educator!B569&gt;0,"active")</f>
        <v>0</v>
      </c>
      <c r="J564" s="49" t="str">
        <f>"BP-"&amp;"TSWFL-"&amp;IF(ISNUMBER(Educator!D569),""&amp;Educator!D569,Educator!D569)&amp;"-"&amp;"2027"</f>
        <v>BP-TSWFL--2027</v>
      </c>
    </row>
    <row r="565" spans="1:10" x14ac:dyDescent="0.2">
      <c r="A5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","#",3))+1,1)&amp;"-"&amp;LEFT(Educator!B570, 3)&amp;"-"&amp;LEFT(Educator!A570, 3)&amp;"-"&amp;IF(ISNUMBER(Educator!D570),"G"&amp;Educator!D570,Educator!D570)&amp;"-"&amp;"2027"</f>
        <v>CID-FLH----2027</v>
      </c>
      <c r="B565" s="49" t="e" cm="1">
        <f t="array" ref="B565">Educator!B570&amp;" "&amp;_xlfn.IFS(AND(ISNUMBER(Educator!D570),Educator!D570&lt;&gt;9),"Grade "&amp;Educator!D570,Educator!D570=9,"Grade 9-12",ISTEXT(Educator!D570),Educator!D570)&amp;" "&amp;"Florida"&amp;" "&amp;"26-27"</f>
        <v>#N/A</v>
      </c>
      <c r="C565" s="49" t="e">
        <f t="shared" si="9"/>
        <v>#N/A</v>
      </c>
      <c r="E565" s="51" t="s">
        <v>102</v>
      </c>
      <c r="F565" s="49" t="b">
        <f>IF(Educator!B570&gt;0,"active")</f>
        <v>0</v>
      </c>
      <c r="J565" s="49" t="str">
        <f>"BP-"&amp;"TSWFL-"&amp;IF(ISNUMBER(Educator!D570),""&amp;Educator!D570,Educator!D570)&amp;"-"&amp;"2027"</f>
        <v>BP-TSWFL--2027</v>
      </c>
    </row>
    <row r="566" spans="1:10" x14ac:dyDescent="0.2">
      <c r="A5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","#",3))+1,1)&amp;"-"&amp;LEFT(Educator!B571, 3)&amp;"-"&amp;LEFT(Educator!A571, 3)&amp;"-"&amp;IF(ISNUMBER(Educator!D571),"G"&amp;Educator!D571,Educator!D571)&amp;"-"&amp;"2027"</f>
        <v>CID-FLH----2027</v>
      </c>
      <c r="B566" s="49" t="e" cm="1">
        <f t="array" ref="B566">Educator!B571&amp;" "&amp;_xlfn.IFS(AND(ISNUMBER(Educator!D571),Educator!D571&lt;&gt;9),"Grade "&amp;Educator!D571,Educator!D571=9,"Grade 9-12",ISTEXT(Educator!D571),Educator!D571)&amp;" "&amp;"Florida"&amp;" "&amp;"26-27"</f>
        <v>#N/A</v>
      </c>
      <c r="C566" s="49" t="e">
        <f t="shared" si="9"/>
        <v>#N/A</v>
      </c>
      <c r="E566" s="51" t="s">
        <v>102</v>
      </c>
      <c r="F566" s="49" t="b">
        <f>IF(Educator!B571&gt;0,"active")</f>
        <v>0</v>
      </c>
      <c r="J566" s="49" t="str">
        <f>"BP-"&amp;"TSWFL-"&amp;IF(ISNUMBER(Educator!D571),""&amp;Educator!D571,Educator!D571)&amp;"-"&amp;"2027"</f>
        <v>BP-TSWFL--2027</v>
      </c>
    </row>
    <row r="567" spans="1:10" x14ac:dyDescent="0.2">
      <c r="A5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","#",3))+1,1)&amp;"-"&amp;LEFT(Educator!B572, 3)&amp;"-"&amp;LEFT(Educator!A572, 3)&amp;"-"&amp;IF(ISNUMBER(Educator!D572),"G"&amp;Educator!D572,Educator!D572)&amp;"-"&amp;"2027"</f>
        <v>CID-FLH----2027</v>
      </c>
      <c r="B567" s="49" t="e" cm="1">
        <f t="array" ref="B567">Educator!B572&amp;" "&amp;_xlfn.IFS(AND(ISNUMBER(Educator!D572),Educator!D572&lt;&gt;9),"Grade "&amp;Educator!D572,Educator!D572=9,"Grade 9-12",ISTEXT(Educator!D572),Educator!D572)&amp;" "&amp;"Florida"&amp;" "&amp;"26-27"</f>
        <v>#N/A</v>
      </c>
      <c r="C567" s="49" t="e">
        <f t="shared" si="9"/>
        <v>#N/A</v>
      </c>
      <c r="E567" s="51" t="s">
        <v>102</v>
      </c>
      <c r="F567" s="49" t="b">
        <f>IF(Educator!B572&gt;0,"active")</f>
        <v>0</v>
      </c>
      <c r="J567" s="49" t="str">
        <f>"BP-"&amp;"TSWFL-"&amp;IF(ISNUMBER(Educator!D572),""&amp;Educator!D572,Educator!D572)&amp;"-"&amp;"2027"</f>
        <v>BP-TSWFL--2027</v>
      </c>
    </row>
    <row r="568" spans="1:10" x14ac:dyDescent="0.2">
      <c r="A5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","#",3))+1,1)&amp;"-"&amp;LEFT(Educator!B573, 3)&amp;"-"&amp;LEFT(Educator!A573, 3)&amp;"-"&amp;IF(ISNUMBER(Educator!D573),"G"&amp;Educator!D573,Educator!D573)&amp;"-"&amp;"2027"</f>
        <v>CID-FLH----2027</v>
      </c>
      <c r="B568" s="49" t="e" cm="1">
        <f t="array" ref="B568">Educator!B573&amp;" "&amp;_xlfn.IFS(AND(ISNUMBER(Educator!D573),Educator!D573&lt;&gt;9),"Grade "&amp;Educator!D573,Educator!D573=9,"Grade 9-12",ISTEXT(Educator!D573),Educator!D573)&amp;" "&amp;"Florida"&amp;" "&amp;"26-27"</f>
        <v>#N/A</v>
      </c>
      <c r="C568" s="49" t="e">
        <f t="shared" si="9"/>
        <v>#N/A</v>
      </c>
      <c r="E568" s="51" t="s">
        <v>102</v>
      </c>
      <c r="F568" s="49" t="b">
        <f>IF(Educator!B573&gt;0,"active")</f>
        <v>0</v>
      </c>
      <c r="J568" s="49" t="str">
        <f>"BP-"&amp;"TSWFL-"&amp;IF(ISNUMBER(Educator!D573),""&amp;Educator!D573,Educator!D573)&amp;"-"&amp;"2027"</f>
        <v>BP-TSWFL--2027</v>
      </c>
    </row>
    <row r="569" spans="1:10" x14ac:dyDescent="0.2">
      <c r="A5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","#",3))+1,1)&amp;"-"&amp;LEFT(Educator!B574, 3)&amp;"-"&amp;LEFT(Educator!A574, 3)&amp;"-"&amp;IF(ISNUMBER(Educator!D574),"G"&amp;Educator!D574,Educator!D574)&amp;"-"&amp;"2027"</f>
        <v>CID-FLH----2027</v>
      </c>
      <c r="B569" s="49" t="e" cm="1">
        <f t="array" ref="B569">Educator!B574&amp;" "&amp;_xlfn.IFS(AND(ISNUMBER(Educator!D574),Educator!D574&lt;&gt;9),"Grade "&amp;Educator!D574,Educator!D574=9,"Grade 9-12",ISTEXT(Educator!D574),Educator!D574)&amp;" "&amp;"Florida"&amp;" "&amp;"26-27"</f>
        <v>#N/A</v>
      </c>
      <c r="C569" s="49" t="e">
        <f t="shared" si="9"/>
        <v>#N/A</v>
      </c>
      <c r="E569" s="51" t="s">
        <v>102</v>
      </c>
      <c r="F569" s="49" t="b">
        <f>IF(Educator!B574&gt;0,"active")</f>
        <v>0</v>
      </c>
      <c r="J569" s="49" t="str">
        <f>"BP-"&amp;"TSWFL-"&amp;IF(ISNUMBER(Educator!D574),""&amp;Educator!D574,Educator!D574)&amp;"-"&amp;"2027"</f>
        <v>BP-TSWFL--2027</v>
      </c>
    </row>
    <row r="570" spans="1:10" x14ac:dyDescent="0.2">
      <c r="A5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","#",3))+1,1)&amp;"-"&amp;LEFT(Educator!B575, 3)&amp;"-"&amp;LEFT(Educator!A575, 3)&amp;"-"&amp;IF(ISNUMBER(Educator!D575),"G"&amp;Educator!D575,Educator!D575)&amp;"-"&amp;"2027"</f>
        <v>CID-FLH----2027</v>
      </c>
      <c r="B570" s="49" t="e" cm="1">
        <f t="array" ref="B570">Educator!B575&amp;" "&amp;_xlfn.IFS(AND(ISNUMBER(Educator!D575),Educator!D575&lt;&gt;9),"Grade "&amp;Educator!D575,Educator!D575=9,"Grade 9-12",ISTEXT(Educator!D575),Educator!D575)&amp;" "&amp;"Florida"&amp;" "&amp;"26-27"</f>
        <v>#N/A</v>
      </c>
      <c r="C570" s="49" t="e">
        <f t="shared" si="9"/>
        <v>#N/A</v>
      </c>
      <c r="E570" s="51" t="s">
        <v>102</v>
      </c>
      <c r="F570" s="49" t="b">
        <f>IF(Educator!B575&gt;0,"active")</f>
        <v>0</v>
      </c>
      <c r="J570" s="49" t="str">
        <f>"BP-"&amp;"TSWFL-"&amp;IF(ISNUMBER(Educator!D575),""&amp;Educator!D575,Educator!D575)&amp;"-"&amp;"2027"</f>
        <v>BP-TSWFL--2027</v>
      </c>
    </row>
    <row r="571" spans="1:10" x14ac:dyDescent="0.2">
      <c r="A5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","#",3))+1,1)&amp;"-"&amp;LEFT(Educator!B576, 3)&amp;"-"&amp;LEFT(Educator!A576, 3)&amp;"-"&amp;IF(ISNUMBER(Educator!D576),"G"&amp;Educator!D576,Educator!D576)&amp;"-"&amp;"2027"</f>
        <v>CID-FLH----2027</v>
      </c>
      <c r="B571" s="49" t="e" cm="1">
        <f t="array" ref="B571">Educator!B576&amp;" "&amp;_xlfn.IFS(AND(ISNUMBER(Educator!D576),Educator!D576&lt;&gt;9),"Grade "&amp;Educator!D576,Educator!D576=9,"Grade 9-12",ISTEXT(Educator!D576),Educator!D576)&amp;" "&amp;"Florida"&amp;" "&amp;"26-27"</f>
        <v>#N/A</v>
      </c>
      <c r="C571" s="49" t="e">
        <f t="shared" si="9"/>
        <v>#N/A</v>
      </c>
      <c r="E571" s="51" t="s">
        <v>102</v>
      </c>
      <c r="F571" s="49" t="b">
        <f>IF(Educator!B576&gt;0,"active")</f>
        <v>0</v>
      </c>
      <c r="J571" s="49" t="str">
        <f>"BP-"&amp;"TSWFL-"&amp;IF(ISNUMBER(Educator!D576),""&amp;Educator!D576,Educator!D576)&amp;"-"&amp;"2027"</f>
        <v>BP-TSWFL--2027</v>
      </c>
    </row>
    <row r="572" spans="1:10" x14ac:dyDescent="0.2">
      <c r="A5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","#",3))+1,1)&amp;"-"&amp;LEFT(Educator!B577, 3)&amp;"-"&amp;LEFT(Educator!A577, 3)&amp;"-"&amp;IF(ISNUMBER(Educator!D577),"G"&amp;Educator!D577,Educator!D577)&amp;"-"&amp;"2027"</f>
        <v>CID-FLH----2027</v>
      </c>
      <c r="B572" s="49" t="e" cm="1">
        <f t="array" ref="B572">Educator!B577&amp;" "&amp;_xlfn.IFS(AND(ISNUMBER(Educator!D577),Educator!D577&lt;&gt;9),"Grade "&amp;Educator!D577,Educator!D577=9,"Grade 9-12",ISTEXT(Educator!D577),Educator!D577)&amp;" "&amp;"Florida"&amp;" "&amp;"26-27"</f>
        <v>#N/A</v>
      </c>
      <c r="C572" s="49" t="e">
        <f t="shared" si="9"/>
        <v>#N/A</v>
      </c>
      <c r="E572" s="51" t="s">
        <v>102</v>
      </c>
      <c r="F572" s="49" t="b">
        <f>IF(Educator!B577&gt;0,"active")</f>
        <v>0</v>
      </c>
      <c r="J572" s="49" t="str">
        <f>"BP-"&amp;"TSWFL-"&amp;IF(ISNUMBER(Educator!D577),""&amp;Educator!D577,Educator!D577)&amp;"-"&amp;"2027"</f>
        <v>BP-TSWFL--2027</v>
      </c>
    </row>
    <row r="573" spans="1:10" x14ac:dyDescent="0.2">
      <c r="A5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","#",3))+1,1)&amp;"-"&amp;LEFT(Educator!B578, 3)&amp;"-"&amp;LEFT(Educator!A578, 3)&amp;"-"&amp;IF(ISNUMBER(Educator!D578),"G"&amp;Educator!D578,Educator!D578)&amp;"-"&amp;"2027"</f>
        <v>CID-FLH----2027</v>
      </c>
      <c r="B573" s="49" t="e" cm="1">
        <f t="array" ref="B573">Educator!B578&amp;" "&amp;_xlfn.IFS(AND(ISNUMBER(Educator!D578),Educator!D578&lt;&gt;9),"Grade "&amp;Educator!D578,Educator!D578=9,"Grade 9-12",ISTEXT(Educator!D578),Educator!D578)&amp;" "&amp;"Florida"&amp;" "&amp;"26-27"</f>
        <v>#N/A</v>
      </c>
      <c r="C573" s="49" t="e">
        <f t="shared" si="9"/>
        <v>#N/A</v>
      </c>
      <c r="E573" s="51" t="s">
        <v>102</v>
      </c>
      <c r="F573" s="49" t="b">
        <f>IF(Educator!B578&gt;0,"active")</f>
        <v>0</v>
      </c>
      <c r="J573" s="49" t="str">
        <f>"BP-"&amp;"TSWFL-"&amp;IF(ISNUMBER(Educator!D578),""&amp;Educator!D578,Educator!D578)&amp;"-"&amp;"2027"</f>
        <v>BP-TSWFL--2027</v>
      </c>
    </row>
    <row r="574" spans="1:10" x14ac:dyDescent="0.2">
      <c r="A5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","#",3))+1,1)&amp;"-"&amp;LEFT(Educator!B579, 3)&amp;"-"&amp;LEFT(Educator!A579, 3)&amp;"-"&amp;IF(ISNUMBER(Educator!D579),"G"&amp;Educator!D579,Educator!D579)&amp;"-"&amp;"2027"</f>
        <v>CID-FLH----2027</v>
      </c>
      <c r="B574" s="49" t="e" cm="1">
        <f t="array" ref="B574">Educator!B579&amp;" "&amp;_xlfn.IFS(AND(ISNUMBER(Educator!D579),Educator!D579&lt;&gt;9),"Grade "&amp;Educator!D579,Educator!D579=9,"Grade 9-12",ISTEXT(Educator!D579),Educator!D579)&amp;" "&amp;"Florida"&amp;" "&amp;"26-27"</f>
        <v>#N/A</v>
      </c>
      <c r="C574" s="49" t="e">
        <f t="shared" si="9"/>
        <v>#N/A</v>
      </c>
      <c r="E574" s="51" t="s">
        <v>102</v>
      </c>
      <c r="F574" s="49" t="b">
        <f>IF(Educator!B579&gt;0,"active")</f>
        <v>0</v>
      </c>
      <c r="J574" s="49" t="str">
        <f>"BP-"&amp;"TSWFL-"&amp;IF(ISNUMBER(Educator!D579),""&amp;Educator!D579,Educator!D579)&amp;"-"&amp;"2027"</f>
        <v>BP-TSWFL--2027</v>
      </c>
    </row>
    <row r="575" spans="1:10" x14ac:dyDescent="0.2">
      <c r="A5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","#",3))+1,1)&amp;"-"&amp;LEFT(Educator!B580, 3)&amp;"-"&amp;LEFT(Educator!A580, 3)&amp;"-"&amp;IF(ISNUMBER(Educator!D580),"G"&amp;Educator!D580,Educator!D580)&amp;"-"&amp;"2027"</f>
        <v>CID-FLH----2027</v>
      </c>
      <c r="B575" s="49" t="e" cm="1">
        <f t="array" ref="B575">Educator!B580&amp;" "&amp;_xlfn.IFS(AND(ISNUMBER(Educator!D580),Educator!D580&lt;&gt;9),"Grade "&amp;Educator!D580,Educator!D580=9,"Grade 9-12",ISTEXT(Educator!D580),Educator!D580)&amp;" "&amp;"Florida"&amp;" "&amp;"26-27"</f>
        <v>#N/A</v>
      </c>
      <c r="C575" s="49" t="e">
        <f t="shared" si="9"/>
        <v>#N/A</v>
      </c>
      <c r="E575" s="51" t="s">
        <v>102</v>
      </c>
      <c r="F575" s="49" t="b">
        <f>IF(Educator!B580&gt;0,"active")</f>
        <v>0</v>
      </c>
      <c r="J575" s="49" t="str">
        <f>"BP-"&amp;"TSWFL-"&amp;IF(ISNUMBER(Educator!D580),""&amp;Educator!D580,Educator!D580)&amp;"-"&amp;"2027"</f>
        <v>BP-TSWFL--2027</v>
      </c>
    </row>
    <row r="576" spans="1:10" x14ac:dyDescent="0.2">
      <c r="A5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","#",3))+1,1)&amp;"-"&amp;LEFT(Educator!B581, 3)&amp;"-"&amp;LEFT(Educator!A581, 3)&amp;"-"&amp;IF(ISNUMBER(Educator!D581),"G"&amp;Educator!D581,Educator!D581)&amp;"-"&amp;"2027"</f>
        <v>CID-FLH----2027</v>
      </c>
      <c r="B576" s="49" t="e" cm="1">
        <f t="array" ref="B576">Educator!B581&amp;" "&amp;_xlfn.IFS(AND(ISNUMBER(Educator!D581),Educator!D581&lt;&gt;9),"Grade "&amp;Educator!D581,Educator!D581=9,"Grade 9-12",ISTEXT(Educator!D581),Educator!D581)&amp;" "&amp;"Florida"&amp;" "&amp;"26-27"</f>
        <v>#N/A</v>
      </c>
      <c r="C576" s="49" t="e">
        <f t="shared" si="9"/>
        <v>#N/A</v>
      </c>
      <c r="E576" s="51" t="s">
        <v>102</v>
      </c>
      <c r="F576" s="49" t="b">
        <f>IF(Educator!B581&gt;0,"active")</f>
        <v>0</v>
      </c>
      <c r="J576" s="49" t="str">
        <f>"BP-"&amp;"TSWFL-"&amp;IF(ISNUMBER(Educator!D581),""&amp;Educator!D581,Educator!D581)&amp;"-"&amp;"2027"</f>
        <v>BP-TSWFL--2027</v>
      </c>
    </row>
    <row r="577" spans="1:10" x14ac:dyDescent="0.2">
      <c r="A5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","#",3))+1,1)&amp;"-"&amp;LEFT(Educator!B582, 3)&amp;"-"&amp;LEFT(Educator!A582, 3)&amp;"-"&amp;IF(ISNUMBER(Educator!D582),"G"&amp;Educator!D582,Educator!D582)&amp;"-"&amp;"2027"</f>
        <v>CID-FLH----2027</v>
      </c>
      <c r="B577" s="49" t="e" cm="1">
        <f t="array" ref="B577">Educator!B582&amp;" "&amp;_xlfn.IFS(AND(ISNUMBER(Educator!D582),Educator!D582&lt;&gt;9),"Grade "&amp;Educator!D582,Educator!D582=9,"Grade 9-12",ISTEXT(Educator!D582),Educator!D582)&amp;" "&amp;"Florida"&amp;" "&amp;"26-27"</f>
        <v>#N/A</v>
      </c>
      <c r="C577" s="49" t="e">
        <f t="shared" si="9"/>
        <v>#N/A</v>
      </c>
      <c r="E577" s="51" t="s">
        <v>102</v>
      </c>
      <c r="F577" s="49" t="b">
        <f>IF(Educator!B582&gt;0,"active")</f>
        <v>0</v>
      </c>
      <c r="J577" s="49" t="str">
        <f>"BP-"&amp;"TSWFL-"&amp;IF(ISNUMBER(Educator!D582),""&amp;Educator!D582,Educator!D582)&amp;"-"&amp;"2027"</f>
        <v>BP-TSWFL--2027</v>
      </c>
    </row>
    <row r="578" spans="1:10" x14ac:dyDescent="0.2">
      <c r="A5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","#",3))+1,1)&amp;"-"&amp;LEFT(Educator!B583, 3)&amp;"-"&amp;LEFT(Educator!A583, 3)&amp;"-"&amp;IF(ISNUMBER(Educator!D583),"G"&amp;Educator!D583,Educator!D583)&amp;"-"&amp;"2027"</f>
        <v>CID-FLH----2027</v>
      </c>
      <c r="B578" s="49" t="e" cm="1">
        <f t="array" ref="B578">Educator!B583&amp;" "&amp;_xlfn.IFS(AND(ISNUMBER(Educator!D583),Educator!D583&lt;&gt;9),"Grade "&amp;Educator!D583,Educator!D583=9,"Grade 9-12",ISTEXT(Educator!D583),Educator!D583)&amp;" "&amp;"Florida"&amp;" "&amp;"26-27"</f>
        <v>#N/A</v>
      </c>
      <c r="C578" s="49" t="e">
        <f t="shared" si="9"/>
        <v>#N/A</v>
      </c>
      <c r="E578" s="51" t="s">
        <v>102</v>
      </c>
      <c r="F578" s="49" t="b">
        <f>IF(Educator!B583&gt;0,"active")</f>
        <v>0</v>
      </c>
      <c r="J578" s="49" t="str">
        <f>"BP-"&amp;"TSWFL-"&amp;IF(ISNUMBER(Educator!D583),""&amp;Educator!D583,Educator!D583)&amp;"-"&amp;"2027"</f>
        <v>BP-TSWFL--2027</v>
      </c>
    </row>
    <row r="579" spans="1:10" x14ac:dyDescent="0.2">
      <c r="A5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","#",3))+1,1)&amp;"-"&amp;LEFT(Educator!B584, 3)&amp;"-"&amp;LEFT(Educator!A584, 3)&amp;"-"&amp;IF(ISNUMBER(Educator!D584),"G"&amp;Educator!D584,Educator!D584)&amp;"-"&amp;"2027"</f>
        <v>CID-FLH----2027</v>
      </c>
      <c r="B579" s="49" t="e" cm="1">
        <f t="array" ref="B579">Educator!B584&amp;" "&amp;_xlfn.IFS(AND(ISNUMBER(Educator!D584),Educator!D584&lt;&gt;9),"Grade "&amp;Educator!D584,Educator!D584=9,"Grade 9-12",ISTEXT(Educator!D584),Educator!D584)&amp;" "&amp;"Florida"&amp;" "&amp;"26-27"</f>
        <v>#N/A</v>
      </c>
      <c r="C579" s="49" t="e">
        <f t="shared" si="9"/>
        <v>#N/A</v>
      </c>
      <c r="E579" s="51" t="s">
        <v>102</v>
      </c>
      <c r="F579" s="49" t="b">
        <f>IF(Educator!B584&gt;0,"active")</f>
        <v>0</v>
      </c>
      <c r="J579" s="49" t="str">
        <f>"BP-"&amp;"TSWFL-"&amp;IF(ISNUMBER(Educator!D584),""&amp;Educator!D584,Educator!D584)&amp;"-"&amp;"2027"</f>
        <v>BP-TSWFL--2027</v>
      </c>
    </row>
    <row r="580" spans="1:10" x14ac:dyDescent="0.2">
      <c r="A5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","#",3))+1,1)&amp;"-"&amp;LEFT(Educator!B585, 3)&amp;"-"&amp;LEFT(Educator!A585, 3)&amp;"-"&amp;IF(ISNUMBER(Educator!D585),"G"&amp;Educator!D585,Educator!D585)&amp;"-"&amp;"2027"</f>
        <v>CID-FLH----2027</v>
      </c>
      <c r="B580" s="49" t="e" cm="1">
        <f t="array" ref="B580">Educator!B585&amp;" "&amp;_xlfn.IFS(AND(ISNUMBER(Educator!D585),Educator!D585&lt;&gt;9),"Grade "&amp;Educator!D585,Educator!D585=9,"Grade 9-12",ISTEXT(Educator!D585),Educator!D585)&amp;" "&amp;"Florida"&amp;" "&amp;"26-27"</f>
        <v>#N/A</v>
      </c>
      <c r="C580" s="49" t="e">
        <f t="shared" si="9"/>
        <v>#N/A</v>
      </c>
      <c r="E580" s="51" t="s">
        <v>102</v>
      </c>
      <c r="F580" s="49" t="b">
        <f>IF(Educator!B585&gt;0,"active")</f>
        <v>0</v>
      </c>
      <c r="J580" s="49" t="str">
        <f>"BP-"&amp;"TSWFL-"&amp;IF(ISNUMBER(Educator!D585),""&amp;Educator!D585,Educator!D585)&amp;"-"&amp;"2027"</f>
        <v>BP-TSWFL--2027</v>
      </c>
    </row>
    <row r="581" spans="1:10" x14ac:dyDescent="0.2">
      <c r="A5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","#",3))+1,1)&amp;"-"&amp;LEFT(Educator!B586, 3)&amp;"-"&amp;LEFT(Educator!A586, 3)&amp;"-"&amp;IF(ISNUMBER(Educator!D586),"G"&amp;Educator!D586,Educator!D586)&amp;"-"&amp;"2027"</f>
        <v>CID-FLH----2027</v>
      </c>
      <c r="B581" s="49" t="e" cm="1">
        <f t="array" ref="B581">Educator!B586&amp;" "&amp;_xlfn.IFS(AND(ISNUMBER(Educator!D586),Educator!D586&lt;&gt;9),"Grade "&amp;Educator!D586,Educator!D586=9,"Grade 9-12",ISTEXT(Educator!D586),Educator!D586)&amp;" "&amp;"Florida"&amp;" "&amp;"26-27"</f>
        <v>#N/A</v>
      </c>
      <c r="C581" s="49" t="e">
        <f t="shared" si="9"/>
        <v>#N/A</v>
      </c>
      <c r="E581" s="51" t="s">
        <v>102</v>
      </c>
      <c r="F581" s="49" t="b">
        <f>IF(Educator!B586&gt;0,"active")</f>
        <v>0</v>
      </c>
      <c r="J581" s="49" t="str">
        <f>"BP-"&amp;"TSWFL-"&amp;IF(ISNUMBER(Educator!D586),""&amp;Educator!D586,Educator!D586)&amp;"-"&amp;"2027"</f>
        <v>BP-TSWFL--2027</v>
      </c>
    </row>
    <row r="582" spans="1:10" x14ac:dyDescent="0.2">
      <c r="A5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","#",3))+1,1)&amp;"-"&amp;LEFT(Educator!B587, 3)&amp;"-"&amp;LEFT(Educator!A587, 3)&amp;"-"&amp;IF(ISNUMBER(Educator!D587),"G"&amp;Educator!D587,Educator!D587)&amp;"-"&amp;"2027"</f>
        <v>CID-FLH----2027</v>
      </c>
      <c r="B582" s="49" t="e" cm="1">
        <f t="array" ref="B582">Educator!B587&amp;" "&amp;_xlfn.IFS(AND(ISNUMBER(Educator!D587),Educator!D587&lt;&gt;9),"Grade "&amp;Educator!D587,Educator!D587=9,"Grade 9-12",ISTEXT(Educator!D587),Educator!D587)&amp;" "&amp;"Florida"&amp;" "&amp;"26-27"</f>
        <v>#N/A</v>
      </c>
      <c r="C582" s="49" t="e">
        <f t="shared" si="9"/>
        <v>#N/A</v>
      </c>
      <c r="E582" s="51" t="s">
        <v>102</v>
      </c>
      <c r="F582" s="49" t="b">
        <f>IF(Educator!B587&gt;0,"active")</f>
        <v>0</v>
      </c>
      <c r="J582" s="49" t="str">
        <f>"BP-"&amp;"TSWFL-"&amp;IF(ISNUMBER(Educator!D587),""&amp;Educator!D587,Educator!D587)&amp;"-"&amp;"2027"</f>
        <v>BP-TSWFL--2027</v>
      </c>
    </row>
    <row r="583" spans="1:10" x14ac:dyDescent="0.2">
      <c r="A5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","#",3))+1,1)&amp;"-"&amp;LEFT(Educator!B588, 3)&amp;"-"&amp;LEFT(Educator!A588, 3)&amp;"-"&amp;IF(ISNUMBER(Educator!D588),"G"&amp;Educator!D588,Educator!D588)&amp;"-"&amp;"2027"</f>
        <v>CID-FLH----2027</v>
      </c>
      <c r="B583" s="49" t="e" cm="1">
        <f t="array" ref="B583">Educator!B588&amp;" "&amp;_xlfn.IFS(AND(ISNUMBER(Educator!D588),Educator!D588&lt;&gt;9),"Grade "&amp;Educator!D588,Educator!D588=9,"Grade 9-12",ISTEXT(Educator!D588),Educator!D588)&amp;" "&amp;"Florida"&amp;" "&amp;"26-27"</f>
        <v>#N/A</v>
      </c>
      <c r="C583" s="49" t="e">
        <f t="shared" si="9"/>
        <v>#N/A</v>
      </c>
      <c r="E583" s="51" t="s">
        <v>102</v>
      </c>
      <c r="F583" s="49" t="b">
        <f>IF(Educator!B588&gt;0,"active")</f>
        <v>0</v>
      </c>
      <c r="J583" s="49" t="str">
        <f>"BP-"&amp;"TSWFL-"&amp;IF(ISNUMBER(Educator!D588),""&amp;Educator!D588,Educator!D588)&amp;"-"&amp;"2027"</f>
        <v>BP-TSWFL--2027</v>
      </c>
    </row>
    <row r="584" spans="1:10" x14ac:dyDescent="0.2">
      <c r="A5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","#",3))+1,1)&amp;"-"&amp;LEFT(Educator!B589, 3)&amp;"-"&amp;LEFT(Educator!A589, 3)&amp;"-"&amp;IF(ISNUMBER(Educator!D589),"G"&amp;Educator!D589,Educator!D589)&amp;"-"&amp;"2027"</f>
        <v>CID-FLH----2027</v>
      </c>
      <c r="B584" s="49" t="e" cm="1">
        <f t="array" ref="B584">Educator!B589&amp;" "&amp;_xlfn.IFS(AND(ISNUMBER(Educator!D589),Educator!D589&lt;&gt;9),"Grade "&amp;Educator!D589,Educator!D589=9,"Grade 9-12",ISTEXT(Educator!D589),Educator!D589)&amp;" "&amp;"Florida"&amp;" "&amp;"26-27"</f>
        <v>#N/A</v>
      </c>
      <c r="C584" s="49" t="e">
        <f t="shared" si="9"/>
        <v>#N/A</v>
      </c>
      <c r="E584" s="51" t="s">
        <v>102</v>
      </c>
      <c r="F584" s="49" t="b">
        <f>IF(Educator!B589&gt;0,"active")</f>
        <v>0</v>
      </c>
      <c r="J584" s="49" t="str">
        <f>"BP-"&amp;"TSWFL-"&amp;IF(ISNUMBER(Educator!D589),""&amp;Educator!D589,Educator!D589)&amp;"-"&amp;"2027"</f>
        <v>BP-TSWFL--2027</v>
      </c>
    </row>
    <row r="585" spans="1:10" x14ac:dyDescent="0.2">
      <c r="A5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","#",3))+1,1)&amp;"-"&amp;LEFT(Educator!B590, 3)&amp;"-"&amp;LEFT(Educator!A590, 3)&amp;"-"&amp;IF(ISNUMBER(Educator!D590),"G"&amp;Educator!D590,Educator!D590)&amp;"-"&amp;"2027"</f>
        <v>CID-FLH----2027</v>
      </c>
      <c r="B585" s="49" t="e" cm="1">
        <f t="array" ref="B585">Educator!B590&amp;" "&amp;_xlfn.IFS(AND(ISNUMBER(Educator!D590),Educator!D590&lt;&gt;9),"Grade "&amp;Educator!D590,Educator!D590=9,"Grade 9-12",ISTEXT(Educator!D590),Educator!D590)&amp;" "&amp;"Florida"&amp;" "&amp;"26-27"</f>
        <v>#N/A</v>
      </c>
      <c r="C585" s="49" t="e">
        <f t="shared" si="9"/>
        <v>#N/A</v>
      </c>
      <c r="E585" s="51" t="s">
        <v>102</v>
      </c>
      <c r="F585" s="49" t="b">
        <f>IF(Educator!B590&gt;0,"active")</f>
        <v>0</v>
      </c>
      <c r="J585" s="49" t="str">
        <f>"BP-"&amp;"TSWFL-"&amp;IF(ISNUMBER(Educator!D590),""&amp;Educator!D590,Educator!D590)&amp;"-"&amp;"2027"</f>
        <v>BP-TSWFL--2027</v>
      </c>
    </row>
    <row r="586" spans="1:10" x14ac:dyDescent="0.2">
      <c r="A5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","#",3))+1,1)&amp;"-"&amp;LEFT(Educator!B591, 3)&amp;"-"&amp;LEFT(Educator!A591, 3)&amp;"-"&amp;IF(ISNUMBER(Educator!D591),"G"&amp;Educator!D591,Educator!D591)&amp;"-"&amp;"2027"</f>
        <v>CID-FLH----2027</v>
      </c>
      <c r="B586" s="49" t="e" cm="1">
        <f t="array" ref="B586">Educator!B591&amp;" "&amp;_xlfn.IFS(AND(ISNUMBER(Educator!D591),Educator!D591&lt;&gt;9),"Grade "&amp;Educator!D591,Educator!D591=9,"Grade 9-12",ISTEXT(Educator!D591),Educator!D591)&amp;" "&amp;"Florida"&amp;" "&amp;"26-27"</f>
        <v>#N/A</v>
      </c>
      <c r="C586" s="49" t="e">
        <f t="shared" si="9"/>
        <v>#N/A</v>
      </c>
      <c r="E586" s="51" t="s">
        <v>102</v>
      </c>
      <c r="F586" s="49" t="b">
        <f>IF(Educator!B591&gt;0,"active")</f>
        <v>0</v>
      </c>
      <c r="J586" s="49" t="str">
        <f>"BP-"&amp;"TSWFL-"&amp;IF(ISNUMBER(Educator!D591),""&amp;Educator!D591,Educator!D591)&amp;"-"&amp;"2027"</f>
        <v>BP-TSWFL--2027</v>
      </c>
    </row>
    <row r="587" spans="1:10" x14ac:dyDescent="0.2">
      <c r="A5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","#",3))+1,1)&amp;"-"&amp;LEFT(Educator!B592, 3)&amp;"-"&amp;LEFT(Educator!A592, 3)&amp;"-"&amp;IF(ISNUMBER(Educator!D592),"G"&amp;Educator!D592,Educator!D592)&amp;"-"&amp;"2027"</f>
        <v>CID-FLH----2027</v>
      </c>
      <c r="B587" s="49" t="e" cm="1">
        <f t="array" ref="B587">Educator!B592&amp;" "&amp;_xlfn.IFS(AND(ISNUMBER(Educator!D592),Educator!D592&lt;&gt;9),"Grade "&amp;Educator!D592,Educator!D592=9,"Grade 9-12",ISTEXT(Educator!D592),Educator!D592)&amp;" "&amp;"Florida"&amp;" "&amp;"26-27"</f>
        <v>#N/A</v>
      </c>
      <c r="C587" s="49" t="e">
        <f t="shared" si="9"/>
        <v>#N/A</v>
      </c>
      <c r="E587" s="51" t="s">
        <v>102</v>
      </c>
      <c r="F587" s="49" t="b">
        <f>IF(Educator!B592&gt;0,"active")</f>
        <v>0</v>
      </c>
      <c r="J587" s="49" t="str">
        <f>"BP-"&amp;"TSWFL-"&amp;IF(ISNUMBER(Educator!D592),""&amp;Educator!D592,Educator!D592)&amp;"-"&amp;"2027"</f>
        <v>BP-TSWFL--2027</v>
      </c>
    </row>
    <row r="588" spans="1:10" x14ac:dyDescent="0.2">
      <c r="A5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","#",3))+1,1)&amp;"-"&amp;LEFT(Educator!B593, 3)&amp;"-"&amp;LEFT(Educator!A593, 3)&amp;"-"&amp;IF(ISNUMBER(Educator!D593),"G"&amp;Educator!D593,Educator!D593)&amp;"-"&amp;"2027"</f>
        <v>CID-FLH----2027</v>
      </c>
      <c r="B588" s="49" t="e" cm="1">
        <f t="array" ref="B588">Educator!B593&amp;" "&amp;_xlfn.IFS(AND(ISNUMBER(Educator!D593),Educator!D593&lt;&gt;9),"Grade "&amp;Educator!D593,Educator!D593=9,"Grade 9-12",ISTEXT(Educator!D593),Educator!D593)&amp;" "&amp;"Florida"&amp;" "&amp;"26-27"</f>
        <v>#N/A</v>
      </c>
      <c r="C588" s="49" t="e">
        <f t="shared" si="9"/>
        <v>#N/A</v>
      </c>
      <c r="E588" s="51" t="s">
        <v>102</v>
      </c>
      <c r="F588" s="49" t="b">
        <f>IF(Educator!B593&gt;0,"active")</f>
        <v>0</v>
      </c>
      <c r="J588" s="49" t="str">
        <f>"BP-"&amp;"TSWFL-"&amp;IF(ISNUMBER(Educator!D593),""&amp;Educator!D593,Educator!D593)&amp;"-"&amp;"2027"</f>
        <v>BP-TSWFL--2027</v>
      </c>
    </row>
    <row r="589" spans="1:10" x14ac:dyDescent="0.2">
      <c r="A5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","#",3))+1,1)&amp;"-"&amp;LEFT(Educator!B594, 3)&amp;"-"&amp;LEFT(Educator!A594, 3)&amp;"-"&amp;IF(ISNUMBER(Educator!D594),"G"&amp;Educator!D594,Educator!D594)&amp;"-"&amp;"2027"</f>
        <v>CID-FLH----2027</v>
      </c>
      <c r="B589" s="49" t="e" cm="1">
        <f t="array" ref="B589">Educator!B594&amp;" "&amp;_xlfn.IFS(AND(ISNUMBER(Educator!D594),Educator!D594&lt;&gt;9),"Grade "&amp;Educator!D594,Educator!D594=9,"Grade 9-12",ISTEXT(Educator!D594),Educator!D594)&amp;" "&amp;"Florida"&amp;" "&amp;"26-27"</f>
        <v>#N/A</v>
      </c>
      <c r="C589" s="49" t="e">
        <f t="shared" si="9"/>
        <v>#N/A</v>
      </c>
      <c r="E589" s="51" t="s">
        <v>102</v>
      </c>
      <c r="F589" s="49" t="b">
        <f>IF(Educator!B594&gt;0,"active")</f>
        <v>0</v>
      </c>
      <c r="J589" s="49" t="str">
        <f>"BP-"&amp;"TSWFL-"&amp;IF(ISNUMBER(Educator!D594),""&amp;Educator!D594,Educator!D594)&amp;"-"&amp;"2027"</f>
        <v>BP-TSWFL--2027</v>
      </c>
    </row>
    <row r="590" spans="1:10" x14ac:dyDescent="0.2">
      <c r="A5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","#",3))+1,1)&amp;"-"&amp;LEFT(Educator!B595, 3)&amp;"-"&amp;LEFT(Educator!A595, 3)&amp;"-"&amp;IF(ISNUMBER(Educator!D595),"G"&amp;Educator!D595,Educator!D595)&amp;"-"&amp;"2027"</f>
        <v>CID-FLH----2027</v>
      </c>
      <c r="B590" s="49" t="e" cm="1">
        <f t="array" ref="B590">Educator!B595&amp;" "&amp;_xlfn.IFS(AND(ISNUMBER(Educator!D595),Educator!D595&lt;&gt;9),"Grade "&amp;Educator!D595,Educator!D595=9,"Grade 9-12",ISTEXT(Educator!D595),Educator!D595)&amp;" "&amp;"Florida"&amp;" "&amp;"26-27"</f>
        <v>#N/A</v>
      </c>
      <c r="C590" s="49" t="e">
        <f t="shared" si="9"/>
        <v>#N/A</v>
      </c>
      <c r="E590" s="51" t="s">
        <v>102</v>
      </c>
      <c r="F590" s="49" t="b">
        <f>IF(Educator!B595&gt;0,"active")</f>
        <v>0</v>
      </c>
      <c r="J590" s="49" t="str">
        <f>"BP-"&amp;"TSWFL-"&amp;IF(ISNUMBER(Educator!D595),""&amp;Educator!D595,Educator!D595)&amp;"-"&amp;"2027"</f>
        <v>BP-TSWFL--2027</v>
      </c>
    </row>
    <row r="591" spans="1:10" x14ac:dyDescent="0.2">
      <c r="A5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","#",3))+1,1)&amp;"-"&amp;LEFT(Educator!B596, 3)&amp;"-"&amp;LEFT(Educator!A596, 3)&amp;"-"&amp;IF(ISNUMBER(Educator!D596),"G"&amp;Educator!D596,Educator!D596)&amp;"-"&amp;"2027"</f>
        <v>CID-FLH----2027</v>
      </c>
      <c r="B591" s="49" t="e" cm="1">
        <f t="array" ref="B591">Educator!B596&amp;" "&amp;_xlfn.IFS(AND(ISNUMBER(Educator!D596),Educator!D596&lt;&gt;9),"Grade "&amp;Educator!D596,Educator!D596=9,"Grade 9-12",ISTEXT(Educator!D596),Educator!D596)&amp;" "&amp;"Florida"&amp;" "&amp;"26-27"</f>
        <v>#N/A</v>
      </c>
      <c r="C591" s="49" t="e">
        <f t="shared" si="9"/>
        <v>#N/A</v>
      </c>
      <c r="E591" s="51" t="s">
        <v>102</v>
      </c>
      <c r="F591" s="49" t="b">
        <f>IF(Educator!B596&gt;0,"active")</f>
        <v>0</v>
      </c>
      <c r="J591" s="49" t="str">
        <f>"BP-"&amp;"TSWFL-"&amp;IF(ISNUMBER(Educator!D596),""&amp;Educator!D596,Educator!D596)&amp;"-"&amp;"2027"</f>
        <v>BP-TSWFL--2027</v>
      </c>
    </row>
    <row r="592" spans="1:10" x14ac:dyDescent="0.2">
      <c r="A5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","#",3))+1,1)&amp;"-"&amp;LEFT(Educator!B597, 3)&amp;"-"&amp;LEFT(Educator!A597, 3)&amp;"-"&amp;IF(ISNUMBER(Educator!D597),"G"&amp;Educator!D597,Educator!D597)&amp;"-"&amp;"2027"</f>
        <v>CID-FLH----2027</v>
      </c>
      <c r="B592" s="49" t="e" cm="1">
        <f t="array" ref="B592">Educator!B597&amp;" "&amp;_xlfn.IFS(AND(ISNUMBER(Educator!D597),Educator!D597&lt;&gt;9),"Grade "&amp;Educator!D597,Educator!D597=9,"Grade 9-12",ISTEXT(Educator!D597),Educator!D597)&amp;" "&amp;"Florida"&amp;" "&amp;"26-27"</f>
        <v>#N/A</v>
      </c>
      <c r="C592" s="49" t="e">
        <f t="shared" si="9"/>
        <v>#N/A</v>
      </c>
      <c r="E592" s="51" t="s">
        <v>102</v>
      </c>
      <c r="F592" s="49" t="b">
        <f>IF(Educator!B597&gt;0,"active")</f>
        <v>0</v>
      </c>
      <c r="J592" s="49" t="str">
        <f>"BP-"&amp;"TSWFL-"&amp;IF(ISNUMBER(Educator!D597),""&amp;Educator!D597,Educator!D597)&amp;"-"&amp;"2027"</f>
        <v>BP-TSWFL--2027</v>
      </c>
    </row>
    <row r="593" spans="1:10" x14ac:dyDescent="0.2">
      <c r="A5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","#",3))+1,1)&amp;"-"&amp;LEFT(Educator!B598, 3)&amp;"-"&amp;LEFT(Educator!A598, 3)&amp;"-"&amp;IF(ISNUMBER(Educator!D598),"G"&amp;Educator!D598,Educator!D598)&amp;"-"&amp;"2027"</f>
        <v>CID-FLH----2027</v>
      </c>
      <c r="B593" s="49" t="e" cm="1">
        <f t="array" ref="B593">Educator!B598&amp;" "&amp;_xlfn.IFS(AND(ISNUMBER(Educator!D598),Educator!D598&lt;&gt;9),"Grade "&amp;Educator!D598,Educator!D598=9,"Grade 9-12",ISTEXT(Educator!D598),Educator!D598)&amp;" "&amp;"Florida"&amp;" "&amp;"26-27"</f>
        <v>#N/A</v>
      </c>
      <c r="C593" s="49" t="e">
        <f t="shared" si="9"/>
        <v>#N/A</v>
      </c>
      <c r="E593" s="51" t="s">
        <v>102</v>
      </c>
      <c r="F593" s="49" t="b">
        <f>IF(Educator!B598&gt;0,"active")</f>
        <v>0</v>
      </c>
      <c r="J593" s="49" t="str">
        <f>"BP-"&amp;"TSWFL-"&amp;IF(ISNUMBER(Educator!D598),""&amp;Educator!D598,Educator!D598)&amp;"-"&amp;"2027"</f>
        <v>BP-TSWFL--2027</v>
      </c>
    </row>
    <row r="594" spans="1:10" x14ac:dyDescent="0.2">
      <c r="A5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","#",3))+1,1)&amp;"-"&amp;LEFT(Educator!B599, 3)&amp;"-"&amp;LEFT(Educator!A599, 3)&amp;"-"&amp;IF(ISNUMBER(Educator!D599),"G"&amp;Educator!D599,Educator!D599)&amp;"-"&amp;"2027"</f>
        <v>CID-FLH----2027</v>
      </c>
      <c r="B594" s="49" t="e" cm="1">
        <f t="array" ref="B594">Educator!B599&amp;" "&amp;_xlfn.IFS(AND(ISNUMBER(Educator!D599),Educator!D599&lt;&gt;9),"Grade "&amp;Educator!D599,Educator!D599=9,"Grade 9-12",ISTEXT(Educator!D599),Educator!D599)&amp;" "&amp;"Florida"&amp;" "&amp;"26-27"</f>
        <v>#N/A</v>
      </c>
      <c r="C594" s="49" t="e">
        <f t="shared" ref="C594:C649" si="10">B594</f>
        <v>#N/A</v>
      </c>
      <c r="E594" s="51" t="s">
        <v>102</v>
      </c>
      <c r="F594" s="49" t="b">
        <f>IF(Educator!B599&gt;0,"active")</f>
        <v>0</v>
      </c>
      <c r="J594" s="49" t="str">
        <f>"BP-"&amp;"TSWFL-"&amp;IF(ISNUMBER(Educator!D599),""&amp;Educator!D599,Educator!D599)&amp;"-"&amp;"2027"</f>
        <v>BP-TSWFL--2027</v>
      </c>
    </row>
    <row r="595" spans="1:10" x14ac:dyDescent="0.2">
      <c r="A5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","#",3))+1,1)&amp;"-"&amp;LEFT(Educator!B600, 3)&amp;"-"&amp;LEFT(Educator!A600, 3)&amp;"-"&amp;IF(ISNUMBER(Educator!D600),"G"&amp;Educator!D600,Educator!D600)&amp;"-"&amp;"2027"</f>
        <v>CID-FLH----2027</v>
      </c>
      <c r="B595" s="49" t="e" cm="1">
        <f t="array" ref="B595">Educator!B600&amp;" "&amp;_xlfn.IFS(AND(ISNUMBER(Educator!D600),Educator!D600&lt;&gt;9),"Grade "&amp;Educator!D600,Educator!D600=9,"Grade 9-12",ISTEXT(Educator!D600),Educator!D600)&amp;" "&amp;"Florida"&amp;" "&amp;"26-27"</f>
        <v>#N/A</v>
      </c>
      <c r="C595" s="49" t="e">
        <f t="shared" si="10"/>
        <v>#N/A</v>
      </c>
      <c r="E595" s="51" t="s">
        <v>102</v>
      </c>
      <c r="F595" s="49" t="b">
        <f>IF(Educator!B600&gt;0,"active")</f>
        <v>0</v>
      </c>
      <c r="J595" s="49" t="str">
        <f>"BP-"&amp;"TSWFL-"&amp;IF(ISNUMBER(Educator!D600),""&amp;Educator!D600,Educator!D600)&amp;"-"&amp;"2027"</f>
        <v>BP-TSWFL--2027</v>
      </c>
    </row>
    <row r="596" spans="1:10" x14ac:dyDescent="0.2">
      <c r="A5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","#",3))+1,1)&amp;"-"&amp;LEFT(Educator!B601, 3)&amp;"-"&amp;LEFT(Educator!A601, 3)&amp;"-"&amp;IF(ISNUMBER(Educator!D601),"G"&amp;Educator!D601,Educator!D601)&amp;"-"&amp;"2027"</f>
        <v>CID-FLH----2027</v>
      </c>
      <c r="B596" s="49" t="e" cm="1">
        <f t="array" ref="B596">Educator!B601&amp;" "&amp;_xlfn.IFS(AND(ISNUMBER(Educator!D601),Educator!D601&lt;&gt;9),"Grade "&amp;Educator!D601,Educator!D601=9,"Grade 9-12",ISTEXT(Educator!D601),Educator!D601)&amp;" "&amp;"Florida"&amp;" "&amp;"26-27"</f>
        <v>#N/A</v>
      </c>
      <c r="C596" s="49" t="e">
        <f t="shared" si="10"/>
        <v>#N/A</v>
      </c>
      <c r="E596" s="51" t="s">
        <v>102</v>
      </c>
      <c r="F596" s="49" t="b">
        <f>IF(Educator!B601&gt;0,"active")</f>
        <v>0</v>
      </c>
      <c r="J596" s="49" t="str">
        <f>"BP-"&amp;"TSWFL-"&amp;IF(ISNUMBER(Educator!D601),""&amp;Educator!D601,Educator!D601)&amp;"-"&amp;"2027"</f>
        <v>BP-TSWFL--2027</v>
      </c>
    </row>
    <row r="597" spans="1:10" x14ac:dyDescent="0.2">
      <c r="A5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","#",3))+1,1)&amp;"-"&amp;LEFT(Educator!B602, 3)&amp;"-"&amp;LEFT(Educator!A602, 3)&amp;"-"&amp;IF(ISNUMBER(Educator!D602),"G"&amp;Educator!D602,Educator!D602)&amp;"-"&amp;"2027"</f>
        <v>CID-FLH----2027</v>
      </c>
      <c r="B597" s="49" t="e" cm="1">
        <f t="array" ref="B597">Educator!B602&amp;" "&amp;_xlfn.IFS(AND(ISNUMBER(Educator!D602),Educator!D602&lt;&gt;9),"Grade "&amp;Educator!D602,Educator!D602=9,"Grade 9-12",ISTEXT(Educator!D602),Educator!D602)&amp;" "&amp;"Florida"&amp;" "&amp;"26-27"</f>
        <v>#N/A</v>
      </c>
      <c r="C597" s="49" t="e">
        <f t="shared" si="10"/>
        <v>#N/A</v>
      </c>
      <c r="E597" s="51" t="s">
        <v>102</v>
      </c>
      <c r="F597" s="49" t="b">
        <f>IF(Educator!B602&gt;0,"active")</f>
        <v>0</v>
      </c>
      <c r="J597" s="49" t="str">
        <f>"BP-"&amp;"TSWFL-"&amp;IF(ISNUMBER(Educator!D602),""&amp;Educator!D602,Educator!D602)&amp;"-"&amp;"2027"</f>
        <v>BP-TSWFL--2027</v>
      </c>
    </row>
    <row r="598" spans="1:10" x14ac:dyDescent="0.2">
      <c r="A5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","#",3))+1,1)&amp;"-"&amp;LEFT(Educator!B603, 3)&amp;"-"&amp;LEFT(Educator!A603, 3)&amp;"-"&amp;IF(ISNUMBER(Educator!D603),"G"&amp;Educator!D603,Educator!D603)&amp;"-"&amp;"2027"</f>
        <v>CID-FLH----2027</v>
      </c>
      <c r="B598" s="49" t="e" cm="1">
        <f t="array" ref="B598">Educator!B603&amp;" "&amp;_xlfn.IFS(AND(ISNUMBER(Educator!D603),Educator!D603&lt;&gt;9),"Grade "&amp;Educator!D603,Educator!D603=9,"Grade 9-12",ISTEXT(Educator!D603),Educator!D603)&amp;" "&amp;"Florida"&amp;" "&amp;"26-27"</f>
        <v>#N/A</v>
      </c>
      <c r="C598" s="49" t="e">
        <f t="shared" si="10"/>
        <v>#N/A</v>
      </c>
      <c r="E598" s="51" t="s">
        <v>102</v>
      </c>
      <c r="F598" s="49" t="b">
        <f>IF(Educator!B603&gt;0,"active")</f>
        <v>0</v>
      </c>
      <c r="J598" s="49" t="str">
        <f>"BP-"&amp;"TSWFL-"&amp;IF(ISNUMBER(Educator!D603),""&amp;Educator!D603,Educator!D603)&amp;"-"&amp;"2027"</f>
        <v>BP-TSWFL--2027</v>
      </c>
    </row>
    <row r="599" spans="1:10" x14ac:dyDescent="0.2">
      <c r="A5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","#",3))+1,1)&amp;"-"&amp;LEFT(Educator!B604, 3)&amp;"-"&amp;LEFT(Educator!A604, 3)&amp;"-"&amp;IF(ISNUMBER(Educator!D604),"G"&amp;Educator!D604,Educator!D604)&amp;"-"&amp;"2027"</f>
        <v>CID-FLH----2027</v>
      </c>
      <c r="B599" s="49" t="e" cm="1">
        <f t="array" ref="B599">Educator!B604&amp;" "&amp;_xlfn.IFS(AND(ISNUMBER(Educator!D604),Educator!D604&lt;&gt;9),"Grade "&amp;Educator!D604,Educator!D604=9,"Grade 9-12",ISTEXT(Educator!D604),Educator!D604)&amp;" "&amp;"Florida"&amp;" "&amp;"26-27"</f>
        <v>#N/A</v>
      </c>
      <c r="C599" s="49" t="e">
        <f t="shared" si="10"/>
        <v>#N/A</v>
      </c>
      <c r="E599" s="51" t="s">
        <v>102</v>
      </c>
      <c r="F599" s="49" t="b">
        <f>IF(Educator!B604&gt;0,"active")</f>
        <v>0</v>
      </c>
      <c r="J599" s="49" t="str">
        <f>"BP-"&amp;"TSWFL-"&amp;IF(ISNUMBER(Educator!D604),""&amp;Educator!D604,Educator!D604)&amp;"-"&amp;"2027"</f>
        <v>BP-TSWFL--2027</v>
      </c>
    </row>
    <row r="600" spans="1:10" x14ac:dyDescent="0.2">
      <c r="A6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","#",3))+1,1)&amp;"-"&amp;LEFT(Educator!B605, 3)&amp;"-"&amp;LEFT(Educator!A605, 3)&amp;"-"&amp;IF(ISNUMBER(Educator!D605),"G"&amp;Educator!D605,Educator!D605)&amp;"-"&amp;"2027"</f>
        <v>CID-FLH----2027</v>
      </c>
      <c r="B600" s="49" t="e" cm="1">
        <f t="array" ref="B600">Educator!B605&amp;" "&amp;_xlfn.IFS(AND(ISNUMBER(Educator!D605),Educator!D605&lt;&gt;9),"Grade "&amp;Educator!D605,Educator!D605=9,"Grade 9-12",ISTEXT(Educator!D605),Educator!D605)&amp;" "&amp;"Florida"&amp;" "&amp;"26-27"</f>
        <v>#N/A</v>
      </c>
      <c r="C600" s="49" t="e">
        <f t="shared" si="10"/>
        <v>#N/A</v>
      </c>
      <c r="E600" s="51" t="s">
        <v>102</v>
      </c>
      <c r="F600" s="49" t="b">
        <f>IF(Educator!B605&gt;0,"active")</f>
        <v>0</v>
      </c>
      <c r="J600" s="49" t="str">
        <f>"BP-"&amp;"TSWFL-"&amp;IF(ISNUMBER(Educator!D605),""&amp;Educator!D605,Educator!D605)&amp;"-"&amp;"2027"</f>
        <v>BP-TSWFL--2027</v>
      </c>
    </row>
    <row r="601" spans="1:10" x14ac:dyDescent="0.2">
      <c r="A6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","#",3))+1,1)&amp;"-"&amp;LEFT(Educator!B606, 3)&amp;"-"&amp;LEFT(Educator!A606, 3)&amp;"-"&amp;IF(ISNUMBER(Educator!D606),"G"&amp;Educator!D606,Educator!D606)&amp;"-"&amp;"2027"</f>
        <v>CID-FLH----2027</v>
      </c>
      <c r="B601" s="49" t="e" cm="1">
        <f t="array" ref="B601">Educator!B606&amp;" "&amp;_xlfn.IFS(AND(ISNUMBER(Educator!D606),Educator!D606&lt;&gt;9),"Grade "&amp;Educator!D606,Educator!D606=9,"Grade 9-12",ISTEXT(Educator!D606),Educator!D606)&amp;" "&amp;"Florida"&amp;" "&amp;"26-27"</f>
        <v>#N/A</v>
      </c>
      <c r="C601" s="49" t="e">
        <f t="shared" si="10"/>
        <v>#N/A</v>
      </c>
      <c r="E601" s="51" t="s">
        <v>102</v>
      </c>
      <c r="F601" s="49" t="b">
        <f>IF(Educator!B606&gt;0,"active")</f>
        <v>0</v>
      </c>
      <c r="J601" s="49" t="str">
        <f>"BP-"&amp;"TSWFL-"&amp;IF(ISNUMBER(Educator!D606),""&amp;Educator!D606,Educator!D606)&amp;"-"&amp;"2027"</f>
        <v>BP-TSWFL--2027</v>
      </c>
    </row>
    <row r="602" spans="1:10" x14ac:dyDescent="0.2">
      <c r="A6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","#",3))+1,1)&amp;"-"&amp;LEFT(Educator!B607, 3)&amp;"-"&amp;LEFT(Educator!A607, 3)&amp;"-"&amp;IF(ISNUMBER(Educator!D607),"G"&amp;Educator!D607,Educator!D607)&amp;"-"&amp;"2027"</f>
        <v>CID-FLH----2027</v>
      </c>
      <c r="B602" s="49" t="e" cm="1">
        <f t="array" ref="B602">Educator!B607&amp;" "&amp;_xlfn.IFS(AND(ISNUMBER(Educator!D607),Educator!D607&lt;&gt;9),"Grade "&amp;Educator!D607,Educator!D607=9,"Grade 9-12",ISTEXT(Educator!D607),Educator!D607)&amp;" "&amp;"Florida"&amp;" "&amp;"26-27"</f>
        <v>#N/A</v>
      </c>
      <c r="C602" s="49" t="e">
        <f t="shared" si="10"/>
        <v>#N/A</v>
      </c>
      <c r="E602" s="51" t="s">
        <v>102</v>
      </c>
      <c r="F602" s="49" t="b">
        <f>IF(Educator!B607&gt;0,"active")</f>
        <v>0</v>
      </c>
      <c r="J602" s="49" t="str">
        <f>"BP-"&amp;"TSWFL-"&amp;IF(ISNUMBER(Educator!D607),""&amp;Educator!D607,Educator!D607)&amp;"-"&amp;"2027"</f>
        <v>BP-TSWFL--2027</v>
      </c>
    </row>
    <row r="603" spans="1:10" x14ac:dyDescent="0.2">
      <c r="A6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","#",3))+1,1)&amp;"-"&amp;LEFT(Educator!B608, 3)&amp;"-"&amp;LEFT(Educator!A608, 3)&amp;"-"&amp;IF(ISNUMBER(Educator!D608),"G"&amp;Educator!D608,Educator!D608)&amp;"-"&amp;"2027"</f>
        <v>CID-FLH----2027</v>
      </c>
      <c r="B603" s="49" t="e" cm="1">
        <f t="array" ref="B603">Educator!B608&amp;" "&amp;_xlfn.IFS(AND(ISNUMBER(Educator!D608),Educator!D608&lt;&gt;9),"Grade "&amp;Educator!D608,Educator!D608=9,"Grade 9-12",ISTEXT(Educator!D608),Educator!D608)&amp;" "&amp;"Florida"&amp;" "&amp;"26-27"</f>
        <v>#N/A</v>
      </c>
      <c r="C603" s="49" t="e">
        <f t="shared" si="10"/>
        <v>#N/A</v>
      </c>
      <c r="E603" s="51" t="s">
        <v>102</v>
      </c>
      <c r="F603" s="49" t="b">
        <f>IF(Educator!B608&gt;0,"active")</f>
        <v>0</v>
      </c>
      <c r="J603" s="49" t="str">
        <f>"BP-"&amp;"TSWFL-"&amp;IF(ISNUMBER(Educator!D608),""&amp;Educator!D608,Educator!D608)&amp;"-"&amp;"2027"</f>
        <v>BP-TSWFL--2027</v>
      </c>
    </row>
    <row r="604" spans="1:10" x14ac:dyDescent="0.2">
      <c r="A6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","#",3))+1,1)&amp;"-"&amp;LEFT(Educator!B609, 3)&amp;"-"&amp;LEFT(Educator!A609, 3)&amp;"-"&amp;IF(ISNUMBER(Educator!D609),"G"&amp;Educator!D609,Educator!D609)&amp;"-"&amp;"2027"</f>
        <v>CID-FLH----2027</v>
      </c>
      <c r="B604" s="49" t="e" cm="1">
        <f t="array" ref="B604">Educator!B609&amp;" "&amp;_xlfn.IFS(AND(ISNUMBER(Educator!D609),Educator!D609&lt;&gt;9),"Grade "&amp;Educator!D609,Educator!D609=9,"Grade 9-12",ISTEXT(Educator!D609),Educator!D609)&amp;" "&amp;"Florida"&amp;" "&amp;"26-27"</f>
        <v>#N/A</v>
      </c>
      <c r="C604" s="49" t="e">
        <f t="shared" si="10"/>
        <v>#N/A</v>
      </c>
      <c r="E604" s="51" t="s">
        <v>102</v>
      </c>
      <c r="F604" s="49" t="b">
        <f>IF(Educator!B609&gt;0,"active")</f>
        <v>0</v>
      </c>
      <c r="J604" s="49" t="str">
        <f>"BP-"&amp;"TSWFL-"&amp;IF(ISNUMBER(Educator!D609),""&amp;Educator!D609,Educator!D609)&amp;"-"&amp;"2027"</f>
        <v>BP-TSWFL--2027</v>
      </c>
    </row>
    <row r="605" spans="1:10" x14ac:dyDescent="0.2">
      <c r="A6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","#",3))+1,1)&amp;"-"&amp;LEFT(Educator!B610, 3)&amp;"-"&amp;LEFT(Educator!A610, 3)&amp;"-"&amp;IF(ISNUMBER(Educator!D610),"G"&amp;Educator!D610,Educator!D610)&amp;"-"&amp;"2027"</f>
        <v>CID-FLH----2027</v>
      </c>
      <c r="B605" s="49" t="e" cm="1">
        <f t="array" ref="B605">Educator!B610&amp;" "&amp;_xlfn.IFS(AND(ISNUMBER(Educator!D610),Educator!D610&lt;&gt;9),"Grade "&amp;Educator!D610,Educator!D610=9,"Grade 9-12",ISTEXT(Educator!D610),Educator!D610)&amp;" "&amp;"Florida"&amp;" "&amp;"26-27"</f>
        <v>#N/A</v>
      </c>
      <c r="C605" s="49" t="e">
        <f t="shared" si="10"/>
        <v>#N/A</v>
      </c>
      <c r="E605" s="51" t="s">
        <v>102</v>
      </c>
      <c r="F605" s="49" t="b">
        <f>IF(Educator!B610&gt;0,"active")</f>
        <v>0</v>
      </c>
      <c r="J605" s="49" t="str">
        <f>"BP-"&amp;"TSWFL-"&amp;IF(ISNUMBER(Educator!D610),""&amp;Educator!D610,Educator!D610)&amp;"-"&amp;"2027"</f>
        <v>BP-TSWFL--2027</v>
      </c>
    </row>
    <row r="606" spans="1:10" x14ac:dyDescent="0.2">
      <c r="A6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","#",3))+1,1)&amp;"-"&amp;LEFT(Educator!B611, 3)&amp;"-"&amp;LEFT(Educator!A611, 3)&amp;"-"&amp;IF(ISNUMBER(Educator!D611),"G"&amp;Educator!D611,Educator!D611)&amp;"-"&amp;"2027"</f>
        <v>CID-FLH----2027</v>
      </c>
      <c r="B606" s="49" t="e" cm="1">
        <f t="array" ref="B606">Educator!B611&amp;" "&amp;_xlfn.IFS(AND(ISNUMBER(Educator!D611),Educator!D611&lt;&gt;9),"Grade "&amp;Educator!D611,Educator!D611=9,"Grade 9-12",ISTEXT(Educator!D611),Educator!D611)&amp;" "&amp;"Florida"&amp;" "&amp;"26-27"</f>
        <v>#N/A</v>
      </c>
      <c r="C606" s="49" t="e">
        <f t="shared" si="10"/>
        <v>#N/A</v>
      </c>
      <c r="E606" s="51" t="s">
        <v>102</v>
      </c>
      <c r="F606" s="49" t="b">
        <f>IF(Educator!B611&gt;0,"active")</f>
        <v>0</v>
      </c>
      <c r="J606" s="49" t="str">
        <f>"BP-"&amp;"TSWFL-"&amp;IF(ISNUMBER(Educator!D611),""&amp;Educator!D611,Educator!D611)&amp;"-"&amp;"2027"</f>
        <v>BP-TSWFL--2027</v>
      </c>
    </row>
    <row r="607" spans="1:10" x14ac:dyDescent="0.2">
      <c r="A6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","#",3))+1,1)&amp;"-"&amp;LEFT(Educator!B612, 3)&amp;"-"&amp;LEFT(Educator!A612, 3)&amp;"-"&amp;IF(ISNUMBER(Educator!D612),"G"&amp;Educator!D612,Educator!D612)&amp;"-"&amp;"2027"</f>
        <v>CID-FLH----2027</v>
      </c>
      <c r="B607" s="49" t="e" cm="1">
        <f t="array" ref="B607">Educator!B612&amp;" "&amp;_xlfn.IFS(AND(ISNUMBER(Educator!D612),Educator!D612&lt;&gt;9),"Grade "&amp;Educator!D612,Educator!D612=9,"Grade 9-12",ISTEXT(Educator!D612),Educator!D612)&amp;" "&amp;"Florida"&amp;" "&amp;"26-27"</f>
        <v>#N/A</v>
      </c>
      <c r="C607" s="49" t="e">
        <f t="shared" si="10"/>
        <v>#N/A</v>
      </c>
      <c r="E607" s="51" t="s">
        <v>102</v>
      </c>
      <c r="F607" s="49" t="b">
        <f>IF(Educator!B612&gt;0,"active")</f>
        <v>0</v>
      </c>
      <c r="J607" s="49" t="str">
        <f>"BP-"&amp;"TSWFL-"&amp;IF(ISNUMBER(Educator!D612),""&amp;Educator!D612,Educator!D612)&amp;"-"&amp;"2027"</f>
        <v>BP-TSWFL--2027</v>
      </c>
    </row>
    <row r="608" spans="1:10" x14ac:dyDescent="0.2">
      <c r="A6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","#",3))+1,1)&amp;"-"&amp;LEFT(Educator!B613, 3)&amp;"-"&amp;LEFT(Educator!A613, 3)&amp;"-"&amp;IF(ISNUMBER(Educator!D613),"G"&amp;Educator!D613,Educator!D613)&amp;"-"&amp;"2027"</f>
        <v>CID-FLH----2027</v>
      </c>
      <c r="B608" s="49" t="e" cm="1">
        <f t="array" ref="B608">Educator!B613&amp;" "&amp;_xlfn.IFS(AND(ISNUMBER(Educator!D613),Educator!D613&lt;&gt;9),"Grade "&amp;Educator!D613,Educator!D613=9,"Grade 9-12",ISTEXT(Educator!D613),Educator!D613)&amp;" "&amp;"Florida"&amp;" "&amp;"26-27"</f>
        <v>#N/A</v>
      </c>
      <c r="C608" s="49" t="e">
        <f t="shared" si="10"/>
        <v>#N/A</v>
      </c>
      <c r="E608" s="51" t="s">
        <v>102</v>
      </c>
      <c r="F608" s="49" t="b">
        <f>IF(Educator!B613&gt;0,"active")</f>
        <v>0</v>
      </c>
      <c r="J608" s="49" t="str">
        <f>"BP-"&amp;"TSWFL-"&amp;IF(ISNUMBER(Educator!D613),""&amp;Educator!D613,Educator!D613)&amp;"-"&amp;"2027"</f>
        <v>BP-TSWFL--2027</v>
      </c>
    </row>
    <row r="609" spans="1:10" x14ac:dyDescent="0.2">
      <c r="A6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","#",3))+1,1)&amp;"-"&amp;LEFT(Educator!B614, 3)&amp;"-"&amp;LEFT(Educator!A614, 3)&amp;"-"&amp;IF(ISNUMBER(Educator!D614),"G"&amp;Educator!D614,Educator!D614)&amp;"-"&amp;"2027"</f>
        <v>CID-FLH----2027</v>
      </c>
      <c r="B609" s="49" t="e" cm="1">
        <f t="array" ref="B609">Educator!B614&amp;" "&amp;_xlfn.IFS(AND(ISNUMBER(Educator!D614),Educator!D614&lt;&gt;9),"Grade "&amp;Educator!D614,Educator!D614=9,"Grade 9-12",ISTEXT(Educator!D614),Educator!D614)&amp;" "&amp;"Florida"&amp;" "&amp;"26-27"</f>
        <v>#N/A</v>
      </c>
      <c r="C609" s="49" t="e">
        <f t="shared" si="10"/>
        <v>#N/A</v>
      </c>
      <c r="E609" s="51" t="s">
        <v>102</v>
      </c>
      <c r="F609" s="49" t="b">
        <f>IF(Educator!B614&gt;0,"active")</f>
        <v>0</v>
      </c>
      <c r="J609" s="49" t="str">
        <f>"BP-"&amp;"TSWFL-"&amp;IF(ISNUMBER(Educator!D614),""&amp;Educator!D614,Educator!D614)&amp;"-"&amp;"2027"</f>
        <v>BP-TSWFL--2027</v>
      </c>
    </row>
    <row r="610" spans="1:10" x14ac:dyDescent="0.2">
      <c r="A6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","#",3))+1,1)&amp;"-"&amp;LEFT(Educator!B615, 3)&amp;"-"&amp;LEFT(Educator!A615, 3)&amp;"-"&amp;IF(ISNUMBER(Educator!D615),"G"&amp;Educator!D615,Educator!D615)&amp;"-"&amp;"2027"</f>
        <v>CID-FLH----2027</v>
      </c>
      <c r="B610" s="49" t="e" cm="1">
        <f t="array" ref="B610">Educator!B615&amp;" "&amp;_xlfn.IFS(AND(ISNUMBER(Educator!D615),Educator!D615&lt;&gt;9),"Grade "&amp;Educator!D615,Educator!D615=9,"Grade 9-12",ISTEXT(Educator!D615),Educator!D615)&amp;" "&amp;"Florida"&amp;" "&amp;"26-27"</f>
        <v>#N/A</v>
      </c>
      <c r="C610" s="49" t="e">
        <f t="shared" si="10"/>
        <v>#N/A</v>
      </c>
      <c r="E610" s="51" t="s">
        <v>102</v>
      </c>
      <c r="F610" s="49" t="b">
        <f>IF(Educator!B615&gt;0,"active")</f>
        <v>0</v>
      </c>
      <c r="J610" s="49" t="str">
        <f>"BP-"&amp;"TSWFL-"&amp;IF(ISNUMBER(Educator!D615),""&amp;Educator!D615,Educator!D615)&amp;"-"&amp;"2027"</f>
        <v>BP-TSWFL--2027</v>
      </c>
    </row>
    <row r="611" spans="1:10" x14ac:dyDescent="0.2">
      <c r="A6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","#",3))+1,1)&amp;"-"&amp;LEFT(Educator!B616, 3)&amp;"-"&amp;LEFT(Educator!A616, 3)&amp;"-"&amp;IF(ISNUMBER(Educator!D616),"G"&amp;Educator!D616,Educator!D616)&amp;"-"&amp;"2027"</f>
        <v>CID-FLH----2027</v>
      </c>
      <c r="B611" s="49" t="e" cm="1">
        <f t="array" ref="B611">Educator!B616&amp;" "&amp;_xlfn.IFS(AND(ISNUMBER(Educator!D616),Educator!D616&lt;&gt;9),"Grade "&amp;Educator!D616,Educator!D616=9,"Grade 9-12",ISTEXT(Educator!D616),Educator!D616)&amp;" "&amp;"Florida"&amp;" "&amp;"26-27"</f>
        <v>#N/A</v>
      </c>
      <c r="C611" s="49" t="e">
        <f t="shared" si="10"/>
        <v>#N/A</v>
      </c>
      <c r="E611" s="51" t="s">
        <v>102</v>
      </c>
      <c r="F611" s="49" t="b">
        <f>IF(Educator!B616&gt;0,"active")</f>
        <v>0</v>
      </c>
      <c r="J611" s="49" t="str">
        <f>"BP-"&amp;"TSWFL-"&amp;IF(ISNUMBER(Educator!D616),""&amp;Educator!D616,Educator!D616)&amp;"-"&amp;"2027"</f>
        <v>BP-TSWFL--2027</v>
      </c>
    </row>
    <row r="612" spans="1:10" x14ac:dyDescent="0.2">
      <c r="A6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","#",3))+1,1)&amp;"-"&amp;LEFT(Educator!B617, 3)&amp;"-"&amp;LEFT(Educator!A617, 3)&amp;"-"&amp;IF(ISNUMBER(Educator!D617),"G"&amp;Educator!D617,Educator!D617)&amp;"-"&amp;"2027"</f>
        <v>CID-FLH----2027</v>
      </c>
      <c r="B612" s="49" t="e" cm="1">
        <f t="array" ref="B612">Educator!B617&amp;" "&amp;_xlfn.IFS(AND(ISNUMBER(Educator!D617),Educator!D617&lt;&gt;9),"Grade "&amp;Educator!D617,Educator!D617=9,"Grade 9-12",ISTEXT(Educator!D617),Educator!D617)&amp;" "&amp;"Florida"&amp;" "&amp;"26-27"</f>
        <v>#N/A</v>
      </c>
      <c r="C612" s="49" t="e">
        <f t="shared" si="10"/>
        <v>#N/A</v>
      </c>
      <c r="E612" s="51" t="s">
        <v>102</v>
      </c>
      <c r="F612" s="49" t="b">
        <f>IF(Educator!B617&gt;0,"active")</f>
        <v>0</v>
      </c>
      <c r="J612" s="49" t="str">
        <f>"BP-"&amp;"TSWFL-"&amp;IF(ISNUMBER(Educator!D617),""&amp;Educator!D617,Educator!D617)&amp;"-"&amp;"2027"</f>
        <v>BP-TSWFL--2027</v>
      </c>
    </row>
    <row r="613" spans="1:10" x14ac:dyDescent="0.2">
      <c r="A6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","#",3))+1,1)&amp;"-"&amp;LEFT(Educator!B618, 3)&amp;"-"&amp;LEFT(Educator!A618, 3)&amp;"-"&amp;IF(ISNUMBER(Educator!D618),"G"&amp;Educator!D618,Educator!D618)&amp;"-"&amp;"2027"</f>
        <v>CID-FLH----2027</v>
      </c>
      <c r="B613" s="49" t="e" cm="1">
        <f t="array" ref="B613">Educator!B618&amp;" "&amp;_xlfn.IFS(AND(ISNUMBER(Educator!D618),Educator!D618&lt;&gt;9),"Grade "&amp;Educator!D618,Educator!D618=9,"Grade 9-12",ISTEXT(Educator!D618),Educator!D618)&amp;" "&amp;"Florida"&amp;" "&amp;"26-27"</f>
        <v>#N/A</v>
      </c>
      <c r="C613" s="49" t="e">
        <f t="shared" si="10"/>
        <v>#N/A</v>
      </c>
      <c r="E613" s="51" t="s">
        <v>102</v>
      </c>
      <c r="F613" s="49" t="b">
        <f>IF(Educator!B618&gt;0,"active")</f>
        <v>0</v>
      </c>
      <c r="J613" s="49" t="str">
        <f>"BP-"&amp;"TSWFL-"&amp;IF(ISNUMBER(Educator!D618),""&amp;Educator!D618,Educator!D618)&amp;"-"&amp;"2027"</f>
        <v>BP-TSWFL--2027</v>
      </c>
    </row>
    <row r="614" spans="1:10" x14ac:dyDescent="0.2">
      <c r="A6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","#",3))+1,1)&amp;"-"&amp;LEFT(Educator!B619, 3)&amp;"-"&amp;LEFT(Educator!A619, 3)&amp;"-"&amp;IF(ISNUMBER(Educator!D619),"G"&amp;Educator!D619,Educator!D619)&amp;"-"&amp;"2027"</f>
        <v>CID-FLH----2027</v>
      </c>
      <c r="B614" s="49" t="e" cm="1">
        <f t="array" ref="B614">Educator!B619&amp;" "&amp;_xlfn.IFS(AND(ISNUMBER(Educator!D619),Educator!D619&lt;&gt;9),"Grade "&amp;Educator!D619,Educator!D619=9,"Grade 9-12",ISTEXT(Educator!D619),Educator!D619)&amp;" "&amp;"Florida"&amp;" "&amp;"26-27"</f>
        <v>#N/A</v>
      </c>
      <c r="C614" s="49" t="e">
        <f t="shared" si="10"/>
        <v>#N/A</v>
      </c>
      <c r="E614" s="51" t="s">
        <v>102</v>
      </c>
      <c r="F614" s="49" t="b">
        <f>IF(Educator!B619&gt;0,"active")</f>
        <v>0</v>
      </c>
      <c r="J614" s="49" t="str">
        <f>"BP-"&amp;"TSWFL-"&amp;IF(ISNUMBER(Educator!D619),""&amp;Educator!D619,Educator!D619)&amp;"-"&amp;"2027"</f>
        <v>BP-TSWFL--2027</v>
      </c>
    </row>
    <row r="615" spans="1:10" x14ac:dyDescent="0.2">
      <c r="A6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","#",3))+1,1)&amp;"-"&amp;LEFT(Educator!B620, 3)&amp;"-"&amp;LEFT(Educator!A620, 3)&amp;"-"&amp;IF(ISNUMBER(Educator!D620),"G"&amp;Educator!D620,Educator!D620)&amp;"-"&amp;"2027"</f>
        <v>CID-FLH----2027</v>
      </c>
      <c r="B615" s="49" t="e" cm="1">
        <f t="array" ref="B615">Educator!B620&amp;" "&amp;_xlfn.IFS(AND(ISNUMBER(Educator!D620),Educator!D620&lt;&gt;9),"Grade "&amp;Educator!D620,Educator!D620=9,"Grade 9-12",ISTEXT(Educator!D620),Educator!D620)&amp;" "&amp;"Florida"&amp;" "&amp;"26-27"</f>
        <v>#N/A</v>
      </c>
      <c r="C615" s="49" t="e">
        <f t="shared" si="10"/>
        <v>#N/A</v>
      </c>
      <c r="E615" s="51" t="s">
        <v>102</v>
      </c>
      <c r="F615" s="49" t="b">
        <f>IF(Educator!B620&gt;0,"active")</f>
        <v>0</v>
      </c>
      <c r="J615" s="49" t="str">
        <f>"BP-"&amp;"TSWFL-"&amp;IF(ISNUMBER(Educator!D620),""&amp;Educator!D620,Educator!D620)&amp;"-"&amp;"2027"</f>
        <v>BP-TSWFL--2027</v>
      </c>
    </row>
    <row r="616" spans="1:10" x14ac:dyDescent="0.2">
      <c r="A6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","#",3))+1,1)&amp;"-"&amp;LEFT(Educator!B621, 3)&amp;"-"&amp;LEFT(Educator!A621, 3)&amp;"-"&amp;IF(ISNUMBER(Educator!D621),"G"&amp;Educator!D621,Educator!D621)&amp;"-"&amp;"2027"</f>
        <v>CID-FLH----2027</v>
      </c>
      <c r="B616" s="49" t="e" cm="1">
        <f t="array" ref="B616">Educator!B621&amp;" "&amp;_xlfn.IFS(AND(ISNUMBER(Educator!D621),Educator!D621&lt;&gt;9),"Grade "&amp;Educator!D621,Educator!D621=9,"Grade 9-12",ISTEXT(Educator!D621),Educator!D621)&amp;" "&amp;"Florida"&amp;" "&amp;"26-27"</f>
        <v>#N/A</v>
      </c>
      <c r="C616" s="49" t="e">
        <f t="shared" si="10"/>
        <v>#N/A</v>
      </c>
      <c r="E616" s="51" t="s">
        <v>102</v>
      </c>
      <c r="F616" s="49" t="b">
        <f>IF(Educator!B621&gt;0,"active")</f>
        <v>0</v>
      </c>
      <c r="J616" s="49" t="str">
        <f>"BP-"&amp;"TSWFL-"&amp;IF(ISNUMBER(Educator!D621),""&amp;Educator!D621,Educator!D621)&amp;"-"&amp;"2027"</f>
        <v>BP-TSWFL--2027</v>
      </c>
    </row>
    <row r="617" spans="1:10" x14ac:dyDescent="0.2">
      <c r="A6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","#",3))+1,1)&amp;"-"&amp;LEFT(Educator!B622, 3)&amp;"-"&amp;LEFT(Educator!A622, 3)&amp;"-"&amp;IF(ISNUMBER(Educator!D622),"G"&amp;Educator!D622,Educator!D622)&amp;"-"&amp;"2027"</f>
        <v>CID-FLH----2027</v>
      </c>
      <c r="B617" s="49" t="e" cm="1">
        <f t="array" ref="B617">Educator!B622&amp;" "&amp;_xlfn.IFS(AND(ISNUMBER(Educator!D622),Educator!D622&lt;&gt;9),"Grade "&amp;Educator!D622,Educator!D622=9,"Grade 9-12",ISTEXT(Educator!D622),Educator!D622)&amp;" "&amp;"Florida"&amp;" "&amp;"26-27"</f>
        <v>#N/A</v>
      </c>
      <c r="C617" s="49" t="e">
        <f t="shared" si="10"/>
        <v>#N/A</v>
      </c>
      <c r="E617" s="51" t="s">
        <v>102</v>
      </c>
      <c r="F617" s="49" t="b">
        <f>IF(Educator!B622&gt;0,"active")</f>
        <v>0</v>
      </c>
      <c r="J617" s="49" t="str">
        <f>"BP-"&amp;"TSWFL-"&amp;IF(ISNUMBER(Educator!D622),""&amp;Educator!D622,Educator!D622)&amp;"-"&amp;"2027"</f>
        <v>BP-TSWFL--2027</v>
      </c>
    </row>
    <row r="618" spans="1:10" x14ac:dyDescent="0.2">
      <c r="A6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","#",3))+1,1)&amp;"-"&amp;LEFT(Educator!B623, 3)&amp;"-"&amp;LEFT(Educator!A623, 3)&amp;"-"&amp;IF(ISNUMBER(Educator!D623),"G"&amp;Educator!D623,Educator!D623)&amp;"-"&amp;"2027"</f>
        <v>CID-FLH----2027</v>
      </c>
      <c r="B618" s="49" t="e" cm="1">
        <f t="array" ref="B618">Educator!B623&amp;" "&amp;_xlfn.IFS(AND(ISNUMBER(Educator!D623),Educator!D623&lt;&gt;9),"Grade "&amp;Educator!D623,Educator!D623=9,"Grade 9-12",ISTEXT(Educator!D623),Educator!D623)&amp;" "&amp;"Florida"&amp;" "&amp;"26-27"</f>
        <v>#N/A</v>
      </c>
      <c r="C618" s="49" t="e">
        <f t="shared" si="10"/>
        <v>#N/A</v>
      </c>
      <c r="E618" s="51" t="s">
        <v>102</v>
      </c>
      <c r="F618" s="49" t="b">
        <f>IF(Educator!B623&gt;0,"active")</f>
        <v>0</v>
      </c>
      <c r="J618" s="49" t="str">
        <f>"BP-"&amp;"TSWFL-"&amp;IF(ISNUMBER(Educator!D623),""&amp;Educator!D623,Educator!D623)&amp;"-"&amp;"2027"</f>
        <v>BP-TSWFL--2027</v>
      </c>
    </row>
    <row r="619" spans="1:10" x14ac:dyDescent="0.2">
      <c r="A6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","#",3))+1,1)&amp;"-"&amp;LEFT(Educator!B624, 3)&amp;"-"&amp;LEFT(Educator!A624, 3)&amp;"-"&amp;IF(ISNUMBER(Educator!D624),"G"&amp;Educator!D624,Educator!D624)&amp;"-"&amp;"2027"</f>
        <v>CID-FLH----2027</v>
      </c>
      <c r="B619" s="49" t="e" cm="1">
        <f t="array" ref="B619">Educator!B624&amp;" "&amp;_xlfn.IFS(AND(ISNUMBER(Educator!D624),Educator!D624&lt;&gt;9),"Grade "&amp;Educator!D624,Educator!D624=9,"Grade 9-12",ISTEXT(Educator!D624),Educator!D624)&amp;" "&amp;"Florida"&amp;" "&amp;"26-27"</f>
        <v>#N/A</v>
      </c>
      <c r="C619" s="49" t="e">
        <f t="shared" si="10"/>
        <v>#N/A</v>
      </c>
      <c r="E619" s="51" t="s">
        <v>102</v>
      </c>
      <c r="F619" s="49" t="b">
        <f>IF(Educator!B624&gt;0,"active")</f>
        <v>0</v>
      </c>
      <c r="J619" s="49" t="str">
        <f>"BP-"&amp;"TSWFL-"&amp;IF(ISNUMBER(Educator!D624),""&amp;Educator!D624,Educator!D624)&amp;"-"&amp;"2027"</f>
        <v>BP-TSWFL--2027</v>
      </c>
    </row>
    <row r="620" spans="1:10" x14ac:dyDescent="0.2">
      <c r="A6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","#",3))+1,1)&amp;"-"&amp;LEFT(Educator!B625, 3)&amp;"-"&amp;LEFT(Educator!A625, 3)&amp;"-"&amp;IF(ISNUMBER(Educator!D625),"G"&amp;Educator!D625,Educator!D625)&amp;"-"&amp;"2027"</f>
        <v>CID-FLH----2027</v>
      </c>
      <c r="B620" s="49" t="e" cm="1">
        <f t="array" ref="B620">Educator!B625&amp;" "&amp;_xlfn.IFS(AND(ISNUMBER(Educator!D625),Educator!D625&lt;&gt;9),"Grade "&amp;Educator!D625,Educator!D625=9,"Grade 9-12",ISTEXT(Educator!D625),Educator!D625)&amp;" "&amp;"Florida"&amp;" "&amp;"26-27"</f>
        <v>#N/A</v>
      </c>
      <c r="C620" s="49" t="e">
        <f t="shared" si="10"/>
        <v>#N/A</v>
      </c>
      <c r="E620" s="51" t="s">
        <v>102</v>
      </c>
      <c r="F620" s="49" t="b">
        <f>IF(Educator!B625&gt;0,"active")</f>
        <v>0</v>
      </c>
      <c r="J620" s="49" t="str">
        <f>"BP-"&amp;"TSWFL-"&amp;IF(ISNUMBER(Educator!D625),""&amp;Educator!D625,Educator!D625)&amp;"-"&amp;"2027"</f>
        <v>BP-TSWFL--2027</v>
      </c>
    </row>
    <row r="621" spans="1:10" x14ac:dyDescent="0.2">
      <c r="A6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","#",3))+1,1)&amp;"-"&amp;LEFT(Educator!B626, 3)&amp;"-"&amp;LEFT(Educator!A626, 3)&amp;"-"&amp;IF(ISNUMBER(Educator!D626),"G"&amp;Educator!D626,Educator!D626)&amp;"-"&amp;"2027"</f>
        <v>CID-FLH----2027</v>
      </c>
      <c r="B621" s="49" t="e" cm="1">
        <f t="array" ref="B621">Educator!B626&amp;" "&amp;_xlfn.IFS(AND(ISNUMBER(Educator!D626),Educator!D626&lt;&gt;9),"Grade "&amp;Educator!D626,Educator!D626=9,"Grade 9-12",ISTEXT(Educator!D626),Educator!D626)&amp;" "&amp;"Florida"&amp;" "&amp;"26-27"</f>
        <v>#N/A</v>
      </c>
      <c r="C621" s="49" t="e">
        <f t="shared" si="10"/>
        <v>#N/A</v>
      </c>
      <c r="E621" s="51" t="s">
        <v>102</v>
      </c>
      <c r="F621" s="49" t="b">
        <f>IF(Educator!B626&gt;0,"active")</f>
        <v>0</v>
      </c>
      <c r="J621" s="49" t="str">
        <f>"BP-"&amp;"TSWFL-"&amp;IF(ISNUMBER(Educator!D626),""&amp;Educator!D626,Educator!D626)&amp;"-"&amp;"2027"</f>
        <v>BP-TSWFL--2027</v>
      </c>
    </row>
    <row r="622" spans="1:10" x14ac:dyDescent="0.2">
      <c r="A6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","#",3))+1,1)&amp;"-"&amp;LEFT(Educator!B627, 3)&amp;"-"&amp;LEFT(Educator!A627, 3)&amp;"-"&amp;IF(ISNUMBER(Educator!D627),"G"&amp;Educator!D627,Educator!D627)&amp;"-"&amp;"2027"</f>
        <v>CID-FLH----2027</v>
      </c>
      <c r="B622" s="49" t="e" cm="1">
        <f t="array" ref="B622">Educator!B627&amp;" "&amp;_xlfn.IFS(AND(ISNUMBER(Educator!D627),Educator!D627&lt;&gt;9),"Grade "&amp;Educator!D627,Educator!D627=9,"Grade 9-12",ISTEXT(Educator!D627),Educator!D627)&amp;" "&amp;"Florida"&amp;" "&amp;"26-27"</f>
        <v>#N/A</v>
      </c>
      <c r="C622" s="49" t="e">
        <f t="shared" si="10"/>
        <v>#N/A</v>
      </c>
      <c r="E622" s="51" t="s">
        <v>102</v>
      </c>
      <c r="F622" s="49" t="b">
        <f>IF(Educator!B627&gt;0,"active")</f>
        <v>0</v>
      </c>
      <c r="J622" s="49" t="str">
        <f>"BP-"&amp;"TSWFL-"&amp;IF(ISNUMBER(Educator!D627),""&amp;Educator!D627,Educator!D627)&amp;"-"&amp;"2027"</f>
        <v>BP-TSWFL--2027</v>
      </c>
    </row>
    <row r="623" spans="1:10" x14ac:dyDescent="0.2">
      <c r="A6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","#",3))+1,1)&amp;"-"&amp;LEFT(Educator!B628, 3)&amp;"-"&amp;LEFT(Educator!A628, 3)&amp;"-"&amp;IF(ISNUMBER(Educator!D628),"G"&amp;Educator!D628,Educator!D628)&amp;"-"&amp;"2027"</f>
        <v>CID-FLH----2027</v>
      </c>
      <c r="B623" s="49" t="e" cm="1">
        <f t="array" ref="B623">Educator!B628&amp;" "&amp;_xlfn.IFS(AND(ISNUMBER(Educator!D628),Educator!D628&lt;&gt;9),"Grade "&amp;Educator!D628,Educator!D628=9,"Grade 9-12",ISTEXT(Educator!D628),Educator!D628)&amp;" "&amp;"Florida"&amp;" "&amp;"26-27"</f>
        <v>#N/A</v>
      </c>
      <c r="C623" s="49" t="e">
        <f t="shared" si="10"/>
        <v>#N/A</v>
      </c>
      <c r="E623" s="51" t="s">
        <v>102</v>
      </c>
      <c r="F623" s="49" t="b">
        <f>IF(Educator!B628&gt;0,"active")</f>
        <v>0</v>
      </c>
      <c r="J623" s="49" t="str">
        <f>"BP-"&amp;"TSWFL-"&amp;IF(ISNUMBER(Educator!D628),""&amp;Educator!D628,Educator!D628)&amp;"-"&amp;"2027"</f>
        <v>BP-TSWFL--2027</v>
      </c>
    </row>
    <row r="624" spans="1:10" x14ac:dyDescent="0.2">
      <c r="A6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","#",3))+1,1)&amp;"-"&amp;LEFT(Educator!B629, 3)&amp;"-"&amp;LEFT(Educator!A629, 3)&amp;"-"&amp;IF(ISNUMBER(Educator!D629),"G"&amp;Educator!D629,Educator!D629)&amp;"-"&amp;"2027"</f>
        <v>CID-FLH----2027</v>
      </c>
      <c r="B624" s="49" t="e" cm="1">
        <f t="array" ref="B624">Educator!B629&amp;" "&amp;_xlfn.IFS(AND(ISNUMBER(Educator!D629),Educator!D629&lt;&gt;9),"Grade "&amp;Educator!D629,Educator!D629=9,"Grade 9-12",ISTEXT(Educator!D629),Educator!D629)&amp;" "&amp;"Florida"&amp;" "&amp;"26-27"</f>
        <v>#N/A</v>
      </c>
      <c r="C624" s="49" t="e">
        <f t="shared" si="10"/>
        <v>#N/A</v>
      </c>
      <c r="E624" s="51" t="s">
        <v>102</v>
      </c>
      <c r="F624" s="49" t="b">
        <f>IF(Educator!B629&gt;0,"active")</f>
        <v>0</v>
      </c>
      <c r="J624" s="49" t="str">
        <f>"BP-"&amp;"TSWFL-"&amp;IF(ISNUMBER(Educator!D629),""&amp;Educator!D629,Educator!D629)&amp;"-"&amp;"2027"</f>
        <v>BP-TSWFL--2027</v>
      </c>
    </row>
    <row r="625" spans="1:10" x14ac:dyDescent="0.2">
      <c r="A6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","#",3))+1,1)&amp;"-"&amp;LEFT(Educator!B630, 3)&amp;"-"&amp;LEFT(Educator!A630, 3)&amp;"-"&amp;IF(ISNUMBER(Educator!D630),"G"&amp;Educator!D630,Educator!D630)&amp;"-"&amp;"2027"</f>
        <v>CID-FLH----2027</v>
      </c>
      <c r="B625" s="49" t="e" cm="1">
        <f t="array" ref="B625">Educator!B630&amp;" "&amp;_xlfn.IFS(AND(ISNUMBER(Educator!D630),Educator!D630&lt;&gt;9),"Grade "&amp;Educator!D630,Educator!D630=9,"Grade 9-12",ISTEXT(Educator!D630),Educator!D630)&amp;" "&amp;"Florida"&amp;" "&amp;"26-27"</f>
        <v>#N/A</v>
      </c>
      <c r="C625" s="49" t="e">
        <f t="shared" si="10"/>
        <v>#N/A</v>
      </c>
      <c r="E625" s="51" t="s">
        <v>102</v>
      </c>
      <c r="F625" s="49" t="b">
        <f>IF(Educator!B630&gt;0,"active")</f>
        <v>0</v>
      </c>
      <c r="J625" s="49" t="str">
        <f>"BP-"&amp;"TSWFL-"&amp;IF(ISNUMBER(Educator!D630),""&amp;Educator!D630,Educator!D630)&amp;"-"&amp;"2027"</f>
        <v>BP-TSWFL--2027</v>
      </c>
    </row>
    <row r="626" spans="1:10" x14ac:dyDescent="0.2">
      <c r="A6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","#",3))+1,1)&amp;"-"&amp;LEFT(Educator!B631, 3)&amp;"-"&amp;LEFT(Educator!A631, 3)&amp;"-"&amp;IF(ISNUMBER(Educator!D631),"G"&amp;Educator!D631,Educator!D631)&amp;"-"&amp;"2027"</f>
        <v>CID-FLH----2027</v>
      </c>
      <c r="B626" s="49" t="e" cm="1">
        <f t="array" ref="B626">Educator!B631&amp;" "&amp;_xlfn.IFS(AND(ISNUMBER(Educator!D631),Educator!D631&lt;&gt;9),"Grade "&amp;Educator!D631,Educator!D631=9,"Grade 9-12",ISTEXT(Educator!D631),Educator!D631)&amp;" "&amp;"Florida"&amp;" "&amp;"26-27"</f>
        <v>#N/A</v>
      </c>
      <c r="C626" s="49" t="e">
        <f t="shared" si="10"/>
        <v>#N/A</v>
      </c>
      <c r="E626" s="51" t="s">
        <v>102</v>
      </c>
      <c r="F626" s="49" t="b">
        <f>IF(Educator!B631&gt;0,"active")</f>
        <v>0</v>
      </c>
      <c r="J626" s="49" t="str">
        <f>"BP-"&amp;"TSWFL-"&amp;IF(ISNUMBER(Educator!D631),""&amp;Educator!D631,Educator!D631)&amp;"-"&amp;"2027"</f>
        <v>BP-TSWFL--2027</v>
      </c>
    </row>
    <row r="627" spans="1:10" x14ac:dyDescent="0.2">
      <c r="A6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","#",3))+1,1)&amp;"-"&amp;LEFT(Educator!B632, 3)&amp;"-"&amp;LEFT(Educator!A632, 3)&amp;"-"&amp;IF(ISNUMBER(Educator!D632),"G"&amp;Educator!D632,Educator!D632)&amp;"-"&amp;"2027"</f>
        <v>CID-FLH----2027</v>
      </c>
      <c r="B627" s="49" t="e" cm="1">
        <f t="array" ref="B627">Educator!B632&amp;" "&amp;_xlfn.IFS(AND(ISNUMBER(Educator!D632),Educator!D632&lt;&gt;9),"Grade "&amp;Educator!D632,Educator!D632=9,"Grade 9-12",ISTEXT(Educator!D632),Educator!D632)&amp;" "&amp;"Florida"&amp;" "&amp;"26-27"</f>
        <v>#N/A</v>
      </c>
      <c r="C627" s="49" t="e">
        <f t="shared" si="10"/>
        <v>#N/A</v>
      </c>
      <c r="E627" s="51" t="s">
        <v>102</v>
      </c>
      <c r="F627" s="49" t="b">
        <f>IF(Educator!B632&gt;0,"active")</f>
        <v>0</v>
      </c>
      <c r="J627" s="49" t="str">
        <f>"BP-"&amp;"TSWFL-"&amp;IF(ISNUMBER(Educator!D632),""&amp;Educator!D632,Educator!D632)&amp;"-"&amp;"2027"</f>
        <v>BP-TSWFL--2027</v>
      </c>
    </row>
    <row r="628" spans="1:10" x14ac:dyDescent="0.2">
      <c r="A6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","#",3))+1,1)&amp;"-"&amp;LEFT(Educator!B633, 3)&amp;"-"&amp;LEFT(Educator!A633, 3)&amp;"-"&amp;IF(ISNUMBER(Educator!D633),"G"&amp;Educator!D633,Educator!D633)&amp;"-"&amp;"2027"</f>
        <v>CID-FLH----2027</v>
      </c>
      <c r="B628" s="49" t="e" cm="1">
        <f t="array" ref="B628">Educator!B633&amp;" "&amp;_xlfn.IFS(AND(ISNUMBER(Educator!D633),Educator!D633&lt;&gt;9),"Grade "&amp;Educator!D633,Educator!D633=9,"Grade 9-12",ISTEXT(Educator!D633),Educator!D633)&amp;" "&amp;"Florida"&amp;" "&amp;"26-27"</f>
        <v>#N/A</v>
      </c>
      <c r="C628" s="49" t="e">
        <f t="shared" si="10"/>
        <v>#N/A</v>
      </c>
      <c r="E628" s="51" t="s">
        <v>102</v>
      </c>
      <c r="F628" s="49" t="b">
        <f>IF(Educator!B633&gt;0,"active")</f>
        <v>0</v>
      </c>
      <c r="J628" s="49" t="str">
        <f>"BP-"&amp;"TSWFL-"&amp;IF(ISNUMBER(Educator!D633),""&amp;Educator!D633,Educator!D633)&amp;"-"&amp;"2027"</f>
        <v>BP-TSWFL--2027</v>
      </c>
    </row>
    <row r="629" spans="1:10" x14ac:dyDescent="0.2">
      <c r="A6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","#",3))+1,1)&amp;"-"&amp;LEFT(Educator!B634, 3)&amp;"-"&amp;LEFT(Educator!A634, 3)&amp;"-"&amp;IF(ISNUMBER(Educator!D634),"G"&amp;Educator!D634,Educator!D634)&amp;"-"&amp;"2027"</f>
        <v>CID-FLH----2027</v>
      </c>
      <c r="B629" s="49" t="e" cm="1">
        <f t="array" ref="B629">Educator!B634&amp;" "&amp;_xlfn.IFS(AND(ISNUMBER(Educator!D634),Educator!D634&lt;&gt;9),"Grade "&amp;Educator!D634,Educator!D634=9,"Grade 9-12",ISTEXT(Educator!D634),Educator!D634)&amp;" "&amp;"Florida"&amp;" "&amp;"26-27"</f>
        <v>#N/A</v>
      </c>
      <c r="C629" s="49" t="e">
        <f t="shared" si="10"/>
        <v>#N/A</v>
      </c>
      <c r="E629" s="51" t="s">
        <v>102</v>
      </c>
      <c r="F629" s="49" t="b">
        <f>IF(Educator!B634&gt;0,"active")</f>
        <v>0</v>
      </c>
      <c r="J629" s="49" t="str">
        <f>"BP-"&amp;"TSWFL-"&amp;IF(ISNUMBER(Educator!D634),""&amp;Educator!D634,Educator!D634)&amp;"-"&amp;"2027"</f>
        <v>BP-TSWFL--2027</v>
      </c>
    </row>
    <row r="630" spans="1:10" x14ac:dyDescent="0.2">
      <c r="A6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","#",3))+1,1)&amp;"-"&amp;LEFT(Educator!B635, 3)&amp;"-"&amp;LEFT(Educator!A635, 3)&amp;"-"&amp;IF(ISNUMBER(Educator!D635),"G"&amp;Educator!D635,Educator!D635)&amp;"-"&amp;"2027"</f>
        <v>CID-FLH----2027</v>
      </c>
      <c r="B630" s="49" t="e" cm="1">
        <f t="array" ref="B630">Educator!B635&amp;" "&amp;_xlfn.IFS(AND(ISNUMBER(Educator!D635),Educator!D635&lt;&gt;9),"Grade "&amp;Educator!D635,Educator!D635=9,"Grade 9-12",ISTEXT(Educator!D635),Educator!D635)&amp;" "&amp;"Florida"&amp;" "&amp;"26-27"</f>
        <v>#N/A</v>
      </c>
      <c r="C630" s="49" t="e">
        <f t="shared" si="10"/>
        <v>#N/A</v>
      </c>
      <c r="E630" s="51" t="s">
        <v>102</v>
      </c>
      <c r="F630" s="49" t="b">
        <f>IF(Educator!B635&gt;0,"active")</f>
        <v>0</v>
      </c>
      <c r="J630" s="49" t="str">
        <f>"BP-"&amp;"TSWFL-"&amp;IF(ISNUMBER(Educator!D635),""&amp;Educator!D635,Educator!D635)&amp;"-"&amp;"2027"</f>
        <v>BP-TSWFL--2027</v>
      </c>
    </row>
    <row r="631" spans="1:10" x14ac:dyDescent="0.2">
      <c r="A6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","#",3))+1,1)&amp;"-"&amp;LEFT(Educator!B636, 3)&amp;"-"&amp;LEFT(Educator!A636, 3)&amp;"-"&amp;IF(ISNUMBER(Educator!D636),"G"&amp;Educator!D636,Educator!D636)&amp;"-"&amp;"2027"</f>
        <v>CID-FLH----2027</v>
      </c>
      <c r="B631" s="49" t="e" cm="1">
        <f t="array" ref="B631">Educator!B636&amp;" "&amp;_xlfn.IFS(AND(ISNUMBER(Educator!D636),Educator!D636&lt;&gt;9),"Grade "&amp;Educator!D636,Educator!D636=9,"Grade 9-12",ISTEXT(Educator!D636),Educator!D636)&amp;" "&amp;"Florida"&amp;" "&amp;"26-27"</f>
        <v>#N/A</v>
      </c>
      <c r="C631" s="49" t="e">
        <f t="shared" si="10"/>
        <v>#N/A</v>
      </c>
      <c r="E631" s="51" t="s">
        <v>102</v>
      </c>
      <c r="F631" s="49" t="b">
        <f>IF(Educator!B636&gt;0,"active")</f>
        <v>0</v>
      </c>
      <c r="J631" s="49" t="str">
        <f>"BP-"&amp;"TSWFL-"&amp;IF(ISNUMBER(Educator!D636),""&amp;Educator!D636,Educator!D636)&amp;"-"&amp;"2027"</f>
        <v>BP-TSWFL--2027</v>
      </c>
    </row>
    <row r="632" spans="1:10" x14ac:dyDescent="0.2">
      <c r="A6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","#",3))+1,1)&amp;"-"&amp;LEFT(Educator!B637, 3)&amp;"-"&amp;LEFT(Educator!A637, 3)&amp;"-"&amp;IF(ISNUMBER(Educator!D637),"G"&amp;Educator!D637,Educator!D637)&amp;"-"&amp;"2027"</f>
        <v>CID-FLH----2027</v>
      </c>
      <c r="B632" s="49" t="e" cm="1">
        <f t="array" ref="B632">Educator!B637&amp;" "&amp;_xlfn.IFS(AND(ISNUMBER(Educator!D637),Educator!D637&lt;&gt;9),"Grade "&amp;Educator!D637,Educator!D637=9,"Grade 9-12",ISTEXT(Educator!D637),Educator!D637)&amp;" "&amp;"Florida"&amp;" "&amp;"26-27"</f>
        <v>#N/A</v>
      </c>
      <c r="C632" s="49" t="e">
        <f t="shared" si="10"/>
        <v>#N/A</v>
      </c>
      <c r="E632" s="51" t="s">
        <v>102</v>
      </c>
      <c r="F632" s="49" t="b">
        <f>IF(Educator!B637&gt;0,"active")</f>
        <v>0</v>
      </c>
      <c r="J632" s="49" t="str">
        <f>"BP-"&amp;"TSWFL-"&amp;IF(ISNUMBER(Educator!D637),""&amp;Educator!D637,Educator!D637)&amp;"-"&amp;"2027"</f>
        <v>BP-TSWFL--2027</v>
      </c>
    </row>
    <row r="633" spans="1:10" x14ac:dyDescent="0.2">
      <c r="A6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","#",3))+1,1)&amp;"-"&amp;LEFT(Educator!B638, 3)&amp;"-"&amp;LEFT(Educator!A638, 3)&amp;"-"&amp;IF(ISNUMBER(Educator!D638),"G"&amp;Educator!D638,Educator!D638)&amp;"-"&amp;"2027"</f>
        <v>CID-FLH----2027</v>
      </c>
      <c r="B633" s="49" t="e" cm="1">
        <f t="array" ref="B633">Educator!B638&amp;" "&amp;_xlfn.IFS(AND(ISNUMBER(Educator!D638),Educator!D638&lt;&gt;9),"Grade "&amp;Educator!D638,Educator!D638=9,"Grade 9-12",ISTEXT(Educator!D638),Educator!D638)&amp;" "&amp;"Florida"&amp;" "&amp;"26-27"</f>
        <v>#N/A</v>
      </c>
      <c r="C633" s="49" t="e">
        <f t="shared" si="10"/>
        <v>#N/A</v>
      </c>
      <c r="E633" s="51" t="s">
        <v>102</v>
      </c>
      <c r="F633" s="49" t="b">
        <f>IF(Educator!B638&gt;0,"active")</f>
        <v>0</v>
      </c>
      <c r="J633" s="49" t="str">
        <f>"BP-"&amp;"TSWFL-"&amp;IF(ISNUMBER(Educator!D638),""&amp;Educator!D638,Educator!D638)&amp;"-"&amp;"2027"</f>
        <v>BP-TSWFL--2027</v>
      </c>
    </row>
    <row r="634" spans="1:10" x14ac:dyDescent="0.2">
      <c r="A6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","#",3))+1,1)&amp;"-"&amp;LEFT(Educator!B639, 3)&amp;"-"&amp;LEFT(Educator!A639, 3)&amp;"-"&amp;IF(ISNUMBER(Educator!D639),"G"&amp;Educator!D639,Educator!D639)&amp;"-"&amp;"2027"</f>
        <v>CID-FLH----2027</v>
      </c>
      <c r="B634" s="49" t="e" cm="1">
        <f t="array" ref="B634">Educator!B639&amp;" "&amp;_xlfn.IFS(AND(ISNUMBER(Educator!D639),Educator!D639&lt;&gt;9),"Grade "&amp;Educator!D639,Educator!D639=9,"Grade 9-12",ISTEXT(Educator!D639),Educator!D639)&amp;" "&amp;"Florida"&amp;" "&amp;"26-27"</f>
        <v>#N/A</v>
      </c>
      <c r="C634" s="49" t="e">
        <f t="shared" si="10"/>
        <v>#N/A</v>
      </c>
      <c r="E634" s="51" t="s">
        <v>102</v>
      </c>
      <c r="F634" s="49" t="b">
        <f>IF(Educator!B639&gt;0,"active")</f>
        <v>0</v>
      </c>
      <c r="J634" s="49" t="str">
        <f>"BP-"&amp;"TSWFL-"&amp;IF(ISNUMBER(Educator!D639),""&amp;Educator!D639,Educator!D639)&amp;"-"&amp;"2027"</f>
        <v>BP-TSWFL--2027</v>
      </c>
    </row>
    <row r="635" spans="1:10" x14ac:dyDescent="0.2">
      <c r="A6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","#",3))+1,1)&amp;"-"&amp;LEFT(Educator!B640, 3)&amp;"-"&amp;LEFT(Educator!A640, 3)&amp;"-"&amp;IF(ISNUMBER(Educator!D640),"G"&amp;Educator!D640,Educator!D640)&amp;"-"&amp;"2027"</f>
        <v>CID-FLH----2027</v>
      </c>
      <c r="B635" s="49" t="e" cm="1">
        <f t="array" ref="B635">Educator!B640&amp;" "&amp;_xlfn.IFS(AND(ISNUMBER(Educator!D640),Educator!D640&lt;&gt;9),"Grade "&amp;Educator!D640,Educator!D640=9,"Grade 9-12",ISTEXT(Educator!D640),Educator!D640)&amp;" "&amp;"Florida"&amp;" "&amp;"26-27"</f>
        <v>#N/A</v>
      </c>
      <c r="C635" s="49" t="e">
        <f t="shared" si="10"/>
        <v>#N/A</v>
      </c>
      <c r="E635" s="51" t="s">
        <v>102</v>
      </c>
      <c r="F635" s="49" t="b">
        <f>IF(Educator!B640&gt;0,"active")</f>
        <v>0</v>
      </c>
      <c r="J635" s="49" t="str">
        <f>"BP-"&amp;"TSWFL-"&amp;IF(ISNUMBER(Educator!D640),""&amp;Educator!D640,Educator!D640)&amp;"-"&amp;"2027"</f>
        <v>BP-TSWFL--2027</v>
      </c>
    </row>
    <row r="636" spans="1:10" x14ac:dyDescent="0.2">
      <c r="A6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","#",3))+1,1)&amp;"-"&amp;LEFT(Educator!B641, 3)&amp;"-"&amp;LEFT(Educator!A641, 3)&amp;"-"&amp;IF(ISNUMBER(Educator!D641),"G"&amp;Educator!D641,Educator!D641)&amp;"-"&amp;"2027"</f>
        <v>CID-FLH----2027</v>
      </c>
      <c r="B636" s="49" t="e" cm="1">
        <f t="array" ref="B636">Educator!B641&amp;" "&amp;_xlfn.IFS(AND(ISNUMBER(Educator!D641),Educator!D641&lt;&gt;9),"Grade "&amp;Educator!D641,Educator!D641=9,"Grade 9-12",ISTEXT(Educator!D641),Educator!D641)&amp;" "&amp;"Florida"&amp;" "&amp;"26-27"</f>
        <v>#N/A</v>
      </c>
      <c r="C636" s="49" t="e">
        <f t="shared" si="10"/>
        <v>#N/A</v>
      </c>
      <c r="E636" s="51" t="s">
        <v>102</v>
      </c>
      <c r="F636" s="49" t="b">
        <f>IF(Educator!B641&gt;0,"active")</f>
        <v>0</v>
      </c>
      <c r="J636" s="49" t="str">
        <f>"BP-"&amp;"TSWFL-"&amp;IF(ISNUMBER(Educator!D641),""&amp;Educator!D641,Educator!D641)&amp;"-"&amp;"2027"</f>
        <v>BP-TSWFL--2027</v>
      </c>
    </row>
    <row r="637" spans="1:10" x14ac:dyDescent="0.2">
      <c r="A6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","#",3))+1,1)&amp;"-"&amp;LEFT(Educator!B642, 3)&amp;"-"&amp;LEFT(Educator!A642, 3)&amp;"-"&amp;IF(ISNUMBER(Educator!D642),"G"&amp;Educator!D642,Educator!D642)&amp;"-"&amp;"2027"</f>
        <v>CID-FLH----2027</v>
      </c>
      <c r="B637" s="49" t="e" cm="1">
        <f t="array" ref="B637">Educator!B642&amp;" "&amp;_xlfn.IFS(AND(ISNUMBER(Educator!D642),Educator!D642&lt;&gt;9),"Grade "&amp;Educator!D642,Educator!D642=9,"Grade 9-12",ISTEXT(Educator!D642),Educator!D642)&amp;" "&amp;"Florida"&amp;" "&amp;"26-27"</f>
        <v>#N/A</v>
      </c>
      <c r="C637" s="49" t="e">
        <f t="shared" si="10"/>
        <v>#N/A</v>
      </c>
      <c r="E637" s="51" t="s">
        <v>102</v>
      </c>
      <c r="F637" s="49" t="b">
        <f>IF(Educator!B642&gt;0,"active")</f>
        <v>0</v>
      </c>
      <c r="J637" s="49" t="str">
        <f>"BP-"&amp;"TSWFL-"&amp;IF(ISNUMBER(Educator!D642),""&amp;Educator!D642,Educator!D642)&amp;"-"&amp;"2027"</f>
        <v>BP-TSWFL--2027</v>
      </c>
    </row>
    <row r="638" spans="1:10" x14ac:dyDescent="0.2">
      <c r="A6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","#",3))+1,1)&amp;"-"&amp;LEFT(Educator!B643, 3)&amp;"-"&amp;LEFT(Educator!A643, 3)&amp;"-"&amp;IF(ISNUMBER(Educator!D643),"G"&amp;Educator!D643,Educator!D643)&amp;"-"&amp;"2027"</f>
        <v>CID-FLH----2027</v>
      </c>
      <c r="B638" s="49" t="e" cm="1">
        <f t="array" ref="B638">Educator!B643&amp;" "&amp;_xlfn.IFS(AND(ISNUMBER(Educator!D643),Educator!D643&lt;&gt;9),"Grade "&amp;Educator!D643,Educator!D643=9,"Grade 9-12",ISTEXT(Educator!D643),Educator!D643)&amp;" "&amp;"Florida"&amp;" "&amp;"26-27"</f>
        <v>#N/A</v>
      </c>
      <c r="C638" s="49" t="e">
        <f t="shared" si="10"/>
        <v>#N/A</v>
      </c>
      <c r="E638" s="51" t="s">
        <v>102</v>
      </c>
      <c r="F638" s="49" t="b">
        <f>IF(Educator!B643&gt;0,"active")</f>
        <v>0</v>
      </c>
      <c r="J638" s="49" t="str">
        <f>"BP-"&amp;"TSWFL-"&amp;IF(ISNUMBER(Educator!D643),""&amp;Educator!D643,Educator!D643)&amp;"-"&amp;"2027"</f>
        <v>BP-TSWFL--2027</v>
      </c>
    </row>
    <row r="639" spans="1:10" x14ac:dyDescent="0.2">
      <c r="A6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","#",3))+1,1)&amp;"-"&amp;LEFT(Educator!B644, 3)&amp;"-"&amp;LEFT(Educator!A644, 3)&amp;"-"&amp;IF(ISNUMBER(Educator!D644),"G"&amp;Educator!D644,Educator!D644)&amp;"-"&amp;"2027"</f>
        <v>CID-FLH----2027</v>
      </c>
      <c r="B639" s="49" t="e" cm="1">
        <f t="array" ref="B639">Educator!B644&amp;" "&amp;_xlfn.IFS(AND(ISNUMBER(Educator!D644),Educator!D644&lt;&gt;9),"Grade "&amp;Educator!D644,Educator!D644=9,"Grade 9-12",ISTEXT(Educator!D644),Educator!D644)&amp;" "&amp;"Florida"&amp;" "&amp;"26-27"</f>
        <v>#N/A</v>
      </c>
      <c r="C639" s="49" t="e">
        <f t="shared" si="10"/>
        <v>#N/A</v>
      </c>
      <c r="E639" s="51" t="s">
        <v>102</v>
      </c>
      <c r="F639" s="49" t="b">
        <f>IF(Educator!B644&gt;0,"active")</f>
        <v>0</v>
      </c>
      <c r="J639" s="49" t="str">
        <f>"BP-"&amp;"TSWFL-"&amp;IF(ISNUMBER(Educator!D644),""&amp;Educator!D644,Educator!D644)&amp;"-"&amp;"2027"</f>
        <v>BP-TSWFL--2027</v>
      </c>
    </row>
    <row r="640" spans="1:10" x14ac:dyDescent="0.2">
      <c r="A6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","#",3))+1,1)&amp;"-"&amp;LEFT(Educator!B645, 3)&amp;"-"&amp;LEFT(Educator!A645, 3)&amp;"-"&amp;IF(ISNUMBER(Educator!D645),"G"&amp;Educator!D645,Educator!D645)&amp;"-"&amp;"2027"</f>
        <v>CID-FLH----2027</v>
      </c>
      <c r="B640" s="49" t="e" cm="1">
        <f t="array" ref="B640">Educator!B645&amp;" "&amp;_xlfn.IFS(AND(ISNUMBER(Educator!D645),Educator!D645&lt;&gt;9),"Grade "&amp;Educator!D645,Educator!D645=9,"Grade 9-12",ISTEXT(Educator!D645),Educator!D645)&amp;" "&amp;"Florida"&amp;" "&amp;"26-27"</f>
        <v>#N/A</v>
      </c>
      <c r="C640" s="49" t="e">
        <f t="shared" si="10"/>
        <v>#N/A</v>
      </c>
      <c r="E640" s="51" t="s">
        <v>102</v>
      </c>
      <c r="F640" s="49" t="b">
        <f>IF(Educator!B645&gt;0,"active")</f>
        <v>0</v>
      </c>
      <c r="J640" s="49" t="str">
        <f>"BP-"&amp;"TSWFL-"&amp;IF(ISNUMBER(Educator!D645),""&amp;Educator!D645,Educator!D645)&amp;"-"&amp;"2027"</f>
        <v>BP-TSWFL--2027</v>
      </c>
    </row>
    <row r="641" spans="1:10" x14ac:dyDescent="0.2">
      <c r="A6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","#",3))+1,1)&amp;"-"&amp;LEFT(Educator!B646, 3)&amp;"-"&amp;LEFT(Educator!A646, 3)&amp;"-"&amp;IF(ISNUMBER(Educator!D646),"G"&amp;Educator!D646,Educator!D646)&amp;"-"&amp;"2027"</f>
        <v>CID-FLH----2027</v>
      </c>
      <c r="B641" s="49" t="e" cm="1">
        <f t="array" ref="B641">Educator!B646&amp;" "&amp;_xlfn.IFS(AND(ISNUMBER(Educator!D646),Educator!D646&lt;&gt;9),"Grade "&amp;Educator!D646,Educator!D646=9,"Grade 9-12",ISTEXT(Educator!D646),Educator!D646)&amp;" "&amp;"Florida"&amp;" "&amp;"26-27"</f>
        <v>#N/A</v>
      </c>
      <c r="C641" s="49" t="e">
        <f t="shared" si="10"/>
        <v>#N/A</v>
      </c>
      <c r="E641" s="51" t="s">
        <v>102</v>
      </c>
      <c r="F641" s="49" t="b">
        <f>IF(Educator!B646&gt;0,"active")</f>
        <v>0</v>
      </c>
      <c r="J641" s="49" t="str">
        <f>"BP-"&amp;"TSWFL-"&amp;IF(ISNUMBER(Educator!D646),""&amp;Educator!D646,Educator!D646)&amp;"-"&amp;"2027"</f>
        <v>BP-TSWFL--2027</v>
      </c>
    </row>
    <row r="642" spans="1:10" x14ac:dyDescent="0.2">
      <c r="A6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","#",3))+1,1)&amp;"-"&amp;LEFT(Educator!B647, 3)&amp;"-"&amp;LEFT(Educator!A647, 3)&amp;"-"&amp;IF(ISNUMBER(Educator!D647),"G"&amp;Educator!D647,Educator!D647)&amp;"-"&amp;"2027"</f>
        <v>CID-FLH----2027</v>
      </c>
      <c r="B642" s="49" t="e" cm="1">
        <f t="array" ref="B642">Educator!B647&amp;" "&amp;_xlfn.IFS(AND(ISNUMBER(Educator!D647),Educator!D647&lt;&gt;9),"Grade "&amp;Educator!D647,Educator!D647=9,"Grade 9-12",ISTEXT(Educator!D647),Educator!D647)&amp;" "&amp;"Florida"&amp;" "&amp;"26-27"</f>
        <v>#N/A</v>
      </c>
      <c r="C642" s="49" t="e">
        <f t="shared" si="10"/>
        <v>#N/A</v>
      </c>
      <c r="E642" s="51" t="s">
        <v>102</v>
      </c>
      <c r="F642" s="49" t="b">
        <f>IF(Educator!B647&gt;0,"active")</f>
        <v>0</v>
      </c>
      <c r="J642" s="49" t="str">
        <f>"BP-"&amp;"TSWFL-"&amp;IF(ISNUMBER(Educator!D647),""&amp;Educator!D647,Educator!D647)&amp;"-"&amp;"2027"</f>
        <v>BP-TSWFL--2027</v>
      </c>
    </row>
    <row r="643" spans="1:10" x14ac:dyDescent="0.2">
      <c r="A6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","#",3))+1,1)&amp;"-"&amp;LEFT(Educator!B648, 3)&amp;"-"&amp;LEFT(Educator!A648, 3)&amp;"-"&amp;IF(ISNUMBER(Educator!D648),"G"&amp;Educator!D648,Educator!D648)&amp;"-"&amp;"2027"</f>
        <v>CID-FLH----2027</v>
      </c>
      <c r="B643" s="49" t="e" cm="1">
        <f t="array" ref="B643">Educator!B648&amp;" "&amp;_xlfn.IFS(AND(ISNUMBER(Educator!D648),Educator!D648&lt;&gt;9),"Grade "&amp;Educator!D648,Educator!D648=9,"Grade 9-12",ISTEXT(Educator!D648),Educator!D648)&amp;" "&amp;"Florida"&amp;" "&amp;"26-27"</f>
        <v>#N/A</v>
      </c>
      <c r="C643" s="49" t="e">
        <f t="shared" si="10"/>
        <v>#N/A</v>
      </c>
      <c r="E643" s="51" t="s">
        <v>102</v>
      </c>
      <c r="F643" s="49" t="b">
        <f>IF(Educator!B648&gt;0,"active")</f>
        <v>0</v>
      </c>
      <c r="J643" s="49" t="str">
        <f>"BP-"&amp;"TSWFL-"&amp;IF(ISNUMBER(Educator!D648),""&amp;Educator!D648,Educator!D648)&amp;"-"&amp;"2027"</f>
        <v>BP-TSWFL--2027</v>
      </c>
    </row>
    <row r="644" spans="1:10" x14ac:dyDescent="0.2">
      <c r="A6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","#",3))+1,1)&amp;"-"&amp;LEFT(Educator!B649, 3)&amp;"-"&amp;LEFT(Educator!A649, 3)&amp;"-"&amp;IF(ISNUMBER(Educator!D649),"G"&amp;Educator!D649,Educator!D649)&amp;"-"&amp;"2027"</f>
        <v>CID-FLH----2027</v>
      </c>
      <c r="B644" s="49" t="e" cm="1">
        <f t="array" ref="B644">Educator!B649&amp;" "&amp;_xlfn.IFS(AND(ISNUMBER(Educator!D649),Educator!D649&lt;&gt;9),"Grade "&amp;Educator!D649,Educator!D649=9,"Grade 9-12",ISTEXT(Educator!D649),Educator!D649)&amp;" "&amp;"Florida"&amp;" "&amp;"26-27"</f>
        <v>#N/A</v>
      </c>
      <c r="C644" s="49" t="e">
        <f t="shared" si="10"/>
        <v>#N/A</v>
      </c>
      <c r="E644" s="51" t="s">
        <v>102</v>
      </c>
      <c r="F644" s="49" t="b">
        <f>IF(Educator!B649&gt;0,"active")</f>
        <v>0</v>
      </c>
      <c r="J644" s="49" t="str">
        <f>"BP-"&amp;"TSWFL-"&amp;IF(ISNUMBER(Educator!D649),""&amp;Educator!D649,Educator!D649)&amp;"-"&amp;"2027"</f>
        <v>BP-TSWFL--2027</v>
      </c>
    </row>
    <row r="645" spans="1:10" x14ac:dyDescent="0.2">
      <c r="A6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","#",3))+1,1)&amp;"-"&amp;LEFT(Educator!B650, 3)&amp;"-"&amp;LEFT(Educator!A650, 3)&amp;"-"&amp;IF(ISNUMBER(Educator!D650),"G"&amp;Educator!D650,Educator!D650)&amp;"-"&amp;"2027"</f>
        <v>CID-FLH----2027</v>
      </c>
      <c r="B645" s="49" t="e" cm="1">
        <f t="array" ref="B645">Educator!B650&amp;" "&amp;_xlfn.IFS(AND(ISNUMBER(Educator!D650),Educator!D650&lt;&gt;9),"Grade "&amp;Educator!D650,Educator!D650=9,"Grade 9-12",ISTEXT(Educator!D650),Educator!D650)&amp;" "&amp;"Florida"&amp;" "&amp;"26-27"</f>
        <v>#N/A</v>
      </c>
      <c r="C645" s="49" t="e">
        <f t="shared" si="10"/>
        <v>#N/A</v>
      </c>
      <c r="E645" s="51" t="s">
        <v>102</v>
      </c>
      <c r="F645" s="49" t="b">
        <f>IF(Educator!B650&gt;0,"active")</f>
        <v>0</v>
      </c>
      <c r="J645" s="49" t="str">
        <f>"BP-"&amp;"TSWFL-"&amp;IF(ISNUMBER(Educator!D650),""&amp;Educator!D650,Educator!D650)&amp;"-"&amp;"2027"</f>
        <v>BP-TSWFL--2027</v>
      </c>
    </row>
    <row r="646" spans="1:10" x14ac:dyDescent="0.2">
      <c r="A6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","#",3))+1,1)&amp;"-"&amp;LEFT(Educator!B651, 3)&amp;"-"&amp;LEFT(Educator!A651, 3)&amp;"-"&amp;IF(ISNUMBER(Educator!D651),"G"&amp;Educator!D651,Educator!D651)&amp;"-"&amp;"2027"</f>
        <v>CID-FLH----2027</v>
      </c>
      <c r="B646" s="49" t="e" cm="1">
        <f t="array" ref="B646">Educator!B651&amp;" "&amp;_xlfn.IFS(AND(ISNUMBER(Educator!D651),Educator!D651&lt;&gt;9),"Grade "&amp;Educator!D651,Educator!D651=9,"Grade 9-12",ISTEXT(Educator!D651),Educator!D651)&amp;" "&amp;"Florida"&amp;" "&amp;"26-27"</f>
        <v>#N/A</v>
      </c>
      <c r="C646" s="49" t="e">
        <f t="shared" si="10"/>
        <v>#N/A</v>
      </c>
      <c r="E646" s="51" t="s">
        <v>102</v>
      </c>
      <c r="F646" s="49" t="b">
        <f>IF(Educator!B651&gt;0,"active")</f>
        <v>0</v>
      </c>
      <c r="J646" s="49" t="str">
        <f>"BP-"&amp;"TSWFL-"&amp;IF(ISNUMBER(Educator!D651),""&amp;Educator!D651,Educator!D651)&amp;"-"&amp;"2027"</f>
        <v>BP-TSWFL--2027</v>
      </c>
    </row>
    <row r="647" spans="1:10" x14ac:dyDescent="0.2">
      <c r="A6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","#",3))+1,1)&amp;"-"&amp;LEFT(Educator!B652, 3)&amp;"-"&amp;LEFT(Educator!A652, 3)&amp;"-"&amp;IF(ISNUMBER(Educator!D652),"G"&amp;Educator!D652,Educator!D652)&amp;"-"&amp;"2027"</f>
        <v>CID-FLH----2027</v>
      </c>
      <c r="B647" s="49" t="e" cm="1">
        <f t="array" ref="B647">Educator!B652&amp;" "&amp;_xlfn.IFS(AND(ISNUMBER(Educator!D652),Educator!D652&lt;&gt;9),"Grade "&amp;Educator!D652,Educator!D652=9,"Grade 9-12",ISTEXT(Educator!D652),Educator!D652)&amp;" "&amp;"Florida"&amp;" "&amp;"26-27"</f>
        <v>#N/A</v>
      </c>
      <c r="C647" s="49" t="e">
        <f t="shared" si="10"/>
        <v>#N/A</v>
      </c>
      <c r="E647" s="51" t="s">
        <v>102</v>
      </c>
      <c r="F647" s="49" t="b">
        <f>IF(Educator!B652&gt;0,"active")</f>
        <v>0</v>
      </c>
      <c r="J647" s="49" t="str">
        <f>"BP-"&amp;"TSWFL-"&amp;IF(ISNUMBER(Educator!D652),""&amp;Educator!D652,Educator!D652)&amp;"-"&amp;"2027"</f>
        <v>BP-TSWFL--2027</v>
      </c>
    </row>
    <row r="648" spans="1:10" x14ac:dyDescent="0.2">
      <c r="A6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","#",3))+1,1)&amp;"-"&amp;LEFT(Educator!B653, 3)&amp;"-"&amp;LEFT(Educator!A653, 3)&amp;"-"&amp;IF(ISNUMBER(Educator!D653),"G"&amp;Educator!D653,Educator!D653)&amp;"-"&amp;"2027"</f>
        <v>CID-FLH----2027</v>
      </c>
      <c r="B648" s="49" t="e" cm="1">
        <f t="array" ref="B648">Educator!B653&amp;" "&amp;_xlfn.IFS(AND(ISNUMBER(Educator!D653),Educator!D653&lt;&gt;9),"Grade "&amp;Educator!D653,Educator!D653=9,"Grade 9-12",ISTEXT(Educator!D653),Educator!D653)&amp;" "&amp;"Florida"&amp;" "&amp;"26-27"</f>
        <v>#N/A</v>
      </c>
      <c r="C648" s="49" t="e">
        <f t="shared" si="10"/>
        <v>#N/A</v>
      </c>
      <c r="E648" s="51" t="s">
        <v>102</v>
      </c>
      <c r="F648" s="49" t="b">
        <f>IF(Educator!B653&gt;0,"active")</f>
        <v>0</v>
      </c>
      <c r="J648" s="49" t="str">
        <f>"BP-"&amp;"TSWFL-"&amp;IF(ISNUMBER(Educator!D653),""&amp;Educator!D653,Educator!D653)&amp;"-"&amp;"2027"</f>
        <v>BP-TSWFL--2027</v>
      </c>
    </row>
    <row r="649" spans="1:10" x14ac:dyDescent="0.2">
      <c r="A6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","#",3))+1,1)&amp;"-"&amp;LEFT(Educator!B654, 3)&amp;"-"&amp;LEFT(Educator!A654, 3)&amp;"-"&amp;IF(ISNUMBER(Educator!D654),"G"&amp;Educator!D654,Educator!D654)&amp;"-"&amp;"2027"</f>
        <v>CID-FLH----2027</v>
      </c>
      <c r="B649" s="49" t="e" cm="1">
        <f t="array" ref="B649">Educator!B654&amp;" "&amp;_xlfn.IFS(AND(ISNUMBER(Educator!D654),Educator!D654&lt;&gt;9),"Grade "&amp;Educator!D654,Educator!D654=9,"Grade 9-12",ISTEXT(Educator!D654),Educator!D654)&amp;" "&amp;"Florida"&amp;" "&amp;"26-27"</f>
        <v>#N/A</v>
      </c>
      <c r="C649" s="49" t="e">
        <f t="shared" si="10"/>
        <v>#N/A</v>
      </c>
      <c r="E649" s="51" t="s">
        <v>102</v>
      </c>
      <c r="F649" s="49" t="b">
        <f>IF(Educator!B654&gt;0,"active")</f>
        <v>0</v>
      </c>
      <c r="J649" s="49" t="str">
        <f>"BP-"&amp;"TSWFL-"&amp;IF(ISNUMBER(Educator!D654),""&amp;Educator!D654,Educator!D654)&amp;"-"&amp;"2027"</f>
        <v>BP-TSWFL--2027</v>
      </c>
    </row>
  </sheetData>
  <autoFilter ref="A1:A623" xr:uid="{6AE3BB84-E52C-4225-AF72-2E5C5380578E}"/>
  <conditionalFormatting sqref="F1:F1048576">
    <cfRule type="cellIs" dxfId="1" priority="1" operator="equal">
      <formula>"active"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4682-29E1-4D0D-93DA-DD8062301F7D}">
  <dimension ref="A1:P649"/>
  <sheetViews>
    <sheetView workbookViewId="0">
      <selection activeCell="I583" sqref="I583"/>
    </sheetView>
  </sheetViews>
  <sheetFormatPr baseColWidth="10" defaultColWidth="9" defaultRowHeight="16" x14ac:dyDescent="0.2"/>
  <cols>
    <col min="1" max="1" width="31.6640625" style="49" customWidth="1"/>
    <col min="2" max="2" width="35.33203125" style="49" customWidth="1"/>
    <col min="3" max="3" width="31.6640625" style="49" customWidth="1"/>
    <col min="4" max="4" width="7.33203125" style="49" bestFit="1" customWidth="1"/>
    <col min="5" max="5" width="6.83203125" style="49" bestFit="1" customWidth="1"/>
    <col min="6" max="6" width="9.6640625" style="49" bestFit="1" customWidth="1"/>
    <col min="7" max="7" width="6" style="49" bestFit="1" customWidth="1"/>
    <col min="8" max="8" width="17.1640625" style="49" bestFit="1" customWidth="1"/>
    <col min="9" max="9" width="21.33203125" style="49" bestFit="1" customWidth="1"/>
    <col min="10" max="11" width="9" style="49"/>
    <col min="12" max="12" width="35.83203125" style="49" bestFit="1" customWidth="1"/>
    <col min="13" max="16384" width="9" style="49"/>
  </cols>
  <sheetData>
    <row r="1" spans="1:16" s="48" customFormat="1" x14ac:dyDescent="0.2">
      <c r="A1" s="48" t="s">
        <v>61</v>
      </c>
      <c r="B1" s="48" t="s">
        <v>69</v>
      </c>
      <c r="C1" s="48" t="s">
        <v>50</v>
      </c>
      <c r="D1" s="48" t="s">
        <v>70</v>
      </c>
      <c r="E1" s="48" t="s">
        <v>71</v>
      </c>
      <c r="F1" s="48" t="s">
        <v>72</v>
      </c>
      <c r="G1" s="48" t="s">
        <v>60</v>
      </c>
      <c r="H1" s="48" t="s">
        <v>73</v>
      </c>
      <c r="I1" s="48" t="s">
        <v>74</v>
      </c>
      <c r="L1" s="50"/>
      <c r="M1" s="50"/>
      <c r="N1" s="50"/>
      <c r="O1" s="50"/>
    </row>
    <row r="2" spans="1:16" x14ac:dyDescent="0.2">
      <c r="A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","#",3))+1,1)&amp;"-"&amp;LEFT(Educator!B7, 3)&amp;"-"&amp;LEFT(Educator!A7, 3)&amp;"-"&amp;IF(ISNUMBER(Educator!D7),"G"&amp;Educator!D7,Educator!D7)&amp;"-"&amp;"2027"</f>
        <v>CID-FLH---G1-2027</v>
      </c>
      <c r="B2" s="49" t="b">
        <f>IF(Educator!A7&gt;0,"topscorewriting.instructure.com")</f>
        <v>0</v>
      </c>
      <c r="C2" s="49" t="str">
        <f>Users!A2</f>
        <v>UID-FLH---2027</v>
      </c>
      <c r="D2" s="49" t="s">
        <v>103</v>
      </c>
      <c r="G2" s="49" t="b">
        <f>IF(Educator!B7&gt;0,"active")</f>
        <v>0</v>
      </c>
      <c r="L2" s="50" t="s">
        <v>96</v>
      </c>
      <c r="M2" s="50"/>
      <c r="N2" s="50"/>
      <c r="O2" s="50"/>
      <c r="P2" s="48"/>
    </row>
    <row r="3" spans="1:16" x14ac:dyDescent="0.2">
      <c r="A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","#",3))+1,1)&amp;"-"&amp;LEFT(Educator!B8, 3)&amp;"-"&amp;LEFT(Educator!A8, 3)&amp;"-"&amp;IF(ISNUMBER(Educator!D8),"G"&amp;Educator!D8,Educator!D8)&amp;"-"&amp;"2027"</f>
        <v>CID-FLH---G2-2027</v>
      </c>
      <c r="B3" s="49" t="b">
        <f>IF(Educator!A8&gt;0,"topscorewriting.instructure.com")</f>
        <v>0</v>
      </c>
      <c r="C3" s="49" t="str">
        <f>Users!A3</f>
        <v>UID-FLH---2027</v>
      </c>
      <c r="D3" s="49" t="s">
        <v>103</v>
      </c>
      <c r="G3" s="49" t="b">
        <f>IF(Educator!B8&gt;0,"active")</f>
        <v>0</v>
      </c>
      <c r="L3" s="50" t="s">
        <v>87</v>
      </c>
      <c r="M3" s="50"/>
      <c r="N3" s="50"/>
      <c r="O3" s="50"/>
      <c r="P3" s="48"/>
    </row>
    <row r="4" spans="1:16" x14ac:dyDescent="0.2">
      <c r="A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","#",3))+1,1)&amp;"-"&amp;LEFT(Educator!B9, 3)&amp;"-"&amp;LEFT(Educator!A9, 3)&amp;"-"&amp;IF(ISNUMBER(Educator!D9),"G"&amp;Educator!D9,Educator!D9)&amp;"-"&amp;"2027"</f>
        <v>CID-FLH---G3-2027</v>
      </c>
      <c r="B4" s="49" t="b">
        <f>IF(Educator!A9&gt;0,"topscorewriting.instructure.com")</f>
        <v>0</v>
      </c>
      <c r="C4" s="49" t="str">
        <f>Users!A4</f>
        <v>UID-FLH---2027</v>
      </c>
      <c r="D4" s="49" t="s">
        <v>103</v>
      </c>
      <c r="G4" s="49" t="b">
        <f>IF(Educator!B9&gt;0,"active")</f>
        <v>0</v>
      </c>
      <c r="L4" s="50"/>
      <c r="M4" s="50"/>
      <c r="N4" s="50"/>
      <c r="O4" s="50"/>
      <c r="P4" s="48"/>
    </row>
    <row r="5" spans="1:16" x14ac:dyDescent="0.2">
      <c r="A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","#",3))+1,1)&amp;"-"&amp;LEFT(Educator!B10, 3)&amp;"-"&amp;LEFT(Educator!A10, 3)&amp;"-"&amp;IF(ISNUMBER(Educator!D10),"G"&amp;Educator!D10,Educator!D10)&amp;"-"&amp;"2027"</f>
        <v>CID-FLH---G4-2027</v>
      </c>
      <c r="B5" s="49" t="b">
        <f>IF(Educator!A10&gt;0,"topscorewriting.instructure.com")</f>
        <v>0</v>
      </c>
      <c r="C5" s="49" t="str">
        <f>Users!A5</f>
        <v>UID-FLH---2027</v>
      </c>
      <c r="D5" s="49" t="s">
        <v>103</v>
      </c>
      <c r="G5" s="49" t="b">
        <f>IF(Educator!B10&gt;0,"active")</f>
        <v>0</v>
      </c>
      <c r="L5" s="50" t="s">
        <v>88</v>
      </c>
      <c r="M5" s="50"/>
      <c r="N5" s="50"/>
      <c r="O5" s="50"/>
      <c r="P5" s="48"/>
    </row>
    <row r="6" spans="1:16" x14ac:dyDescent="0.2">
      <c r="A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","#",3))+1,1)&amp;"-"&amp;LEFT(Educator!B11, 3)&amp;"-"&amp;LEFT(Educator!A11, 3)&amp;"-"&amp;IF(ISNUMBER(Educator!D11),"G"&amp;Educator!D11,Educator!D11)&amp;"-"&amp;"2027"</f>
        <v>CID-FLH---G5-2027</v>
      </c>
      <c r="B6" s="49" t="b">
        <f>IF(Educator!A11&gt;0,"topscorewriting.instructure.com")</f>
        <v>0</v>
      </c>
      <c r="C6" s="49" t="str">
        <f>Users!A6</f>
        <v>UID-FLH---2027</v>
      </c>
      <c r="D6" s="49" t="s">
        <v>103</v>
      </c>
      <c r="G6" s="49" t="b">
        <f>IF(Educator!B11&gt;0,"active")</f>
        <v>0</v>
      </c>
      <c r="L6" s="50" t="s">
        <v>89</v>
      </c>
      <c r="M6" s="50"/>
      <c r="N6" s="50"/>
      <c r="O6" s="50"/>
      <c r="P6" s="48"/>
    </row>
    <row r="7" spans="1:16" x14ac:dyDescent="0.2">
      <c r="A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","#",3))+1,1)&amp;"-"&amp;LEFT(Educator!B12, 3)&amp;"-"&amp;LEFT(Educator!A12, 3)&amp;"-"&amp;IF(ISNUMBER(Educator!D12),"G"&amp;Educator!D12,Educator!D12)&amp;"-"&amp;"2027"</f>
        <v>CID-FLH---G6-2027</v>
      </c>
      <c r="B7" s="49" t="b">
        <f>IF(Educator!A12&gt;0,"topscorewriting.instructure.com")</f>
        <v>0</v>
      </c>
      <c r="C7" s="49" t="str">
        <f>Users!A7</f>
        <v>UID-FLH---2027</v>
      </c>
      <c r="D7" s="49" t="s">
        <v>103</v>
      </c>
      <c r="G7" s="49" t="b">
        <f>IF(Educator!B12&gt;0,"active")</f>
        <v>0</v>
      </c>
      <c r="L7" s="50"/>
      <c r="M7" s="50"/>
      <c r="N7" s="50"/>
      <c r="O7" s="50"/>
      <c r="P7" s="48"/>
    </row>
    <row r="8" spans="1:16" x14ac:dyDescent="0.2">
      <c r="A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","#",3))+1,1)&amp;"-"&amp;LEFT(Educator!B13, 3)&amp;"-"&amp;LEFT(Educator!A13, 3)&amp;"-"&amp;IF(ISNUMBER(Educator!D13),"G"&amp;Educator!D13,Educator!D13)&amp;"-"&amp;"2027"</f>
        <v>CID-FLH---G7-2027</v>
      </c>
      <c r="B8" s="49" t="b">
        <f>IF(Educator!A13&gt;0,"topscorewriting.instructure.com")</f>
        <v>0</v>
      </c>
      <c r="C8" s="49" t="str">
        <f>Users!A8</f>
        <v>UID-FLH---2027</v>
      </c>
      <c r="D8" s="49" t="s">
        <v>103</v>
      </c>
      <c r="G8" s="49" t="b">
        <f>IF(Educator!B13&gt;0,"active")</f>
        <v>0</v>
      </c>
      <c r="L8" s="50" t="s">
        <v>90</v>
      </c>
      <c r="M8" s="50"/>
      <c r="N8" s="50"/>
      <c r="O8" s="50"/>
      <c r="P8" s="48"/>
    </row>
    <row r="9" spans="1:16" x14ac:dyDescent="0.2">
      <c r="A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","#",3))+1,1)&amp;"-"&amp;LEFT(Educator!B14, 3)&amp;"-"&amp;LEFT(Educator!A14, 3)&amp;"-"&amp;IF(ISNUMBER(Educator!D14),"G"&amp;Educator!D14,Educator!D14)&amp;"-"&amp;"2027"</f>
        <v>CID-FLH---G8-2027</v>
      </c>
      <c r="B9" s="49" t="b">
        <f>IF(Educator!A14&gt;0,"topscorewriting.instructure.com")</f>
        <v>0</v>
      </c>
      <c r="C9" s="49" t="str">
        <f>Users!A9</f>
        <v>UID-FLH---2027</v>
      </c>
      <c r="D9" s="49" t="s">
        <v>103</v>
      </c>
      <c r="G9" s="49" t="b">
        <f>IF(Educator!B14&gt;0,"active")</f>
        <v>0</v>
      </c>
      <c r="L9" s="50" t="s">
        <v>91</v>
      </c>
      <c r="M9" s="50"/>
      <c r="N9" s="50"/>
      <c r="O9" s="50"/>
      <c r="P9" s="48"/>
    </row>
    <row r="10" spans="1:16" x14ac:dyDescent="0.2">
      <c r="A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","#",3))+1,1)&amp;"-"&amp;LEFT(Educator!B15, 3)&amp;"-"&amp;LEFT(Educator!A15, 3)&amp;"-"&amp;IF(ISNUMBER(Educator!D15),"G"&amp;Educator!D15,Educator!D15)&amp;"-"&amp;"2027"</f>
        <v>CID-FLH----2027</v>
      </c>
      <c r="B10" s="49" t="b">
        <f>IF(Educator!A15&gt;0,"topscorewriting.instructure.com")</f>
        <v>0</v>
      </c>
      <c r="C10" s="49" t="str">
        <f>Users!A10</f>
        <v>UID-FLH---2027</v>
      </c>
      <c r="D10" s="49" t="s">
        <v>103</v>
      </c>
      <c r="G10" s="49" t="b">
        <f>IF(Educator!B15&gt;0,"active")</f>
        <v>0</v>
      </c>
      <c r="L10" s="50"/>
      <c r="M10" s="50"/>
      <c r="N10" s="50"/>
      <c r="O10" s="50"/>
      <c r="P10" s="48"/>
    </row>
    <row r="11" spans="1:16" x14ac:dyDescent="0.2">
      <c r="A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","#",3))+1,1)&amp;"-"&amp;LEFT(Educator!B16, 3)&amp;"-"&amp;LEFT(Educator!A16, 3)&amp;"-"&amp;IF(ISNUMBER(Educator!D16),"G"&amp;Educator!D16,Educator!D16)&amp;"-"&amp;"2027"</f>
        <v>CID-FLH----2027</v>
      </c>
      <c r="B11" s="49" t="b">
        <f>IF(Educator!A16&gt;0,"topscorewriting.instructure.com")</f>
        <v>0</v>
      </c>
      <c r="C11" s="49" t="str">
        <f>Users!A11</f>
        <v>UID-FLH---2027</v>
      </c>
      <c r="D11" s="49" t="s">
        <v>103</v>
      </c>
      <c r="G11" s="49" t="b">
        <f>IF(Educator!B16&gt;0,"active")</f>
        <v>0</v>
      </c>
      <c r="L11" s="50" t="s">
        <v>92</v>
      </c>
      <c r="M11" s="50"/>
      <c r="N11" s="50"/>
      <c r="O11" s="50"/>
      <c r="P11" s="48"/>
    </row>
    <row r="12" spans="1:16" x14ac:dyDescent="0.2">
      <c r="A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","#",3))+1,1)&amp;"-"&amp;LEFT(Educator!B17, 3)&amp;"-"&amp;LEFT(Educator!A17, 3)&amp;"-"&amp;IF(ISNUMBER(Educator!D17),"G"&amp;Educator!D17,Educator!D17)&amp;"-"&amp;"2027"</f>
        <v>CID-FLH----2027</v>
      </c>
      <c r="B12" s="49" t="b">
        <f>IF(Educator!A17&gt;0,"topscorewriting.instructure.com")</f>
        <v>0</v>
      </c>
      <c r="C12" s="49" t="str">
        <f>Users!A12</f>
        <v>UID-FLH---2027</v>
      </c>
      <c r="D12" s="49" t="s">
        <v>103</v>
      </c>
      <c r="G12" s="49" t="b">
        <f>IF(Educator!B17&gt;0,"active")</f>
        <v>0</v>
      </c>
      <c r="L12" s="50"/>
      <c r="M12" s="50"/>
      <c r="N12" s="50"/>
      <c r="O12" s="50"/>
      <c r="P12" s="48"/>
    </row>
    <row r="13" spans="1:16" x14ac:dyDescent="0.2">
      <c r="A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","#",3))+1,1)&amp;"-"&amp;LEFT(Educator!B18, 3)&amp;"-"&amp;LEFT(Educator!A18, 3)&amp;"-"&amp;IF(ISNUMBER(Educator!D18),"G"&amp;Educator!D18,Educator!D18)&amp;"-"&amp;"2027"</f>
        <v>CID-FLH----2027</v>
      </c>
      <c r="B13" s="49" t="b">
        <f>IF(Educator!A18&gt;0,"topscorewriting.instructure.com")</f>
        <v>0</v>
      </c>
      <c r="C13" s="49" t="str">
        <f>Users!A13</f>
        <v>UID-FLH---2027</v>
      </c>
      <c r="D13" s="49" t="s">
        <v>103</v>
      </c>
      <c r="G13" s="49" t="b">
        <f>IF(Educator!B18&gt;0,"active")</f>
        <v>0</v>
      </c>
      <c r="L13" s="50" t="s">
        <v>93</v>
      </c>
      <c r="M13" s="50"/>
      <c r="N13" s="50"/>
      <c r="O13" s="50"/>
      <c r="P13" s="48"/>
    </row>
    <row r="14" spans="1:16" x14ac:dyDescent="0.2">
      <c r="A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","#",3))+1,1)&amp;"-"&amp;LEFT(Educator!B19, 3)&amp;"-"&amp;LEFT(Educator!A19, 3)&amp;"-"&amp;IF(ISNUMBER(Educator!D19),"G"&amp;Educator!D19,Educator!D19)&amp;"-"&amp;"2027"</f>
        <v>CID-FLH----2027</v>
      </c>
      <c r="B14" s="49" t="b">
        <f>IF(Educator!A19&gt;0,"topscorewriting.instructure.com")</f>
        <v>0</v>
      </c>
      <c r="C14" s="49" t="str">
        <f>Users!A14</f>
        <v>UID-FLH---2027</v>
      </c>
      <c r="D14" s="49" t="s">
        <v>103</v>
      </c>
      <c r="G14" s="49" t="b">
        <f>IF(Educator!B19&gt;0,"active")</f>
        <v>0</v>
      </c>
      <c r="L14" s="50" t="s">
        <v>94</v>
      </c>
      <c r="M14" s="50"/>
      <c r="N14" s="50"/>
      <c r="O14" s="50"/>
      <c r="P14" s="48"/>
    </row>
    <row r="15" spans="1:16" x14ac:dyDescent="0.2">
      <c r="A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","#",3))+1,1)&amp;"-"&amp;LEFT(Educator!B20, 3)&amp;"-"&amp;LEFT(Educator!A20, 3)&amp;"-"&amp;IF(ISNUMBER(Educator!D20),"G"&amp;Educator!D20,Educator!D20)&amp;"-"&amp;"2027"</f>
        <v>CID-FLH----2027</v>
      </c>
      <c r="B15" s="49" t="b">
        <f>IF(Educator!A20&gt;0,"topscorewriting.instructure.com")</f>
        <v>0</v>
      </c>
      <c r="C15" s="49" t="str">
        <f>Users!A15</f>
        <v>UID-FLH---2027</v>
      </c>
      <c r="D15" s="49" t="s">
        <v>103</v>
      </c>
      <c r="G15" s="49" t="b">
        <f>IF(Educator!B20&gt;0,"active")</f>
        <v>0</v>
      </c>
    </row>
    <row r="16" spans="1:16" x14ac:dyDescent="0.2">
      <c r="A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","#",3))+1,1)&amp;"-"&amp;LEFT(Educator!B21, 3)&amp;"-"&amp;LEFT(Educator!A21, 3)&amp;"-"&amp;IF(ISNUMBER(Educator!D21),"G"&amp;Educator!D21,Educator!D21)&amp;"-"&amp;"2027"</f>
        <v>CID-FLH----2027</v>
      </c>
      <c r="B16" s="49" t="b">
        <f>IF(Educator!A21&gt;0,"topscorewriting.instructure.com")</f>
        <v>0</v>
      </c>
      <c r="C16" s="49" t="str">
        <f>Users!A16</f>
        <v>UID-FLH---2027</v>
      </c>
      <c r="D16" s="49" t="s">
        <v>103</v>
      </c>
      <c r="G16" s="49" t="b">
        <f>IF(Educator!B21&gt;0,"active")</f>
        <v>0</v>
      </c>
    </row>
    <row r="17" spans="1:7" x14ac:dyDescent="0.2">
      <c r="A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","#",3))+1,1)&amp;"-"&amp;LEFT(Educator!B22, 3)&amp;"-"&amp;LEFT(Educator!A22, 3)&amp;"-"&amp;IF(ISNUMBER(Educator!D22),"G"&amp;Educator!D22,Educator!D22)&amp;"-"&amp;"2027"</f>
        <v>CID-FLH----2027</v>
      </c>
      <c r="B17" s="49" t="b">
        <f>IF(Educator!A22&gt;0,"topscorewriting.instructure.com")</f>
        <v>0</v>
      </c>
      <c r="C17" s="49" t="str">
        <f>Users!A17</f>
        <v>UID-FLH---2027</v>
      </c>
      <c r="D17" s="49" t="s">
        <v>103</v>
      </c>
      <c r="G17" s="49" t="b">
        <f>IF(Educator!B22&gt;0,"active")</f>
        <v>0</v>
      </c>
    </row>
    <row r="18" spans="1:7" x14ac:dyDescent="0.2">
      <c r="A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","#",3))+1,1)&amp;"-"&amp;LEFT(Educator!B23, 3)&amp;"-"&amp;LEFT(Educator!A23, 3)&amp;"-"&amp;IF(ISNUMBER(Educator!D23),"G"&amp;Educator!D23,Educator!D23)&amp;"-"&amp;"2027"</f>
        <v>CID-FLH----2027</v>
      </c>
      <c r="B18" s="49" t="b">
        <f>IF(Educator!A23&gt;0,"topscorewriting.instructure.com")</f>
        <v>0</v>
      </c>
      <c r="C18" s="49" t="str">
        <f>Users!A18</f>
        <v>UID-FLH---2027</v>
      </c>
      <c r="D18" s="49" t="s">
        <v>103</v>
      </c>
      <c r="G18" s="49" t="b">
        <f>IF(Educator!B23&gt;0,"active")</f>
        <v>0</v>
      </c>
    </row>
    <row r="19" spans="1:7" x14ac:dyDescent="0.2">
      <c r="A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","#",3))+1,1)&amp;"-"&amp;LEFT(Educator!B24, 3)&amp;"-"&amp;LEFT(Educator!A24, 3)&amp;"-"&amp;IF(ISNUMBER(Educator!D24),"G"&amp;Educator!D24,Educator!D24)&amp;"-"&amp;"2027"</f>
        <v>CID-FLH----2027</v>
      </c>
      <c r="B19" s="49" t="b">
        <f>IF(Educator!A24&gt;0,"topscorewriting.instructure.com")</f>
        <v>0</v>
      </c>
      <c r="C19" s="49" t="str">
        <f>Users!A19</f>
        <v>UID-FLH---2027</v>
      </c>
      <c r="D19" s="49" t="s">
        <v>103</v>
      </c>
      <c r="G19" s="49" t="b">
        <f>IF(Educator!B24&gt;0,"active")</f>
        <v>0</v>
      </c>
    </row>
    <row r="20" spans="1:7" x14ac:dyDescent="0.2">
      <c r="A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","#",3))+1,1)&amp;"-"&amp;LEFT(Educator!B25, 3)&amp;"-"&amp;LEFT(Educator!A25, 3)&amp;"-"&amp;IF(ISNUMBER(Educator!D25),"G"&amp;Educator!D25,Educator!D25)&amp;"-"&amp;"2027"</f>
        <v>CID-FLH----2027</v>
      </c>
      <c r="B20" s="49" t="b">
        <f>IF(Educator!A25&gt;0,"topscorewriting.instructure.com")</f>
        <v>0</v>
      </c>
      <c r="C20" s="49" t="str">
        <f>Users!A20</f>
        <v>UID-FLH---2027</v>
      </c>
      <c r="D20" s="49" t="s">
        <v>103</v>
      </c>
      <c r="G20" s="49" t="b">
        <f>IF(Educator!B25&gt;0,"active")</f>
        <v>0</v>
      </c>
    </row>
    <row r="21" spans="1:7" x14ac:dyDescent="0.2">
      <c r="A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","#",3))+1,1)&amp;"-"&amp;LEFT(Educator!B26, 3)&amp;"-"&amp;LEFT(Educator!A26, 3)&amp;"-"&amp;IF(ISNUMBER(Educator!D26),"G"&amp;Educator!D26,Educator!D26)&amp;"-"&amp;"2027"</f>
        <v>CID-FLH----2027</v>
      </c>
      <c r="B21" s="49" t="b">
        <f>IF(Educator!A26&gt;0,"topscorewriting.instructure.com")</f>
        <v>0</v>
      </c>
      <c r="C21" s="49" t="str">
        <f>Users!A21</f>
        <v>UID-FLH---2027</v>
      </c>
      <c r="D21" s="49" t="s">
        <v>103</v>
      </c>
      <c r="G21" s="49" t="b">
        <f>IF(Educator!B26&gt;0,"active")</f>
        <v>0</v>
      </c>
    </row>
    <row r="22" spans="1:7" x14ac:dyDescent="0.2">
      <c r="A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","#",3))+1,1)&amp;"-"&amp;LEFT(Educator!B27, 3)&amp;"-"&amp;LEFT(Educator!A27, 3)&amp;"-"&amp;IF(ISNUMBER(Educator!D27),"G"&amp;Educator!D27,Educator!D27)&amp;"-"&amp;"2027"</f>
        <v>CID-FLH----2027</v>
      </c>
      <c r="B22" s="49" t="b">
        <f>IF(Educator!A27&gt;0,"topscorewriting.instructure.com")</f>
        <v>0</v>
      </c>
      <c r="C22" s="49" t="str">
        <f>Users!A22</f>
        <v>UID-FLH---2027</v>
      </c>
      <c r="D22" s="49" t="s">
        <v>103</v>
      </c>
      <c r="G22" s="49" t="b">
        <f>IF(Educator!B27&gt;0,"active")</f>
        <v>0</v>
      </c>
    </row>
    <row r="23" spans="1:7" x14ac:dyDescent="0.2">
      <c r="A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","#",3))+1,1)&amp;"-"&amp;LEFT(Educator!B28, 3)&amp;"-"&amp;LEFT(Educator!A28, 3)&amp;"-"&amp;IF(ISNUMBER(Educator!D28),"G"&amp;Educator!D28,Educator!D28)&amp;"-"&amp;"2027"</f>
        <v>CID-FLH----2027</v>
      </c>
      <c r="B23" s="49" t="b">
        <f>IF(Educator!A28&gt;0,"topscorewriting.instructure.com")</f>
        <v>0</v>
      </c>
      <c r="C23" s="49" t="str">
        <f>Users!A23</f>
        <v>UID-FLH---2027</v>
      </c>
      <c r="D23" s="49" t="s">
        <v>103</v>
      </c>
      <c r="G23" s="49" t="b">
        <f>IF(Educator!B28&gt;0,"active")</f>
        <v>0</v>
      </c>
    </row>
    <row r="24" spans="1:7" x14ac:dyDescent="0.2">
      <c r="A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","#",3))+1,1)&amp;"-"&amp;LEFT(Educator!B29, 3)&amp;"-"&amp;LEFT(Educator!A29, 3)&amp;"-"&amp;IF(ISNUMBER(Educator!D29),"G"&amp;Educator!D29,Educator!D29)&amp;"-"&amp;"2027"</f>
        <v>CID-FLH----2027</v>
      </c>
      <c r="B24" s="49" t="b">
        <f>IF(Educator!A29&gt;0,"topscorewriting.instructure.com")</f>
        <v>0</v>
      </c>
      <c r="C24" s="49" t="str">
        <f>Users!A24</f>
        <v>UID-FLH---2027</v>
      </c>
      <c r="D24" s="49" t="s">
        <v>103</v>
      </c>
      <c r="G24" s="49" t="b">
        <f>IF(Educator!B29&gt;0,"active")</f>
        <v>0</v>
      </c>
    </row>
    <row r="25" spans="1:7" x14ac:dyDescent="0.2">
      <c r="A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","#",3))+1,1)&amp;"-"&amp;LEFT(Educator!B30, 3)&amp;"-"&amp;LEFT(Educator!A30, 3)&amp;"-"&amp;IF(ISNUMBER(Educator!D30),"G"&amp;Educator!D30,Educator!D30)&amp;"-"&amp;"2027"</f>
        <v>CID-FLH----2027</v>
      </c>
      <c r="B25" s="49" t="b">
        <f>IF(Educator!A30&gt;0,"topscorewriting.instructure.com")</f>
        <v>0</v>
      </c>
      <c r="C25" s="49" t="str">
        <f>Users!A25</f>
        <v>UID-FLH---2027</v>
      </c>
      <c r="D25" s="49" t="s">
        <v>103</v>
      </c>
      <c r="G25" s="49" t="b">
        <f>IF(Educator!B30&gt;0,"active")</f>
        <v>0</v>
      </c>
    </row>
    <row r="26" spans="1:7" x14ac:dyDescent="0.2">
      <c r="A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","#",3))+1,1)&amp;"-"&amp;LEFT(Educator!B31, 3)&amp;"-"&amp;LEFT(Educator!A31, 3)&amp;"-"&amp;IF(ISNUMBER(Educator!D31),"G"&amp;Educator!D31,Educator!D31)&amp;"-"&amp;"2027"</f>
        <v>CID-FLH----2027</v>
      </c>
      <c r="B26" s="49" t="b">
        <f>IF(Educator!A31&gt;0,"topscorewriting.instructure.com")</f>
        <v>0</v>
      </c>
      <c r="C26" s="49" t="str">
        <f>Users!A26</f>
        <v>UID-FLH---2027</v>
      </c>
      <c r="D26" s="49" t="s">
        <v>103</v>
      </c>
      <c r="G26" s="49" t="b">
        <f>IF(Educator!B31&gt;0,"active")</f>
        <v>0</v>
      </c>
    </row>
    <row r="27" spans="1:7" x14ac:dyDescent="0.2">
      <c r="A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","#",3))+1,1)&amp;"-"&amp;LEFT(Educator!B32, 3)&amp;"-"&amp;LEFT(Educator!A32, 3)&amp;"-"&amp;IF(ISNUMBER(Educator!D32),"G"&amp;Educator!D32,Educator!D32)&amp;"-"&amp;"2027"</f>
        <v>CID-FLH----2027</v>
      </c>
      <c r="B27" s="49" t="b">
        <f>IF(Educator!A32&gt;0,"topscorewriting.instructure.com")</f>
        <v>0</v>
      </c>
      <c r="C27" s="49" t="str">
        <f>Users!A27</f>
        <v>UID-FLH---2027</v>
      </c>
      <c r="D27" s="49" t="s">
        <v>103</v>
      </c>
      <c r="G27" s="49" t="b">
        <f>IF(Educator!B32&gt;0,"active")</f>
        <v>0</v>
      </c>
    </row>
    <row r="28" spans="1:7" x14ac:dyDescent="0.2">
      <c r="A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","#",3))+1,1)&amp;"-"&amp;LEFT(Educator!B33, 3)&amp;"-"&amp;LEFT(Educator!A33, 3)&amp;"-"&amp;IF(ISNUMBER(Educator!D33),"G"&amp;Educator!D33,Educator!D33)&amp;"-"&amp;"2027"</f>
        <v>CID-FLH----2027</v>
      </c>
      <c r="B28" s="49" t="b">
        <f>IF(Educator!A33&gt;0,"topscorewriting.instructure.com")</f>
        <v>0</v>
      </c>
      <c r="C28" s="49" t="str">
        <f>Users!A28</f>
        <v>UID-FLH---2027</v>
      </c>
      <c r="D28" s="49" t="s">
        <v>103</v>
      </c>
      <c r="G28" s="49" t="b">
        <f>IF(Educator!B33&gt;0,"active")</f>
        <v>0</v>
      </c>
    </row>
    <row r="29" spans="1:7" x14ac:dyDescent="0.2">
      <c r="A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","#",3))+1,1)&amp;"-"&amp;LEFT(Educator!B34, 3)&amp;"-"&amp;LEFT(Educator!A34, 3)&amp;"-"&amp;IF(ISNUMBER(Educator!D34),"G"&amp;Educator!D34,Educator!D34)&amp;"-"&amp;"2027"</f>
        <v>CID-FLH----2027</v>
      </c>
      <c r="B29" s="49" t="b">
        <f>IF(Educator!A34&gt;0,"topscorewriting.instructure.com")</f>
        <v>0</v>
      </c>
      <c r="C29" s="49" t="str">
        <f>Users!A29</f>
        <v>UID-FLH---2027</v>
      </c>
      <c r="D29" s="49" t="s">
        <v>103</v>
      </c>
      <c r="G29" s="49" t="b">
        <f>IF(Educator!B34&gt;0,"active")</f>
        <v>0</v>
      </c>
    </row>
    <row r="30" spans="1:7" x14ac:dyDescent="0.2">
      <c r="A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","#",3))+1,1)&amp;"-"&amp;LEFT(Educator!B35, 3)&amp;"-"&amp;LEFT(Educator!A35, 3)&amp;"-"&amp;IF(ISNUMBER(Educator!D35),"G"&amp;Educator!D35,Educator!D35)&amp;"-"&amp;"2027"</f>
        <v>CID-FLH----2027</v>
      </c>
      <c r="B30" s="49" t="b">
        <f>IF(Educator!A35&gt;0,"topscorewriting.instructure.com")</f>
        <v>0</v>
      </c>
      <c r="C30" s="49" t="str">
        <f>Users!A30</f>
        <v>UID-FLH---2027</v>
      </c>
      <c r="D30" s="49" t="s">
        <v>103</v>
      </c>
      <c r="G30" s="49" t="b">
        <f>IF(Educator!B35&gt;0,"active")</f>
        <v>0</v>
      </c>
    </row>
    <row r="31" spans="1:7" x14ac:dyDescent="0.2">
      <c r="A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","#",3))+1,1)&amp;"-"&amp;LEFT(Educator!B36, 3)&amp;"-"&amp;LEFT(Educator!A36, 3)&amp;"-"&amp;IF(ISNUMBER(Educator!D36),"G"&amp;Educator!D36,Educator!D36)&amp;"-"&amp;"2027"</f>
        <v>CID-FLH----2027</v>
      </c>
      <c r="B31" s="49" t="b">
        <f>IF(Educator!A36&gt;0,"topscorewriting.instructure.com")</f>
        <v>0</v>
      </c>
      <c r="C31" s="49" t="str">
        <f>Users!A31</f>
        <v>UID-FLH---2027</v>
      </c>
      <c r="D31" s="49" t="s">
        <v>103</v>
      </c>
      <c r="G31" s="49" t="b">
        <f>IF(Educator!B36&gt;0,"active")</f>
        <v>0</v>
      </c>
    </row>
    <row r="32" spans="1:7" x14ac:dyDescent="0.2">
      <c r="A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","#",3))+1,1)&amp;"-"&amp;LEFT(Educator!B37, 3)&amp;"-"&amp;LEFT(Educator!A37, 3)&amp;"-"&amp;IF(ISNUMBER(Educator!D37),"G"&amp;Educator!D37,Educator!D37)&amp;"-"&amp;"2027"</f>
        <v>CID-FLH----2027</v>
      </c>
      <c r="B32" s="49" t="b">
        <f>IF(Educator!A37&gt;0,"topscorewriting.instructure.com")</f>
        <v>0</v>
      </c>
      <c r="C32" s="49" t="str">
        <f>Users!A32</f>
        <v>UID-FLH---2027</v>
      </c>
      <c r="D32" s="49" t="s">
        <v>103</v>
      </c>
      <c r="G32" s="49" t="b">
        <f>IF(Educator!B37&gt;0,"active")</f>
        <v>0</v>
      </c>
    </row>
    <row r="33" spans="1:7" x14ac:dyDescent="0.2">
      <c r="A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","#",3))+1,1)&amp;"-"&amp;LEFT(Educator!B38, 3)&amp;"-"&amp;LEFT(Educator!A38, 3)&amp;"-"&amp;IF(ISNUMBER(Educator!D38),"G"&amp;Educator!D38,Educator!D38)&amp;"-"&amp;"2027"</f>
        <v>CID-FLH----2027</v>
      </c>
      <c r="B33" s="49" t="b">
        <f>IF(Educator!A38&gt;0,"topscorewriting.instructure.com")</f>
        <v>0</v>
      </c>
      <c r="C33" s="49" t="str">
        <f>Users!A33</f>
        <v>UID-FLH---2027</v>
      </c>
      <c r="D33" s="49" t="s">
        <v>103</v>
      </c>
      <c r="G33" s="49" t="b">
        <f>IF(Educator!B38&gt;0,"active")</f>
        <v>0</v>
      </c>
    </row>
    <row r="34" spans="1:7" x14ac:dyDescent="0.2">
      <c r="A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","#",3))+1,1)&amp;"-"&amp;LEFT(Educator!B39, 3)&amp;"-"&amp;LEFT(Educator!A39, 3)&amp;"-"&amp;IF(ISNUMBER(Educator!D39),"G"&amp;Educator!D39,Educator!D39)&amp;"-"&amp;"2027"</f>
        <v>CID-FLH----2027</v>
      </c>
      <c r="B34" s="49" t="b">
        <f>IF(Educator!A39&gt;0,"topscorewriting.instructure.com")</f>
        <v>0</v>
      </c>
      <c r="C34" s="49" t="str">
        <f>Users!A34</f>
        <v>UID-FLH---2027</v>
      </c>
      <c r="D34" s="49" t="s">
        <v>103</v>
      </c>
      <c r="G34" s="49" t="b">
        <f>IF(Educator!B39&gt;0,"active")</f>
        <v>0</v>
      </c>
    </row>
    <row r="35" spans="1:7" x14ac:dyDescent="0.2">
      <c r="A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","#",3))+1,1)&amp;"-"&amp;LEFT(Educator!B40, 3)&amp;"-"&amp;LEFT(Educator!A40, 3)&amp;"-"&amp;IF(ISNUMBER(Educator!D40),"G"&amp;Educator!D40,Educator!D40)&amp;"-"&amp;"2027"</f>
        <v>CID-FLH----2027</v>
      </c>
      <c r="B35" s="49" t="b">
        <f>IF(Educator!A40&gt;0,"topscorewriting.instructure.com")</f>
        <v>0</v>
      </c>
      <c r="C35" s="49" t="str">
        <f>Users!A35</f>
        <v>UID-FLH---2027</v>
      </c>
      <c r="D35" s="49" t="s">
        <v>103</v>
      </c>
      <c r="G35" s="49" t="b">
        <f>IF(Educator!B40&gt;0,"active")</f>
        <v>0</v>
      </c>
    </row>
    <row r="36" spans="1:7" x14ac:dyDescent="0.2">
      <c r="A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","#",3))+1,1)&amp;"-"&amp;LEFT(Educator!B41, 3)&amp;"-"&amp;LEFT(Educator!A41, 3)&amp;"-"&amp;IF(ISNUMBER(Educator!D41),"G"&amp;Educator!D41,Educator!D41)&amp;"-"&amp;"2027"</f>
        <v>CID-FLH----2027</v>
      </c>
      <c r="B36" s="49" t="b">
        <f>IF(Educator!A41&gt;0,"topscorewriting.instructure.com")</f>
        <v>0</v>
      </c>
      <c r="C36" s="49" t="str">
        <f>Users!A36</f>
        <v>UID-FLH---2027</v>
      </c>
      <c r="D36" s="49" t="s">
        <v>103</v>
      </c>
      <c r="G36" s="49" t="b">
        <f>IF(Educator!B41&gt;0,"active")</f>
        <v>0</v>
      </c>
    </row>
    <row r="37" spans="1:7" x14ac:dyDescent="0.2">
      <c r="A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","#",3))+1,1)&amp;"-"&amp;LEFT(Educator!B42, 3)&amp;"-"&amp;LEFT(Educator!A42, 3)&amp;"-"&amp;IF(ISNUMBER(Educator!D42),"G"&amp;Educator!D42,Educator!D42)&amp;"-"&amp;"2027"</f>
        <v>CID-FLH----2027</v>
      </c>
      <c r="B37" s="49" t="b">
        <f>IF(Educator!A42&gt;0,"topscorewriting.instructure.com")</f>
        <v>0</v>
      </c>
      <c r="C37" s="49" t="str">
        <f>Users!A37</f>
        <v>UID-FLH---2027</v>
      </c>
      <c r="D37" s="49" t="s">
        <v>103</v>
      </c>
      <c r="G37" s="49" t="b">
        <f>IF(Educator!B42&gt;0,"active")</f>
        <v>0</v>
      </c>
    </row>
    <row r="38" spans="1:7" x14ac:dyDescent="0.2">
      <c r="A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","#",3))+1,1)&amp;"-"&amp;LEFT(Educator!B43, 3)&amp;"-"&amp;LEFT(Educator!A43, 3)&amp;"-"&amp;IF(ISNUMBER(Educator!D43),"G"&amp;Educator!D43,Educator!D43)&amp;"-"&amp;"2027"</f>
        <v>CID-FLH----2027</v>
      </c>
      <c r="B38" s="49" t="b">
        <f>IF(Educator!A43&gt;0,"topscorewriting.instructure.com")</f>
        <v>0</v>
      </c>
      <c r="C38" s="49" t="str">
        <f>Users!A38</f>
        <v>UID-FLH---2027</v>
      </c>
      <c r="D38" s="49" t="s">
        <v>103</v>
      </c>
      <c r="G38" s="49" t="b">
        <f>IF(Educator!B43&gt;0,"active")</f>
        <v>0</v>
      </c>
    </row>
    <row r="39" spans="1:7" x14ac:dyDescent="0.2">
      <c r="A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","#",3))+1,1)&amp;"-"&amp;LEFT(Educator!B44, 3)&amp;"-"&amp;LEFT(Educator!A44, 3)&amp;"-"&amp;IF(ISNUMBER(Educator!D44),"G"&amp;Educator!D44,Educator!D44)&amp;"-"&amp;"2027"</f>
        <v>CID-FLH----2027</v>
      </c>
      <c r="B39" s="49" t="b">
        <f>IF(Educator!A44&gt;0,"topscorewriting.instructure.com")</f>
        <v>0</v>
      </c>
      <c r="C39" s="49" t="str">
        <f>Users!A39</f>
        <v>UID-FLH---2027</v>
      </c>
      <c r="D39" s="49" t="s">
        <v>103</v>
      </c>
      <c r="G39" s="49" t="b">
        <f>IF(Educator!B44&gt;0,"active")</f>
        <v>0</v>
      </c>
    </row>
    <row r="40" spans="1:7" x14ac:dyDescent="0.2">
      <c r="A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","#",3))+1,1)&amp;"-"&amp;LEFT(Educator!B45, 3)&amp;"-"&amp;LEFT(Educator!A45, 3)&amp;"-"&amp;IF(ISNUMBER(Educator!D45),"G"&amp;Educator!D45,Educator!D45)&amp;"-"&amp;"2027"</f>
        <v>CID-FLH----2027</v>
      </c>
      <c r="B40" s="49" t="b">
        <f>IF(Educator!A45&gt;0,"topscorewriting.instructure.com")</f>
        <v>0</v>
      </c>
      <c r="C40" s="49" t="str">
        <f>Users!A40</f>
        <v>UID-FLH---2027</v>
      </c>
      <c r="D40" s="49" t="s">
        <v>103</v>
      </c>
      <c r="G40" s="49" t="b">
        <f>IF(Educator!B45&gt;0,"active")</f>
        <v>0</v>
      </c>
    </row>
    <row r="41" spans="1:7" x14ac:dyDescent="0.2">
      <c r="A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","#",3))+1,1)&amp;"-"&amp;LEFT(Educator!B46, 3)&amp;"-"&amp;LEFT(Educator!A46, 3)&amp;"-"&amp;IF(ISNUMBER(Educator!D46),"G"&amp;Educator!D46,Educator!D46)&amp;"-"&amp;"2027"</f>
        <v>CID-FLH----2027</v>
      </c>
      <c r="B41" s="49" t="b">
        <f>IF(Educator!A46&gt;0,"topscorewriting.instructure.com")</f>
        <v>0</v>
      </c>
      <c r="C41" s="49" t="str">
        <f>Users!A41</f>
        <v>UID-FLH---2027</v>
      </c>
      <c r="D41" s="49" t="s">
        <v>103</v>
      </c>
      <c r="G41" s="49" t="b">
        <f>IF(Educator!B46&gt;0,"active")</f>
        <v>0</v>
      </c>
    </row>
    <row r="42" spans="1:7" x14ac:dyDescent="0.2">
      <c r="A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","#",3))+1,1)&amp;"-"&amp;LEFT(Educator!B47, 3)&amp;"-"&amp;LEFT(Educator!A47, 3)&amp;"-"&amp;IF(ISNUMBER(Educator!D47),"G"&amp;Educator!D47,Educator!D47)&amp;"-"&amp;"2027"</f>
        <v>CID-FLH----2027</v>
      </c>
      <c r="B42" s="49" t="b">
        <f>IF(Educator!A47&gt;0,"topscorewriting.instructure.com")</f>
        <v>0</v>
      </c>
      <c r="C42" s="49" t="str">
        <f>Users!A42</f>
        <v>UID-FLH---2027</v>
      </c>
      <c r="D42" s="49" t="s">
        <v>103</v>
      </c>
      <c r="G42" s="49" t="b">
        <f>IF(Educator!B47&gt;0,"active")</f>
        <v>0</v>
      </c>
    </row>
    <row r="43" spans="1:7" x14ac:dyDescent="0.2">
      <c r="A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","#",3))+1,1)&amp;"-"&amp;LEFT(Educator!B48, 3)&amp;"-"&amp;LEFT(Educator!A48, 3)&amp;"-"&amp;IF(ISNUMBER(Educator!D48),"G"&amp;Educator!D48,Educator!D48)&amp;"-"&amp;"2027"</f>
        <v>CID-FLH----2027</v>
      </c>
      <c r="B43" s="49" t="b">
        <f>IF(Educator!A48&gt;0,"topscorewriting.instructure.com")</f>
        <v>0</v>
      </c>
      <c r="C43" s="49" t="str">
        <f>Users!A43</f>
        <v>UID-FLH---2027</v>
      </c>
      <c r="D43" s="49" t="s">
        <v>103</v>
      </c>
      <c r="G43" s="49" t="b">
        <f>IF(Educator!B48&gt;0,"active")</f>
        <v>0</v>
      </c>
    </row>
    <row r="44" spans="1:7" x14ac:dyDescent="0.2">
      <c r="A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","#",3))+1,1)&amp;"-"&amp;LEFT(Educator!B49, 3)&amp;"-"&amp;LEFT(Educator!A49, 3)&amp;"-"&amp;IF(ISNUMBER(Educator!D49),"G"&amp;Educator!D49,Educator!D49)&amp;"-"&amp;"2027"</f>
        <v>CID-FLH----2027</v>
      </c>
      <c r="B44" s="49" t="b">
        <f>IF(Educator!A49&gt;0,"topscorewriting.instructure.com")</f>
        <v>0</v>
      </c>
      <c r="C44" s="49" t="str">
        <f>Users!A44</f>
        <v>UID-FLH---2027</v>
      </c>
      <c r="D44" s="49" t="s">
        <v>103</v>
      </c>
      <c r="G44" s="49" t="b">
        <f>IF(Educator!B49&gt;0,"active")</f>
        <v>0</v>
      </c>
    </row>
    <row r="45" spans="1:7" x14ac:dyDescent="0.2">
      <c r="A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","#",3))+1,1)&amp;"-"&amp;LEFT(Educator!B50, 3)&amp;"-"&amp;LEFT(Educator!A50, 3)&amp;"-"&amp;IF(ISNUMBER(Educator!D50),"G"&amp;Educator!D50,Educator!D50)&amp;"-"&amp;"2027"</f>
        <v>CID-FLH----2027</v>
      </c>
      <c r="B45" s="49" t="b">
        <f>IF(Educator!A50&gt;0,"topscorewriting.instructure.com")</f>
        <v>0</v>
      </c>
      <c r="C45" s="49" t="str">
        <f>Users!A45</f>
        <v>UID-FLH---2027</v>
      </c>
      <c r="D45" s="49" t="s">
        <v>103</v>
      </c>
      <c r="G45" s="49" t="b">
        <f>IF(Educator!B50&gt;0,"active")</f>
        <v>0</v>
      </c>
    </row>
    <row r="46" spans="1:7" x14ac:dyDescent="0.2">
      <c r="A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","#",3))+1,1)&amp;"-"&amp;LEFT(Educator!B51, 3)&amp;"-"&amp;LEFT(Educator!A51, 3)&amp;"-"&amp;IF(ISNUMBER(Educator!D51),"G"&amp;Educator!D51,Educator!D51)&amp;"-"&amp;"2027"</f>
        <v>CID-FLH----2027</v>
      </c>
      <c r="B46" s="49" t="b">
        <f>IF(Educator!A51&gt;0,"topscorewriting.instructure.com")</f>
        <v>0</v>
      </c>
      <c r="C46" s="49" t="str">
        <f>Users!A46</f>
        <v>UID-FLH---2027</v>
      </c>
      <c r="D46" s="49" t="s">
        <v>103</v>
      </c>
      <c r="G46" s="49" t="b">
        <f>IF(Educator!B51&gt;0,"active")</f>
        <v>0</v>
      </c>
    </row>
    <row r="47" spans="1:7" x14ac:dyDescent="0.2">
      <c r="A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","#",3))+1,1)&amp;"-"&amp;LEFT(Educator!B52, 3)&amp;"-"&amp;LEFT(Educator!A52, 3)&amp;"-"&amp;IF(ISNUMBER(Educator!D52),"G"&amp;Educator!D52,Educator!D52)&amp;"-"&amp;"2027"</f>
        <v>CID-FLH----2027</v>
      </c>
      <c r="B47" s="49" t="b">
        <f>IF(Educator!A52&gt;0,"topscorewriting.instructure.com")</f>
        <v>0</v>
      </c>
      <c r="C47" s="49" t="str">
        <f>Users!A47</f>
        <v>UID-FLH---2027</v>
      </c>
      <c r="D47" s="49" t="s">
        <v>103</v>
      </c>
      <c r="G47" s="49" t="b">
        <f>IF(Educator!B52&gt;0,"active")</f>
        <v>0</v>
      </c>
    </row>
    <row r="48" spans="1:7" x14ac:dyDescent="0.2">
      <c r="A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","#",3))+1,1)&amp;"-"&amp;LEFT(Educator!B53, 3)&amp;"-"&amp;LEFT(Educator!A53, 3)&amp;"-"&amp;IF(ISNUMBER(Educator!D53),"G"&amp;Educator!D53,Educator!D53)&amp;"-"&amp;"2027"</f>
        <v>CID-FLH----2027</v>
      </c>
      <c r="B48" s="49" t="b">
        <f>IF(Educator!A53&gt;0,"topscorewriting.instructure.com")</f>
        <v>0</v>
      </c>
      <c r="C48" s="49" t="str">
        <f>Users!A48</f>
        <v>UID-FLH---2027</v>
      </c>
      <c r="D48" s="49" t="s">
        <v>103</v>
      </c>
      <c r="G48" s="49" t="b">
        <f>IF(Educator!B53&gt;0,"active")</f>
        <v>0</v>
      </c>
    </row>
    <row r="49" spans="1:7" x14ac:dyDescent="0.2">
      <c r="A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","#",3))+1,1)&amp;"-"&amp;LEFT(Educator!B54, 3)&amp;"-"&amp;LEFT(Educator!A54, 3)&amp;"-"&amp;IF(ISNUMBER(Educator!D54),"G"&amp;Educator!D54,Educator!D54)&amp;"-"&amp;"2027"</f>
        <v>CID-FLH----2027</v>
      </c>
      <c r="B49" s="49" t="b">
        <f>IF(Educator!A54&gt;0,"topscorewriting.instructure.com")</f>
        <v>0</v>
      </c>
      <c r="C49" s="49" t="str">
        <f>Users!A49</f>
        <v>UID-FLH---2027</v>
      </c>
      <c r="D49" s="49" t="s">
        <v>103</v>
      </c>
      <c r="G49" s="49" t="b">
        <f>IF(Educator!B54&gt;0,"active")</f>
        <v>0</v>
      </c>
    </row>
    <row r="50" spans="1:7" x14ac:dyDescent="0.2">
      <c r="A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","#",3))+1,1)&amp;"-"&amp;LEFT(Educator!B55, 3)&amp;"-"&amp;LEFT(Educator!A55, 3)&amp;"-"&amp;IF(ISNUMBER(Educator!D55),"G"&amp;Educator!D55,Educator!D55)&amp;"-"&amp;"2027"</f>
        <v>CID-FLH----2027</v>
      </c>
      <c r="B50" s="49" t="b">
        <f>IF(Educator!A55&gt;0,"topscorewriting.instructure.com")</f>
        <v>0</v>
      </c>
      <c r="C50" s="49" t="str">
        <f>Users!A50</f>
        <v>UID-FLH---2027</v>
      </c>
      <c r="D50" s="49" t="s">
        <v>103</v>
      </c>
      <c r="G50" s="49" t="b">
        <f>IF(Educator!B55&gt;0,"active")</f>
        <v>0</v>
      </c>
    </row>
    <row r="51" spans="1:7" x14ac:dyDescent="0.2">
      <c r="A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","#",3))+1,1)&amp;"-"&amp;LEFT(Educator!B56, 3)&amp;"-"&amp;LEFT(Educator!A56, 3)&amp;"-"&amp;IF(ISNUMBER(Educator!D56),"G"&amp;Educator!D56,Educator!D56)&amp;"-"&amp;"2027"</f>
        <v>CID-FLH----2027</v>
      </c>
      <c r="B51" s="49" t="b">
        <f>IF(Educator!A56&gt;0,"topscorewriting.instructure.com")</f>
        <v>0</v>
      </c>
      <c r="C51" s="49" t="str">
        <f>Users!A51</f>
        <v>UID-FLH---2027</v>
      </c>
      <c r="D51" s="49" t="s">
        <v>103</v>
      </c>
      <c r="G51" s="49" t="b">
        <f>IF(Educator!B56&gt;0,"active")</f>
        <v>0</v>
      </c>
    </row>
    <row r="52" spans="1:7" x14ac:dyDescent="0.2">
      <c r="A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","#",3))+1,1)&amp;"-"&amp;LEFT(Educator!B57, 3)&amp;"-"&amp;LEFT(Educator!A57, 3)&amp;"-"&amp;IF(ISNUMBER(Educator!D57),"G"&amp;Educator!D57,Educator!D57)&amp;"-"&amp;"2027"</f>
        <v>CID-FLH----2027</v>
      </c>
      <c r="B52" s="49" t="b">
        <f>IF(Educator!A57&gt;0,"topscorewriting.instructure.com")</f>
        <v>0</v>
      </c>
      <c r="C52" s="49" t="str">
        <f>Users!A52</f>
        <v>UID-FLH---2027</v>
      </c>
      <c r="D52" s="49" t="s">
        <v>103</v>
      </c>
      <c r="G52" s="49" t="b">
        <f>IF(Educator!B57&gt;0,"active")</f>
        <v>0</v>
      </c>
    </row>
    <row r="53" spans="1:7" x14ac:dyDescent="0.2">
      <c r="A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","#",3))+1,1)&amp;"-"&amp;LEFT(Educator!B58, 3)&amp;"-"&amp;LEFT(Educator!A58, 3)&amp;"-"&amp;IF(ISNUMBER(Educator!D58),"G"&amp;Educator!D58,Educator!D58)&amp;"-"&amp;"2027"</f>
        <v>CID-FLH----2027</v>
      </c>
      <c r="B53" s="49" t="b">
        <f>IF(Educator!A58&gt;0,"topscorewriting.instructure.com")</f>
        <v>0</v>
      </c>
      <c r="C53" s="49" t="str">
        <f>Users!A53</f>
        <v>UID-FLH---2027</v>
      </c>
      <c r="D53" s="49" t="s">
        <v>103</v>
      </c>
      <c r="G53" s="49" t="b">
        <f>IF(Educator!B58&gt;0,"active")</f>
        <v>0</v>
      </c>
    </row>
    <row r="54" spans="1:7" x14ac:dyDescent="0.2">
      <c r="A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","#",3))+1,1)&amp;"-"&amp;LEFT(Educator!B59, 3)&amp;"-"&amp;LEFT(Educator!A59, 3)&amp;"-"&amp;IF(ISNUMBER(Educator!D59),"G"&amp;Educator!D59,Educator!D59)&amp;"-"&amp;"2027"</f>
        <v>CID-FLH----2027</v>
      </c>
      <c r="B54" s="49" t="b">
        <f>IF(Educator!A59&gt;0,"topscorewriting.instructure.com")</f>
        <v>0</v>
      </c>
      <c r="C54" s="49" t="str">
        <f>Users!A54</f>
        <v>UID-FLH---2027</v>
      </c>
      <c r="D54" s="49" t="s">
        <v>103</v>
      </c>
      <c r="G54" s="49" t="b">
        <f>IF(Educator!B59&gt;0,"active")</f>
        <v>0</v>
      </c>
    </row>
    <row r="55" spans="1:7" x14ac:dyDescent="0.2">
      <c r="A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","#",3))+1,1)&amp;"-"&amp;LEFT(Educator!B60, 3)&amp;"-"&amp;LEFT(Educator!A60, 3)&amp;"-"&amp;IF(ISNUMBER(Educator!D60),"G"&amp;Educator!D60,Educator!D60)&amp;"-"&amp;"2027"</f>
        <v>CID-FLH----2027</v>
      </c>
      <c r="B55" s="49" t="b">
        <f>IF(Educator!A60&gt;0,"topscorewriting.instructure.com")</f>
        <v>0</v>
      </c>
      <c r="C55" s="49" t="str">
        <f>Users!A55</f>
        <v>UID-FLH---2027</v>
      </c>
      <c r="D55" s="49" t="s">
        <v>103</v>
      </c>
      <c r="G55" s="49" t="b">
        <f>IF(Educator!B60&gt;0,"active")</f>
        <v>0</v>
      </c>
    </row>
    <row r="56" spans="1:7" x14ac:dyDescent="0.2">
      <c r="A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","#",3))+1,1)&amp;"-"&amp;LEFT(Educator!B61, 3)&amp;"-"&amp;LEFT(Educator!A61, 3)&amp;"-"&amp;IF(ISNUMBER(Educator!D61),"G"&amp;Educator!D61,Educator!D61)&amp;"-"&amp;"2027"</f>
        <v>CID-FLH----2027</v>
      </c>
      <c r="B56" s="49" t="b">
        <f>IF(Educator!A61&gt;0,"topscorewriting.instructure.com")</f>
        <v>0</v>
      </c>
      <c r="C56" s="49" t="str">
        <f>Users!A56</f>
        <v>UID-FLH---2027</v>
      </c>
      <c r="D56" s="49" t="s">
        <v>103</v>
      </c>
      <c r="G56" s="49" t="b">
        <f>IF(Educator!B61&gt;0,"active")</f>
        <v>0</v>
      </c>
    </row>
    <row r="57" spans="1:7" x14ac:dyDescent="0.2">
      <c r="A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","#",3))+1,1)&amp;"-"&amp;LEFT(Educator!B62, 3)&amp;"-"&amp;LEFT(Educator!A62, 3)&amp;"-"&amp;IF(ISNUMBER(Educator!D62),"G"&amp;Educator!D62,Educator!D62)&amp;"-"&amp;"2027"</f>
        <v>CID-FLH----2027</v>
      </c>
      <c r="B57" s="49" t="b">
        <f>IF(Educator!A62&gt;0,"topscorewriting.instructure.com")</f>
        <v>0</v>
      </c>
      <c r="C57" s="49" t="str">
        <f>Users!A57</f>
        <v>UID-FLH---2027</v>
      </c>
      <c r="D57" s="49" t="s">
        <v>103</v>
      </c>
      <c r="G57" s="49" t="b">
        <f>IF(Educator!B62&gt;0,"active")</f>
        <v>0</v>
      </c>
    </row>
    <row r="58" spans="1:7" x14ac:dyDescent="0.2">
      <c r="A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","#",3))+1,1)&amp;"-"&amp;LEFT(Educator!B63, 3)&amp;"-"&amp;LEFT(Educator!A63, 3)&amp;"-"&amp;IF(ISNUMBER(Educator!D63),"G"&amp;Educator!D63,Educator!D63)&amp;"-"&amp;"2027"</f>
        <v>CID-FLH----2027</v>
      </c>
      <c r="B58" s="49" t="b">
        <f>IF(Educator!A63&gt;0,"topscorewriting.instructure.com")</f>
        <v>0</v>
      </c>
      <c r="C58" s="49" t="str">
        <f>Users!A58</f>
        <v>UID-FLH---2027</v>
      </c>
      <c r="D58" s="49" t="s">
        <v>103</v>
      </c>
      <c r="G58" s="49" t="b">
        <f>IF(Educator!B63&gt;0,"active")</f>
        <v>0</v>
      </c>
    </row>
    <row r="59" spans="1:7" x14ac:dyDescent="0.2">
      <c r="A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","#",3))+1,1)&amp;"-"&amp;LEFT(Educator!B64, 3)&amp;"-"&amp;LEFT(Educator!A64, 3)&amp;"-"&amp;IF(ISNUMBER(Educator!D64),"G"&amp;Educator!D64,Educator!D64)&amp;"-"&amp;"2027"</f>
        <v>CID-FLH----2027</v>
      </c>
      <c r="B59" s="49" t="b">
        <f>IF(Educator!A64&gt;0,"topscorewriting.instructure.com")</f>
        <v>0</v>
      </c>
      <c r="C59" s="49" t="str">
        <f>Users!A59</f>
        <v>UID-FLH---2027</v>
      </c>
      <c r="D59" s="49" t="s">
        <v>103</v>
      </c>
      <c r="G59" s="49" t="b">
        <f>IF(Educator!B64&gt;0,"active")</f>
        <v>0</v>
      </c>
    </row>
    <row r="60" spans="1:7" x14ac:dyDescent="0.2">
      <c r="A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","#",3))+1,1)&amp;"-"&amp;LEFT(Educator!B65, 3)&amp;"-"&amp;LEFT(Educator!A65, 3)&amp;"-"&amp;IF(ISNUMBER(Educator!D65),"G"&amp;Educator!D65,Educator!D65)&amp;"-"&amp;"2027"</f>
        <v>CID-FLH----2027</v>
      </c>
      <c r="B60" s="49" t="b">
        <f>IF(Educator!A65&gt;0,"topscorewriting.instructure.com")</f>
        <v>0</v>
      </c>
      <c r="C60" s="49" t="str">
        <f>Users!A60</f>
        <v>UID-FLH---2027</v>
      </c>
      <c r="D60" s="49" t="s">
        <v>103</v>
      </c>
      <c r="G60" s="49" t="b">
        <f>IF(Educator!B65&gt;0,"active")</f>
        <v>0</v>
      </c>
    </row>
    <row r="61" spans="1:7" x14ac:dyDescent="0.2">
      <c r="A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","#",3))+1,1)&amp;"-"&amp;LEFT(Educator!B66, 3)&amp;"-"&amp;LEFT(Educator!A66, 3)&amp;"-"&amp;IF(ISNUMBER(Educator!D66),"G"&amp;Educator!D66,Educator!D66)&amp;"-"&amp;"2027"</f>
        <v>CID-FLH----2027</v>
      </c>
      <c r="B61" s="49" t="b">
        <f>IF(Educator!A66&gt;0,"topscorewriting.instructure.com")</f>
        <v>0</v>
      </c>
      <c r="C61" s="49" t="str">
        <f>Users!A61</f>
        <v>UID-FLH---2027</v>
      </c>
      <c r="D61" s="49" t="s">
        <v>103</v>
      </c>
      <c r="G61" s="49" t="b">
        <f>IF(Educator!B66&gt;0,"active")</f>
        <v>0</v>
      </c>
    </row>
    <row r="62" spans="1:7" x14ac:dyDescent="0.2">
      <c r="A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","#",3))+1,1)&amp;"-"&amp;LEFT(Educator!B67, 3)&amp;"-"&amp;LEFT(Educator!A67, 3)&amp;"-"&amp;IF(ISNUMBER(Educator!D67),"G"&amp;Educator!D67,Educator!D67)&amp;"-"&amp;"2027"</f>
        <v>CID-FLH----2027</v>
      </c>
      <c r="B62" s="49" t="b">
        <f>IF(Educator!A67&gt;0,"topscorewriting.instructure.com")</f>
        <v>0</v>
      </c>
      <c r="C62" s="49" t="str">
        <f>Users!A62</f>
        <v>UID-FLH---2027</v>
      </c>
      <c r="D62" s="49" t="s">
        <v>103</v>
      </c>
      <c r="G62" s="49" t="b">
        <f>IF(Educator!B67&gt;0,"active")</f>
        <v>0</v>
      </c>
    </row>
    <row r="63" spans="1:7" x14ac:dyDescent="0.2">
      <c r="A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","#",3))+1,1)&amp;"-"&amp;LEFT(Educator!B68, 3)&amp;"-"&amp;LEFT(Educator!A68, 3)&amp;"-"&amp;IF(ISNUMBER(Educator!D68),"G"&amp;Educator!D68,Educator!D68)&amp;"-"&amp;"2027"</f>
        <v>CID-FLH----2027</v>
      </c>
      <c r="B63" s="49" t="b">
        <f>IF(Educator!A68&gt;0,"topscorewriting.instructure.com")</f>
        <v>0</v>
      </c>
      <c r="C63" s="49" t="str">
        <f>Users!A63</f>
        <v>UID-FLH---2027</v>
      </c>
      <c r="D63" s="49" t="s">
        <v>103</v>
      </c>
      <c r="G63" s="49" t="b">
        <f>IF(Educator!B68&gt;0,"active")</f>
        <v>0</v>
      </c>
    </row>
    <row r="64" spans="1:7" x14ac:dyDescent="0.2">
      <c r="A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","#",3))+1,1)&amp;"-"&amp;LEFT(Educator!B69, 3)&amp;"-"&amp;LEFT(Educator!A69, 3)&amp;"-"&amp;IF(ISNUMBER(Educator!D69),"G"&amp;Educator!D69,Educator!D69)&amp;"-"&amp;"2027"</f>
        <v>CID-FLH----2027</v>
      </c>
      <c r="B64" s="49" t="b">
        <f>IF(Educator!A69&gt;0,"topscorewriting.instructure.com")</f>
        <v>0</v>
      </c>
      <c r="C64" s="49" t="str">
        <f>Users!A64</f>
        <v>UID-FLH---2027</v>
      </c>
      <c r="D64" s="49" t="s">
        <v>103</v>
      </c>
      <c r="G64" s="49" t="b">
        <f>IF(Educator!B69&gt;0,"active")</f>
        <v>0</v>
      </c>
    </row>
    <row r="65" spans="1:7" x14ac:dyDescent="0.2">
      <c r="A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","#",3))+1,1)&amp;"-"&amp;LEFT(Educator!B70, 3)&amp;"-"&amp;LEFT(Educator!A70, 3)&amp;"-"&amp;IF(ISNUMBER(Educator!D70),"G"&amp;Educator!D70,Educator!D70)&amp;"-"&amp;"2027"</f>
        <v>CID-FLH----2027</v>
      </c>
      <c r="B65" s="49" t="b">
        <f>IF(Educator!A70&gt;0,"topscorewriting.instructure.com")</f>
        <v>0</v>
      </c>
      <c r="C65" s="49" t="str">
        <f>Users!A65</f>
        <v>UID-FLH---2027</v>
      </c>
      <c r="D65" s="49" t="s">
        <v>103</v>
      </c>
      <c r="G65" s="49" t="b">
        <f>IF(Educator!B70&gt;0,"active")</f>
        <v>0</v>
      </c>
    </row>
    <row r="66" spans="1:7" x14ac:dyDescent="0.2">
      <c r="A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","#",3))+1,1)&amp;"-"&amp;LEFT(Educator!B71, 3)&amp;"-"&amp;LEFT(Educator!A71, 3)&amp;"-"&amp;IF(ISNUMBER(Educator!D71),"G"&amp;Educator!D71,Educator!D71)&amp;"-"&amp;"2027"</f>
        <v>CID-FLH----2027</v>
      </c>
      <c r="B66" s="49" t="b">
        <f>IF(Educator!A71&gt;0,"topscorewriting.instructure.com")</f>
        <v>0</v>
      </c>
      <c r="C66" s="49" t="str">
        <f>Users!A66</f>
        <v>UID-FLH---2027</v>
      </c>
      <c r="D66" s="49" t="s">
        <v>103</v>
      </c>
      <c r="G66" s="49" t="b">
        <f>IF(Educator!B71&gt;0,"active")</f>
        <v>0</v>
      </c>
    </row>
    <row r="67" spans="1:7" x14ac:dyDescent="0.2">
      <c r="A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","#",3))+1,1)&amp;"-"&amp;LEFT(Educator!B72, 3)&amp;"-"&amp;LEFT(Educator!A72, 3)&amp;"-"&amp;IF(ISNUMBER(Educator!D72),"G"&amp;Educator!D72,Educator!D72)&amp;"-"&amp;"2027"</f>
        <v>CID-FLH----2027</v>
      </c>
      <c r="B67" s="49" t="b">
        <f>IF(Educator!A72&gt;0,"topscorewriting.instructure.com")</f>
        <v>0</v>
      </c>
      <c r="C67" s="49" t="str">
        <f>Users!A67</f>
        <v>UID-FLH---2027</v>
      </c>
      <c r="D67" s="49" t="s">
        <v>103</v>
      </c>
      <c r="G67" s="49" t="b">
        <f>IF(Educator!B72&gt;0,"active")</f>
        <v>0</v>
      </c>
    </row>
    <row r="68" spans="1:7" x14ac:dyDescent="0.2">
      <c r="A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","#",3))+1,1)&amp;"-"&amp;LEFT(Educator!B73, 3)&amp;"-"&amp;LEFT(Educator!A73, 3)&amp;"-"&amp;IF(ISNUMBER(Educator!D73),"G"&amp;Educator!D73,Educator!D73)&amp;"-"&amp;"2027"</f>
        <v>CID-FLH----2027</v>
      </c>
      <c r="B68" s="49" t="b">
        <f>IF(Educator!A73&gt;0,"topscorewriting.instructure.com")</f>
        <v>0</v>
      </c>
      <c r="C68" s="49" t="str">
        <f>Users!A68</f>
        <v>UID-FLH---2027</v>
      </c>
      <c r="D68" s="49" t="s">
        <v>103</v>
      </c>
      <c r="G68" s="49" t="b">
        <f>IF(Educator!B73&gt;0,"active")</f>
        <v>0</v>
      </c>
    </row>
    <row r="69" spans="1:7" x14ac:dyDescent="0.2">
      <c r="A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","#",3))+1,1)&amp;"-"&amp;LEFT(Educator!B74, 3)&amp;"-"&amp;LEFT(Educator!A74, 3)&amp;"-"&amp;IF(ISNUMBER(Educator!D74),"G"&amp;Educator!D74,Educator!D74)&amp;"-"&amp;"2027"</f>
        <v>CID-FLH----2027</v>
      </c>
      <c r="B69" s="49" t="b">
        <f>IF(Educator!A74&gt;0,"topscorewriting.instructure.com")</f>
        <v>0</v>
      </c>
      <c r="C69" s="49" t="str">
        <f>Users!A69</f>
        <v>UID-FLH---2027</v>
      </c>
      <c r="D69" s="49" t="s">
        <v>103</v>
      </c>
      <c r="G69" s="49" t="b">
        <f>IF(Educator!B74&gt;0,"active")</f>
        <v>0</v>
      </c>
    </row>
    <row r="70" spans="1:7" x14ac:dyDescent="0.2">
      <c r="A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","#",3))+1,1)&amp;"-"&amp;LEFT(Educator!B75, 3)&amp;"-"&amp;LEFT(Educator!A75, 3)&amp;"-"&amp;IF(ISNUMBER(Educator!D75),"G"&amp;Educator!D75,Educator!D75)&amp;"-"&amp;"2027"</f>
        <v>CID-FLH----2027</v>
      </c>
      <c r="B70" s="49" t="b">
        <f>IF(Educator!A75&gt;0,"topscorewriting.instructure.com")</f>
        <v>0</v>
      </c>
      <c r="C70" s="49" t="str">
        <f>Users!A70</f>
        <v>UID-FLH---2027</v>
      </c>
      <c r="D70" s="49" t="s">
        <v>103</v>
      </c>
      <c r="G70" s="49" t="b">
        <f>IF(Educator!B75&gt;0,"active")</f>
        <v>0</v>
      </c>
    </row>
    <row r="71" spans="1:7" x14ac:dyDescent="0.2">
      <c r="A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","#",3))+1,1)&amp;"-"&amp;LEFT(Educator!B76, 3)&amp;"-"&amp;LEFT(Educator!A76, 3)&amp;"-"&amp;IF(ISNUMBER(Educator!D76),"G"&amp;Educator!D76,Educator!D76)&amp;"-"&amp;"2027"</f>
        <v>CID-FLH----2027</v>
      </c>
      <c r="B71" s="49" t="b">
        <f>IF(Educator!A76&gt;0,"topscorewriting.instructure.com")</f>
        <v>0</v>
      </c>
      <c r="C71" s="49" t="str">
        <f>Users!A71</f>
        <v>UID-FLH---2027</v>
      </c>
      <c r="D71" s="49" t="s">
        <v>103</v>
      </c>
      <c r="G71" s="49" t="b">
        <f>IF(Educator!B76&gt;0,"active")</f>
        <v>0</v>
      </c>
    </row>
    <row r="72" spans="1:7" x14ac:dyDescent="0.2">
      <c r="A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","#",3))+1,1)&amp;"-"&amp;LEFT(Educator!B77, 3)&amp;"-"&amp;LEFT(Educator!A77, 3)&amp;"-"&amp;IF(ISNUMBER(Educator!D77),"G"&amp;Educator!D77,Educator!D77)&amp;"-"&amp;"2027"</f>
        <v>CID-FLH----2027</v>
      </c>
      <c r="B72" s="49" t="b">
        <f>IF(Educator!A77&gt;0,"topscorewriting.instructure.com")</f>
        <v>0</v>
      </c>
      <c r="C72" s="49" t="str">
        <f>Users!A72</f>
        <v>UID-FLH---2027</v>
      </c>
      <c r="D72" s="49" t="s">
        <v>103</v>
      </c>
      <c r="G72" s="49" t="b">
        <f>IF(Educator!B77&gt;0,"active")</f>
        <v>0</v>
      </c>
    </row>
    <row r="73" spans="1:7" x14ac:dyDescent="0.2">
      <c r="A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","#",3))+1,1)&amp;"-"&amp;LEFT(Educator!B78, 3)&amp;"-"&amp;LEFT(Educator!A78, 3)&amp;"-"&amp;IF(ISNUMBER(Educator!D78),"G"&amp;Educator!D78,Educator!D78)&amp;"-"&amp;"2027"</f>
        <v>CID-FLH----2027</v>
      </c>
      <c r="B73" s="49" t="b">
        <f>IF(Educator!A78&gt;0,"topscorewriting.instructure.com")</f>
        <v>0</v>
      </c>
      <c r="C73" s="49" t="str">
        <f>Users!A73</f>
        <v>UID-FLH---2027</v>
      </c>
      <c r="D73" s="49" t="s">
        <v>103</v>
      </c>
      <c r="G73" s="49" t="b">
        <f>IF(Educator!B78&gt;0,"active")</f>
        <v>0</v>
      </c>
    </row>
    <row r="74" spans="1:7" x14ac:dyDescent="0.2">
      <c r="A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","#",3))+1,1)&amp;"-"&amp;LEFT(Educator!B79, 3)&amp;"-"&amp;LEFT(Educator!A79, 3)&amp;"-"&amp;IF(ISNUMBER(Educator!D79),"G"&amp;Educator!D79,Educator!D79)&amp;"-"&amp;"2027"</f>
        <v>CID-FLH----2027</v>
      </c>
      <c r="B74" s="49" t="b">
        <f>IF(Educator!A79&gt;0,"topscorewriting.instructure.com")</f>
        <v>0</v>
      </c>
      <c r="C74" s="49" t="str">
        <f>Users!A74</f>
        <v>UID-FLH---2027</v>
      </c>
      <c r="D74" s="49" t="s">
        <v>103</v>
      </c>
      <c r="G74" s="49" t="b">
        <f>IF(Educator!B79&gt;0,"active")</f>
        <v>0</v>
      </c>
    </row>
    <row r="75" spans="1:7" x14ac:dyDescent="0.2">
      <c r="A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","#",3))+1,1)&amp;"-"&amp;LEFT(Educator!B80, 3)&amp;"-"&amp;LEFT(Educator!A80, 3)&amp;"-"&amp;IF(ISNUMBER(Educator!D80),"G"&amp;Educator!D80,Educator!D80)&amp;"-"&amp;"2027"</f>
        <v>CID-FLH----2027</v>
      </c>
      <c r="B75" s="49" t="b">
        <f>IF(Educator!A80&gt;0,"topscorewriting.instructure.com")</f>
        <v>0</v>
      </c>
      <c r="C75" s="49" t="str">
        <f>Users!A75</f>
        <v>UID-FLH---2027</v>
      </c>
      <c r="D75" s="49" t="s">
        <v>103</v>
      </c>
      <c r="G75" s="49" t="b">
        <f>IF(Educator!B80&gt;0,"active")</f>
        <v>0</v>
      </c>
    </row>
    <row r="76" spans="1:7" x14ac:dyDescent="0.2">
      <c r="A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","#",3))+1,1)&amp;"-"&amp;LEFT(Educator!B81, 3)&amp;"-"&amp;LEFT(Educator!A81, 3)&amp;"-"&amp;IF(ISNUMBER(Educator!D81),"G"&amp;Educator!D81,Educator!D81)&amp;"-"&amp;"2027"</f>
        <v>CID-FLH----2027</v>
      </c>
      <c r="B76" s="49" t="b">
        <f>IF(Educator!A81&gt;0,"topscorewriting.instructure.com")</f>
        <v>0</v>
      </c>
      <c r="C76" s="49" t="str">
        <f>Users!A76</f>
        <v>UID-FLH---2027</v>
      </c>
      <c r="D76" s="49" t="s">
        <v>103</v>
      </c>
      <c r="G76" s="49" t="b">
        <f>IF(Educator!B81&gt;0,"active")</f>
        <v>0</v>
      </c>
    </row>
    <row r="77" spans="1:7" x14ac:dyDescent="0.2">
      <c r="A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","#",3))+1,1)&amp;"-"&amp;LEFT(Educator!B82, 3)&amp;"-"&amp;LEFT(Educator!A82, 3)&amp;"-"&amp;IF(ISNUMBER(Educator!D82),"G"&amp;Educator!D82,Educator!D82)&amp;"-"&amp;"2027"</f>
        <v>CID-FLH----2027</v>
      </c>
      <c r="B77" s="49" t="b">
        <f>IF(Educator!A82&gt;0,"topscorewriting.instructure.com")</f>
        <v>0</v>
      </c>
      <c r="C77" s="49" t="str">
        <f>Users!A77</f>
        <v>UID-FLH---2027</v>
      </c>
      <c r="D77" s="49" t="s">
        <v>103</v>
      </c>
      <c r="G77" s="49" t="b">
        <f>IF(Educator!B82&gt;0,"active")</f>
        <v>0</v>
      </c>
    </row>
    <row r="78" spans="1:7" x14ac:dyDescent="0.2">
      <c r="A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","#",3))+1,1)&amp;"-"&amp;LEFT(Educator!B83, 3)&amp;"-"&amp;LEFT(Educator!A83, 3)&amp;"-"&amp;IF(ISNUMBER(Educator!D83),"G"&amp;Educator!D83,Educator!D83)&amp;"-"&amp;"2027"</f>
        <v>CID-FLH----2027</v>
      </c>
      <c r="B78" s="49" t="b">
        <f>IF(Educator!A83&gt;0,"topscorewriting.instructure.com")</f>
        <v>0</v>
      </c>
      <c r="C78" s="49" t="str">
        <f>Users!A78</f>
        <v>UID-FLH---2027</v>
      </c>
      <c r="D78" s="49" t="s">
        <v>103</v>
      </c>
      <c r="G78" s="49" t="b">
        <f>IF(Educator!B83&gt;0,"active")</f>
        <v>0</v>
      </c>
    </row>
    <row r="79" spans="1:7" x14ac:dyDescent="0.2">
      <c r="A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","#",3))+1,1)&amp;"-"&amp;LEFT(Educator!B84, 3)&amp;"-"&amp;LEFT(Educator!A84, 3)&amp;"-"&amp;IF(ISNUMBER(Educator!D84),"G"&amp;Educator!D84,Educator!D84)&amp;"-"&amp;"2027"</f>
        <v>CID-FLH----2027</v>
      </c>
      <c r="B79" s="49" t="b">
        <f>IF(Educator!A84&gt;0,"topscorewriting.instructure.com")</f>
        <v>0</v>
      </c>
      <c r="C79" s="49" t="str">
        <f>Users!A79</f>
        <v>UID-FLH---2027</v>
      </c>
      <c r="D79" s="49" t="s">
        <v>103</v>
      </c>
      <c r="G79" s="49" t="b">
        <f>IF(Educator!B84&gt;0,"active")</f>
        <v>0</v>
      </c>
    </row>
    <row r="80" spans="1:7" x14ac:dyDescent="0.2">
      <c r="A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","#",3))+1,1)&amp;"-"&amp;LEFT(Educator!B85, 3)&amp;"-"&amp;LEFT(Educator!A85, 3)&amp;"-"&amp;IF(ISNUMBER(Educator!D85),"G"&amp;Educator!D85,Educator!D85)&amp;"-"&amp;"2027"</f>
        <v>CID-FLH----2027</v>
      </c>
      <c r="B80" s="49" t="b">
        <f>IF(Educator!A85&gt;0,"topscorewriting.instructure.com")</f>
        <v>0</v>
      </c>
      <c r="C80" s="49" t="str">
        <f>Users!A80</f>
        <v>UID-FLH---2027</v>
      </c>
      <c r="D80" s="49" t="s">
        <v>103</v>
      </c>
      <c r="G80" s="49" t="b">
        <f>IF(Educator!B85&gt;0,"active")</f>
        <v>0</v>
      </c>
    </row>
    <row r="81" spans="1:7" x14ac:dyDescent="0.2">
      <c r="A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","#",3))+1,1)&amp;"-"&amp;LEFT(Educator!B86, 3)&amp;"-"&amp;LEFT(Educator!A86, 3)&amp;"-"&amp;IF(ISNUMBER(Educator!D86),"G"&amp;Educator!D86,Educator!D86)&amp;"-"&amp;"2027"</f>
        <v>CID-FLH----2027</v>
      </c>
      <c r="B81" s="49" t="b">
        <f>IF(Educator!A86&gt;0,"topscorewriting.instructure.com")</f>
        <v>0</v>
      </c>
      <c r="C81" s="49" t="str">
        <f>Users!A81</f>
        <v>UID-FLH---2027</v>
      </c>
      <c r="D81" s="49" t="s">
        <v>103</v>
      </c>
      <c r="G81" s="49" t="b">
        <f>IF(Educator!B86&gt;0,"active")</f>
        <v>0</v>
      </c>
    </row>
    <row r="82" spans="1:7" x14ac:dyDescent="0.2">
      <c r="A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","#",3))+1,1)&amp;"-"&amp;LEFT(Educator!B87, 3)&amp;"-"&amp;LEFT(Educator!A87, 3)&amp;"-"&amp;IF(ISNUMBER(Educator!D87),"G"&amp;Educator!D87,Educator!D87)&amp;"-"&amp;"2027"</f>
        <v>CID-FLH----2027</v>
      </c>
      <c r="B82" s="49" t="b">
        <f>IF(Educator!A87&gt;0,"topscorewriting.instructure.com")</f>
        <v>0</v>
      </c>
      <c r="C82" s="49" t="str">
        <f>Users!A82</f>
        <v>UID-FLH---2027</v>
      </c>
      <c r="D82" s="49" t="s">
        <v>103</v>
      </c>
      <c r="G82" s="49" t="b">
        <f>IF(Educator!B87&gt;0,"active")</f>
        <v>0</v>
      </c>
    </row>
    <row r="83" spans="1:7" x14ac:dyDescent="0.2">
      <c r="A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","#",3))+1,1)&amp;"-"&amp;LEFT(Educator!B88, 3)&amp;"-"&amp;LEFT(Educator!A88, 3)&amp;"-"&amp;IF(ISNUMBER(Educator!D88),"G"&amp;Educator!D88,Educator!D88)&amp;"-"&amp;"2027"</f>
        <v>CID-FLH----2027</v>
      </c>
      <c r="B83" s="49" t="b">
        <f>IF(Educator!A88&gt;0,"topscorewriting.instructure.com")</f>
        <v>0</v>
      </c>
      <c r="C83" s="49" t="str">
        <f>Users!A83</f>
        <v>UID-FLH---2027</v>
      </c>
      <c r="D83" s="49" t="s">
        <v>103</v>
      </c>
      <c r="G83" s="49" t="b">
        <f>IF(Educator!B88&gt;0,"active")</f>
        <v>0</v>
      </c>
    </row>
    <row r="84" spans="1:7" x14ac:dyDescent="0.2">
      <c r="A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","#",3))+1,1)&amp;"-"&amp;LEFT(Educator!B89, 3)&amp;"-"&amp;LEFT(Educator!A89, 3)&amp;"-"&amp;IF(ISNUMBER(Educator!D89),"G"&amp;Educator!D89,Educator!D89)&amp;"-"&amp;"2027"</f>
        <v>CID-FLH----2027</v>
      </c>
      <c r="B84" s="49" t="b">
        <f>IF(Educator!A89&gt;0,"topscorewriting.instructure.com")</f>
        <v>0</v>
      </c>
      <c r="C84" s="49" t="str">
        <f>Users!A84</f>
        <v>UID-FLH---2027</v>
      </c>
      <c r="D84" s="49" t="s">
        <v>103</v>
      </c>
      <c r="G84" s="49" t="b">
        <f>IF(Educator!B89&gt;0,"active")</f>
        <v>0</v>
      </c>
    </row>
    <row r="85" spans="1:7" x14ac:dyDescent="0.2">
      <c r="A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","#",3))+1,1)&amp;"-"&amp;LEFT(Educator!B90, 3)&amp;"-"&amp;LEFT(Educator!A90, 3)&amp;"-"&amp;IF(ISNUMBER(Educator!D90),"G"&amp;Educator!D90,Educator!D90)&amp;"-"&amp;"2027"</f>
        <v>CID-FLH----2027</v>
      </c>
      <c r="B85" s="49" t="b">
        <f>IF(Educator!A90&gt;0,"topscorewriting.instructure.com")</f>
        <v>0</v>
      </c>
      <c r="C85" s="49" t="str">
        <f>Users!A85</f>
        <v>UID-FLH---2027</v>
      </c>
      <c r="D85" s="49" t="s">
        <v>103</v>
      </c>
      <c r="G85" s="49" t="b">
        <f>IF(Educator!B90&gt;0,"active")</f>
        <v>0</v>
      </c>
    </row>
    <row r="86" spans="1:7" x14ac:dyDescent="0.2">
      <c r="A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","#",3))+1,1)&amp;"-"&amp;LEFT(Educator!B91, 3)&amp;"-"&amp;LEFT(Educator!A91, 3)&amp;"-"&amp;IF(ISNUMBER(Educator!D91),"G"&amp;Educator!D91,Educator!D91)&amp;"-"&amp;"2027"</f>
        <v>CID-FLH----2027</v>
      </c>
      <c r="B86" s="49" t="b">
        <f>IF(Educator!A91&gt;0,"topscorewriting.instructure.com")</f>
        <v>0</v>
      </c>
      <c r="C86" s="49" t="str">
        <f>Users!A86</f>
        <v>UID-FLH---2027</v>
      </c>
      <c r="D86" s="49" t="s">
        <v>103</v>
      </c>
      <c r="G86" s="49" t="b">
        <f>IF(Educator!B91&gt;0,"active")</f>
        <v>0</v>
      </c>
    </row>
    <row r="87" spans="1:7" x14ac:dyDescent="0.2">
      <c r="A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","#",3))+1,1)&amp;"-"&amp;LEFT(Educator!B92, 3)&amp;"-"&amp;LEFT(Educator!A92, 3)&amp;"-"&amp;IF(ISNUMBER(Educator!D92),"G"&amp;Educator!D92,Educator!D92)&amp;"-"&amp;"2027"</f>
        <v>CID-FLH----2027</v>
      </c>
      <c r="B87" s="49" t="b">
        <f>IF(Educator!A92&gt;0,"topscorewriting.instructure.com")</f>
        <v>0</v>
      </c>
      <c r="C87" s="49" t="str">
        <f>Users!A87</f>
        <v>UID-FLH---2027</v>
      </c>
      <c r="D87" s="49" t="s">
        <v>103</v>
      </c>
      <c r="G87" s="49" t="b">
        <f>IF(Educator!B92&gt;0,"active")</f>
        <v>0</v>
      </c>
    </row>
    <row r="88" spans="1:7" x14ac:dyDescent="0.2">
      <c r="A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","#",3))+1,1)&amp;"-"&amp;LEFT(Educator!B93, 3)&amp;"-"&amp;LEFT(Educator!A93, 3)&amp;"-"&amp;IF(ISNUMBER(Educator!D93),"G"&amp;Educator!D93,Educator!D93)&amp;"-"&amp;"2027"</f>
        <v>CID-FLH----2027</v>
      </c>
      <c r="B88" s="49" t="b">
        <f>IF(Educator!A93&gt;0,"topscorewriting.instructure.com")</f>
        <v>0</v>
      </c>
      <c r="C88" s="49" t="str">
        <f>Users!A88</f>
        <v>UID-FLH---2027</v>
      </c>
      <c r="D88" s="49" t="s">
        <v>103</v>
      </c>
      <c r="G88" s="49" t="b">
        <f>IF(Educator!B93&gt;0,"active")</f>
        <v>0</v>
      </c>
    </row>
    <row r="89" spans="1:7" x14ac:dyDescent="0.2">
      <c r="A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","#",3))+1,1)&amp;"-"&amp;LEFT(Educator!B94, 3)&amp;"-"&amp;LEFT(Educator!A94, 3)&amp;"-"&amp;IF(ISNUMBER(Educator!D94),"G"&amp;Educator!D94,Educator!D94)&amp;"-"&amp;"2027"</f>
        <v>CID-FLH----2027</v>
      </c>
      <c r="B89" s="49" t="b">
        <f>IF(Educator!A94&gt;0,"topscorewriting.instructure.com")</f>
        <v>0</v>
      </c>
      <c r="C89" s="49" t="str">
        <f>Users!A89</f>
        <v>UID-FLH---2027</v>
      </c>
      <c r="D89" s="49" t="s">
        <v>103</v>
      </c>
      <c r="G89" s="49" t="b">
        <f>IF(Educator!B94&gt;0,"active")</f>
        <v>0</v>
      </c>
    </row>
    <row r="90" spans="1:7" x14ac:dyDescent="0.2">
      <c r="A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","#",3))+1,1)&amp;"-"&amp;LEFT(Educator!B95, 3)&amp;"-"&amp;LEFT(Educator!A95, 3)&amp;"-"&amp;IF(ISNUMBER(Educator!D95),"G"&amp;Educator!D95,Educator!D95)&amp;"-"&amp;"2027"</f>
        <v>CID-FLH----2027</v>
      </c>
      <c r="B90" s="49" t="b">
        <f>IF(Educator!A95&gt;0,"topscorewriting.instructure.com")</f>
        <v>0</v>
      </c>
      <c r="C90" s="49" t="str">
        <f>Users!A90</f>
        <v>UID-FLH---2027</v>
      </c>
      <c r="D90" s="49" t="s">
        <v>103</v>
      </c>
      <c r="G90" s="49" t="b">
        <f>IF(Educator!B95&gt;0,"active")</f>
        <v>0</v>
      </c>
    </row>
    <row r="91" spans="1:7" x14ac:dyDescent="0.2">
      <c r="A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","#",3))+1,1)&amp;"-"&amp;LEFT(Educator!B96, 3)&amp;"-"&amp;LEFT(Educator!A96, 3)&amp;"-"&amp;IF(ISNUMBER(Educator!D96),"G"&amp;Educator!D96,Educator!D96)&amp;"-"&amp;"2027"</f>
        <v>CID-FLH----2027</v>
      </c>
      <c r="B91" s="49" t="b">
        <f>IF(Educator!A96&gt;0,"topscorewriting.instructure.com")</f>
        <v>0</v>
      </c>
      <c r="C91" s="49" t="str">
        <f>Users!A91</f>
        <v>UID-FLH---2027</v>
      </c>
      <c r="D91" s="49" t="s">
        <v>103</v>
      </c>
      <c r="G91" s="49" t="b">
        <f>IF(Educator!B96&gt;0,"active")</f>
        <v>0</v>
      </c>
    </row>
    <row r="92" spans="1:7" x14ac:dyDescent="0.2">
      <c r="A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","#",3))+1,1)&amp;"-"&amp;LEFT(Educator!B97, 3)&amp;"-"&amp;LEFT(Educator!A97, 3)&amp;"-"&amp;IF(ISNUMBER(Educator!D97),"G"&amp;Educator!D97,Educator!D97)&amp;"-"&amp;"2027"</f>
        <v>CID-FLH----2027</v>
      </c>
      <c r="B92" s="49" t="b">
        <f>IF(Educator!A97&gt;0,"topscorewriting.instructure.com")</f>
        <v>0</v>
      </c>
      <c r="C92" s="49" t="str">
        <f>Users!A92</f>
        <v>UID-FLH---2027</v>
      </c>
      <c r="D92" s="49" t="s">
        <v>103</v>
      </c>
      <c r="G92" s="49" t="b">
        <f>IF(Educator!B97&gt;0,"active")</f>
        <v>0</v>
      </c>
    </row>
    <row r="93" spans="1:7" x14ac:dyDescent="0.2">
      <c r="A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","#",3))+1,1)&amp;"-"&amp;LEFT(Educator!B98, 3)&amp;"-"&amp;LEFT(Educator!A98, 3)&amp;"-"&amp;IF(ISNUMBER(Educator!D98),"G"&amp;Educator!D98,Educator!D98)&amp;"-"&amp;"2027"</f>
        <v>CID-FLH----2027</v>
      </c>
      <c r="B93" s="49" t="b">
        <f>IF(Educator!A98&gt;0,"topscorewriting.instructure.com")</f>
        <v>0</v>
      </c>
      <c r="C93" s="49" t="str">
        <f>Users!A93</f>
        <v>UID-FLH---2027</v>
      </c>
      <c r="D93" s="49" t="s">
        <v>103</v>
      </c>
      <c r="G93" s="49" t="b">
        <f>IF(Educator!B98&gt;0,"active")</f>
        <v>0</v>
      </c>
    </row>
    <row r="94" spans="1:7" x14ac:dyDescent="0.2">
      <c r="A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","#",3))+1,1)&amp;"-"&amp;LEFT(Educator!B99, 3)&amp;"-"&amp;LEFT(Educator!A99, 3)&amp;"-"&amp;IF(ISNUMBER(Educator!D99),"G"&amp;Educator!D99,Educator!D99)&amp;"-"&amp;"2027"</f>
        <v>CID-FLH----2027</v>
      </c>
      <c r="B94" s="49" t="b">
        <f>IF(Educator!A99&gt;0,"topscorewriting.instructure.com")</f>
        <v>0</v>
      </c>
      <c r="C94" s="49" t="str">
        <f>Users!A94</f>
        <v>UID-FLH---2027</v>
      </c>
      <c r="D94" s="49" t="s">
        <v>103</v>
      </c>
      <c r="G94" s="49" t="b">
        <f>IF(Educator!B99&gt;0,"active")</f>
        <v>0</v>
      </c>
    </row>
    <row r="95" spans="1:7" x14ac:dyDescent="0.2">
      <c r="A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","#",3))+1,1)&amp;"-"&amp;LEFT(Educator!B100, 3)&amp;"-"&amp;LEFT(Educator!A100, 3)&amp;"-"&amp;IF(ISNUMBER(Educator!D100),"G"&amp;Educator!D100,Educator!D100)&amp;"-"&amp;"2027"</f>
        <v>CID-FLH----2027</v>
      </c>
      <c r="B95" s="49" t="b">
        <f>IF(Educator!A100&gt;0,"topscorewriting.instructure.com")</f>
        <v>0</v>
      </c>
      <c r="C95" s="49" t="str">
        <f>Users!A95</f>
        <v>UID-FLH---2027</v>
      </c>
      <c r="D95" s="49" t="s">
        <v>103</v>
      </c>
      <c r="G95" s="49" t="b">
        <f>IF(Educator!B100&gt;0,"active")</f>
        <v>0</v>
      </c>
    </row>
    <row r="96" spans="1:7" x14ac:dyDescent="0.2">
      <c r="A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","#",3))+1,1)&amp;"-"&amp;LEFT(Educator!B101, 3)&amp;"-"&amp;LEFT(Educator!A101, 3)&amp;"-"&amp;IF(ISNUMBER(Educator!D101),"G"&amp;Educator!D101,Educator!D101)&amp;"-"&amp;"2027"</f>
        <v>CID-FLH----2027</v>
      </c>
      <c r="B96" s="49" t="b">
        <f>IF(Educator!A101&gt;0,"topscorewriting.instructure.com")</f>
        <v>0</v>
      </c>
      <c r="C96" s="49" t="str">
        <f>Users!A96</f>
        <v>UID-FLH---2027</v>
      </c>
      <c r="D96" s="49" t="s">
        <v>103</v>
      </c>
      <c r="G96" s="49" t="b">
        <f>IF(Educator!B101&gt;0,"active")</f>
        <v>0</v>
      </c>
    </row>
    <row r="97" spans="1:7" x14ac:dyDescent="0.2">
      <c r="A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","#",3))+1,1)&amp;"-"&amp;LEFT(Educator!B102, 3)&amp;"-"&amp;LEFT(Educator!A102, 3)&amp;"-"&amp;IF(ISNUMBER(Educator!D102),"G"&amp;Educator!D102,Educator!D102)&amp;"-"&amp;"2027"</f>
        <v>CID-FLH----2027</v>
      </c>
      <c r="B97" s="49" t="b">
        <f>IF(Educator!A102&gt;0,"topscorewriting.instructure.com")</f>
        <v>0</v>
      </c>
      <c r="C97" s="49" t="str">
        <f>Users!A97</f>
        <v>UID-FLH---2027</v>
      </c>
      <c r="D97" s="49" t="s">
        <v>103</v>
      </c>
      <c r="G97" s="49" t="b">
        <f>IF(Educator!B102&gt;0,"active")</f>
        <v>0</v>
      </c>
    </row>
    <row r="98" spans="1:7" x14ac:dyDescent="0.2">
      <c r="A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","#",3))+1,1)&amp;"-"&amp;LEFT(Educator!B103, 3)&amp;"-"&amp;LEFT(Educator!A103, 3)&amp;"-"&amp;IF(ISNUMBER(Educator!D103),"G"&amp;Educator!D103,Educator!D103)&amp;"-"&amp;"2027"</f>
        <v>CID-FLH----2027</v>
      </c>
      <c r="B98" s="49" t="b">
        <f>IF(Educator!A103&gt;0,"topscorewriting.instructure.com")</f>
        <v>0</v>
      </c>
      <c r="C98" s="49" t="str">
        <f>Users!A98</f>
        <v>UID-FLH---2027</v>
      </c>
      <c r="D98" s="49" t="s">
        <v>103</v>
      </c>
      <c r="G98" s="49" t="b">
        <f>IF(Educator!B103&gt;0,"active")</f>
        <v>0</v>
      </c>
    </row>
    <row r="99" spans="1:7" x14ac:dyDescent="0.2">
      <c r="A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","#",3))+1,1)&amp;"-"&amp;LEFT(Educator!B104, 3)&amp;"-"&amp;LEFT(Educator!A104, 3)&amp;"-"&amp;IF(ISNUMBER(Educator!D104),"G"&amp;Educator!D104,Educator!D104)&amp;"-"&amp;"2027"</f>
        <v>CID-FLH----2027</v>
      </c>
      <c r="B99" s="49" t="b">
        <f>IF(Educator!A104&gt;0,"topscorewriting.instructure.com")</f>
        <v>0</v>
      </c>
      <c r="C99" s="49" t="str">
        <f>Users!A99</f>
        <v>UID-FLH---2027</v>
      </c>
      <c r="D99" s="49" t="s">
        <v>103</v>
      </c>
      <c r="G99" s="49" t="b">
        <f>IF(Educator!B104&gt;0,"active")</f>
        <v>0</v>
      </c>
    </row>
    <row r="100" spans="1:7" x14ac:dyDescent="0.2">
      <c r="A1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","#",3))+1,1)&amp;"-"&amp;LEFT(Educator!B105, 3)&amp;"-"&amp;LEFT(Educator!A105, 3)&amp;"-"&amp;IF(ISNUMBER(Educator!D105),"G"&amp;Educator!D105,Educator!D105)&amp;"-"&amp;"2027"</f>
        <v>CID-FLH----2027</v>
      </c>
      <c r="B100" s="49" t="b">
        <f>IF(Educator!A105&gt;0,"topscorewriting.instructure.com")</f>
        <v>0</v>
      </c>
      <c r="C100" s="49" t="str">
        <f>Users!A100</f>
        <v>UID-FLH---2027</v>
      </c>
      <c r="D100" s="49" t="s">
        <v>103</v>
      </c>
      <c r="G100" s="49" t="b">
        <f>IF(Educator!B105&gt;0,"active")</f>
        <v>0</v>
      </c>
    </row>
    <row r="101" spans="1:7" x14ac:dyDescent="0.2">
      <c r="A1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","#",3))+1,1)&amp;"-"&amp;LEFT(Educator!B106, 3)&amp;"-"&amp;LEFT(Educator!A106, 3)&amp;"-"&amp;IF(ISNUMBER(Educator!D106),"G"&amp;Educator!D106,Educator!D106)&amp;"-"&amp;"2027"</f>
        <v>CID-FLH----2027</v>
      </c>
      <c r="B101" s="49" t="b">
        <f>IF(Educator!A106&gt;0,"topscorewriting.instructure.com")</f>
        <v>0</v>
      </c>
      <c r="C101" s="49" t="str">
        <f>Users!A101</f>
        <v>UID-FLH---2027</v>
      </c>
      <c r="D101" s="49" t="s">
        <v>103</v>
      </c>
      <c r="G101" s="49" t="b">
        <f>IF(Educator!B106&gt;0,"active")</f>
        <v>0</v>
      </c>
    </row>
    <row r="102" spans="1:7" x14ac:dyDescent="0.2">
      <c r="A1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","#",3))+1,1)&amp;"-"&amp;LEFT(Educator!B107, 3)&amp;"-"&amp;LEFT(Educator!A107, 3)&amp;"-"&amp;IF(ISNUMBER(Educator!D107),"G"&amp;Educator!D107,Educator!D107)&amp;"-"&amp;"2027"</f>
        <v>CID-FLH----2027</v>
      </c>
      <c r="B102" s="49" t="b">
        <f>IF(Educator!A107&gt;0,"topscorewriting.instructure.com")</f>
        <v>0</v>
      </c>
      <c r="C102" s="49" t="str">
        <f>Users!A102</f>
        <v>UID-FLH---2027</v>
      </c>
      <c r="D102" s="49" t="s">
        <v>103</v>
      </c>
      <c r="G102" s="49" t="b">
        <f>IF(Educator!B107&gt;0,"active")</f>
        <v>0</v>
      </c>
    </row>
    <row r="103" spans="1:7" x14ac:dyDescent="0.2">
      <c r="A1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","#",3))+1,1)&amp;"-"&amp;LEFT(Educator!B108, 3)&amp;"-"&amp;LEFT(Educator!A108, 3)&amp;"-"&amp;IF(ISNUMBER(Educator!D108),"G"&amp;Educator!D108,Educator!D108)&amp;"-"&amp;"2027"</f>
        <v>CID-FLH----2027</v>
      </c>
      <c r="B103" s="49" t="b">
        <f>IF(Educator!A108&gt;0,"topscorewriting.instructure.com")</f>
        <v>0</v>
      </c>
      <c r="C103" s="49" t="str">
        <f>Users!A103</f>
        <v>UID-FLH---2027</v>
      </c>
      <c r="D103" s="49" t="s">
        <v>103</v>
      </c>
      <c r="G103" s="49" t="b">
        <f>IF(Educator!B108&gt;0,"active")</f>
        <v>0</v>
      </c>
    </row>
    <row r="104" spans="1:7" x14ac:dyDescent="0.2">
      <c r="A1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","#",3))+1,1)&amp;"-"&amp;LEFT(Educator!B109, 3)&amp;"-"&amp;LEFT(Educator!A109, 3)&amp;"-"&amp;IF(ISNUMBER(Educator!D109),"G"&amp;Educator!D109,Educator!D109)&amp;"-"&amp;"2027"</f>
        <v>CID-FLH----2027</v>
      </c>
      <c r="B104" s="49" t="b">
        <f>IF(Educator!A109&gt;0,"topscorewriting.instructure.com")</f>
        <v>0</v>
      </c>
      <c r="C104" s="49" t="str">
        <f>Users!A104</f>
        <v>UID-FLH---2027</v>
      </c>
      <c r="D104" s="49" t="s">
        <v>103</v>
      </c>
      <c r="G104" s="49" t="b">
        <f>IF(Educator!B109&gt;0,"active")</f>
        <v>0</v>
      </c>
    </row>
    <row r="105" spans="1:7" x14ac:dyDescent="0.2">
      <c r="A1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","#",3))+1,1)&amp;"-"&amp;LEFT(Educator!B110, 3)&amp;"-"&amp;LEFT(Educator!A110, 3)&amp;"-"&amp;IF(ISNUMBER(Educator!D110),"G"&amp;Educator!D110,Educator!D110)&amp;"-"&amp;"2027"</f>
        <v>CID-FLH----2027</v>
      </c>
      <c r="B105" s="49" t="b">
        <f>IF(Educator!A110&gt;0,"topscorewriting.instructure.com")</f>
        <v>0</v>
      </c>
      <c r="C105" s="49" t="str">
        <f>Users!A105</f>
        <v>UID-FLH---2027</v>
      </c>
      <c r="D105" s="49" t="s">
        <v>103</v>
      </c>
      <c r="G105" s="49" t="b">
        <f>IF(Educator!B110&gt;0,"active")</f>
        <v>0</v>
      </c>
    </row>
    <row r="106" spans="1:7" x14ac:dyDescent="0.2">
      <c r="A1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","#",3))+1,1)&amp;"-"&amp;LEFT(Educator!B111, 3)&amp;"-"&amp;LEFT(Educator!A111, 3)&amp;"-"&amp;IF(ISNUMBER(Educator!D111),"G"&amp;Educator!D111,Educator!D111)&amp;"-"&amp;"2027"</f>
        <v>CID-FLH----2027</v>
      </c>
      <c r="B106" s="49" t="b">
        <f>IF(Educator!A111&gt;0,"topscorewriting.instructure.com")</f>
        <v>0</v>
      </c>
      <c r="C106" s="49" t="str">
        <f>Users!A106</f>
        <v>UID-FLH---2027</v>
      </c>
      <c r="D106" s="49" t="s">
        <v>103</v>
      </c>
      <c r="G106" s="49" t="b">
        <f>IF(Educator!B111&gt;0,"active")</f>
        <v>0</v>
      </c>
    </row>
    <row r="107" spans="1:7" x14ac:dyDescent="0.2">
      <c r="A1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","#",3))+1,1)&amp;"-"&amp;LEFT(Educator!B112, 3)&amp;"-"&amp;LEFT(Educator!A112, 3)&amp;"-"&amp;IF(ISNUMBER(Educator!D112),"G"&amp;Educator!D112,Educator!D112)&amp;"-"&amp;"2027"</f>
        <v>CID-FLH----2027</v>
      </c>
      <c r="B107" s="49" t="b">
        <f>IF(Educator!A112&gt;0,"topscorewriting.instructure.com")</f>
        <v>0</v>
      </c>
      <c r="C107" s="49" t="str">
        <f>Users!A107</f>
        <v>UID-FLH---2027</v>
      </c>
      <c r="D107" s="49" t="s">
        <v>103</v>
      </c>
      <c r="G107" s="49" t="b">
        <f>IF(Educator!B112&gt;0,"active")</f>
        <v>0</v>
      </c>
    </row>
    <row r="108" spans="1:7" x14ac:dyDescent="0.2">
      <c r="A1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","#",3))+1,1)&amp;"-"&amp;LEFT(Educator!B113, 3)&amp;"-"&amp;LEFT(Educator!A113, 3)&amp;"-"&amp;IF(ISNUMBER(Educator!D113),"G"&amp;Educator!D113,Educator!D113)&amp;"-"&amp;"2027"</f>
        <v>CID-FLH----2027</v>
      </c>
      <c r="B108" s="49" t="b">
        <f>IF(Educator!A113&gt;0,"topscorewriting.instructure.com")</f>
        <v>0</v>
      </c>
      <c r="C108" s="49" t="str">
        <f>Users!A108</f>
        <v>UID-FLH---2027</v>
      </c>
      <c r="D108" s="49" t="s">
        <v>103</v>
      </c>
      <c r="G108" s="49" t="b">
        <f>IF(Educator!B113&gt;0,"active")</f>
        <v>0</v>
      </c>
    </row>
    <row r="109" spans="1:7" x14ac:dyDescent="0.2">
      <c r="A1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","#",3))+1,1)&amp;"-"&amp;LEFT(Educator!B114, 3)&amp;"-"&amp;LEFT(Educator!A114, 3)&amp;"-"&amp;IF(ISNUMBER(Educator!D114),"G"&amp;Educator!D114,Educator!D114)&amp;"-"&amp;"2027"</f>
        <v>CID-FLH----2027</v>
      </c>
      <c r="B109" s="49" t="b">
        <f>IF(Educator!A114&gt;0,"topscorewriting.instructure.com")</f>
        <v>0</v>
      </c>
      <c r="C109" s="49" t="str">
        <f>Users!A109</f>
        <v>UID-FLH---2027</v>
      </c>
      <c r="D109" s="49" t="s">
        <v>103</v>
      </c>
      <c r="G109" s="49" t="b">
        <f>IF(Educator!B114&gt;0,"active")</f>
        <v>0</v>
      </c>
    </row>
    <row r="110" spans="1:7" x14ac:dyDescent="0.2">
      <c r="A1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","#",3))+1,1)&amp;"-"&amp;LEFT(Educator!B115, 3)&amp;"-"&amp;LEFT(Educator!A115, 3)&amp;"-"&amp;IF(ISNUMBER(Educator!D115),"G"&amp;Educator!D115,Educator!D115)&amp;"-"&amp;"2027"</f>
        <v>CID-FLH----2027</v>
      </c>
      <c r="B110" s="49" t="b">
        <f>IF(Educator!A115&gt;0,"topscorewriting.instructure.com")</f>
        <v>0</v>
      </c>
      <c r="C110" s="49" t="str">
        <f>Users!A110</f>
        <v>UID-FLH---2027</v>
      </c>
      <c r="D110" s="49" t="s">
        <v>103</v>
      </c>
      <c r="G110" s="49" t="b">
        <f>IF(Educator!B115&gt;0,"active")</f>
        <v>0</v>
      </c>
    </row>
    <row r="111" spans="1:7" x14ac:dyDescent="0.2">
      <c r="A1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","#",3))+1,1)&amp;"-"&amp;LEFT(Educator!B116, 3)&amp;"-"&amp;LEFT(Educator!A116, 3)&amp;"-"&amp;IF(ISNUMBER(Educator!D116),"G"&amp;Educator!D116,Educator!D116)&amp;"-"&amp;"2027"</f>
        <v>CID-FLH----2027</v>
      </c>
      <c r="B111" s="49" t="b">
        <f>IF(Educator!A116&gt;0,"topscorewriting.instructure.com")</f>
        <v>0</v>
      </c>
      <c r="C111" s="49" t="str">
        <f>Users!A111</f>
        <v>UID-FLH---2027</v>
      </c>
      <c r="D111" s="49" t="s">
        <v>103</v>
      </c>
      <c r="G111" s="49" t="b">
        <f>IF(Educator!B116&gt;0,"active")</f>
        <v>0</v>
      </c>
    </row>
    <row r="112" spans="1:7" x14ac:dyDescent="0.2">
      <c r="A1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","#",3))+1,1)&amp;"-"&amp;LEFT(Educator!B117, 3)&amp;"-"&amp;LEFT(Educator!A117, 3)&amp;"-"&amp;IF(ISNUMBER(Educator!D117),"G"&amp;Educator!D117,Educator!D117)&amp;"-"&amp;"2027"</f>
        <v>CID-FLH----2027</v>
      </c>
      <c r="B112" s="49" t="b">
        <f>IF(Educator!A117&gt;0,"topscorewriting.instructure.com")</f>
        <v>0</v>
      </c>
      <c r="C112" s="49" t="str">
        <f>Users!A112</f>
        <v>UID-FLH---2027</v>
      </c>
      <c r="D112" s="49" t="s">
        <v>103</v>
      </c>
      <c r="G112" s="49" t="b">
        <f>IF(Educator!B117&gt;0,"active")</f>
        <v>0</v>
      </c>
    </row>
    <row r="113" spans="1:7" x14ac:dyDescent="0.2">
      <c r="A1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","#",3))+1,1)&amp;"-"&amp;LEFT(Educator!B118, 3)&amp;"-"&amp;LEFT(Educator!A118, 3)&amp;"-"&amp;IF(ISNUMBER(Educator!D118),"G"&amp;Educator!D118,Educator!D118)&amp;"-"&amp;"2027"</f>
        <v>CID-FLH----2027</v>
      </c>
      <c r="B113" s="49" t="b">
        <f>IF(Educator!A118&gt;0,"topscorewriting.instructure.com")</f>
        <v>0</v>
      </c>
      <c r="C113" s="49" t="str">
        <f>Users!A113</f>
        <v>UID-FLH---2027</v>
      </c>
      <c r="D113" s="49" t="s">
        <v>103</v>
      </c>
      <c r="G113" s="49" t="b">
        <f>IF(Educator!B118&gt;0,"active")</f>
        <v>0</v>
      </c>
    </row>
    <row r="114" spans="1:7" x14ac:dyDescent="0.2">
      <c r="A1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","#",3))+1,1)&amp;"-"&amp;LEFT(Educator!B119, 3)&amp;"-"&amp;LEFT(Educator!A119, 3)&amp;"-"&amp;IF(ISNUMBER(Educator!D119),"G"&amp;Educator!D119,Educator!D119)&amp;"-"&amp;"2027"</f>
        <v>CID-FLH----2027</v>
      </c>
      <c r="B114" s="49" t="b">
        <f>IF(Educator!A119&gt;0,"topscorewriting.instructure.com")</f>
        <v>0</v>
      </c>
      <c r="C114" s="49" t="str">
        <f>Users!A114</f>
        <v>UID-FLH---2027</v>
      </c>
      <c r="D114" s="49" t="s">
        <v>103</v>
      </c>
      <c r="G114" s="49" t="b">
        <f>IF(Educator!B119&gt;0,"active")</f>
        <v>0</v>
      </c>
    </row>
    <row r="115" spans="1:7" x14ac:dyDescent="0.2">
      <c r="A1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","#",3))+1,1)&amp;"-"&amp;LEFT(Educator!B120, 3)&amp;"-"&amp;LEFT(Educator!A120, 3)&amp;"-"&amp;IF(ISNUMBER(Educator!D120),"G"&amp;Educator!D120,Educator!D120)&amp;"-"&amp;"2027"</f>
        <v>CID-FLH----2027</v>
      </c>
      <c r="B115" s="49" t="b">
        <f>IF(Educator!A120&gt;0,"topscorewriting.instructure.com")</f>
        <v>0</v>
      </c>
      <c r="C115" s="49" t="str">
        <f>Users!A115</f>
        <v>UID-FLH---2027</v>
      </c>
      <c r="D115" s="49" t="s">
        <v>103</v>
      </c>
      <c r="G115" s="49" t="b">
        <f>IF(Educator!B120&gt;0,"active")</f>
        <v>0</v>
      </c>
    </row>
    <row r="116" spans="1:7" x14ac:dyDescent="0.2">
      <c r="A1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","#",3))+1,1)&amp;"-"&amp;LEFT(Educator!B121, 3)&amp;"-"&amp;LEFT(Educator!A121, 3)&amp;"-"&amp;IF(ISNUMBER(Educator!D121),"G"&amp;Educator!D121,Educator!D121)&amp;"-"&amp;"2027"</f>
        <v>CID-FLH----2027</v>
      </c>
      <c r="B116" s="49" t="b">
        <f>IF(Educator!A121&gt;0,"topscorewriting.instructure.com")</f>
        <v>0</v>
      </c>
      <c r="C116" s="49" t="str">
        <f>Users!A116</f>
        <v>UID-FLH---2027</v>
      </c>
      <c r="D116" s="49" t="s">
        <v>103</v>
      </c>
      <c r="G116" s="49" t="b">
        <f>IF(Educator!B121&gt;0,"active")</f>
        <v>0</v>
      </c>
    </row>
    <row r="117" spans="1:7" x14ac:dyDescent="0.2">
      <c r="A1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","#",3))+1,1)&amp;"-"&amp;LEFT(Educator!B122, 3)&amp;"-"&amp;LEFT(Educator!A122, 3)&amp;"-"&amp;IF(ISNUMBER(Educator!D122),"G"&amp;Educator!D122,Educator!D122)&amp;"-"&amp;"2027"</f>
        <v>CID-FLH----2027</v>
      </c>
      <c r="B117" s="49" t="b">
        <f>IF(Educator!A122&gt;0,"topscorewriting.instructure.com")</f>
        <v>0</v>
      </c>
      <c r="C117" s="49" t="str">
        <f>Users!A117</f>
        <v>UID-FLH---2027</v>
      </c>
      <c r="D117" s="49" t="s">
        <v>103</v>
      </c>
      <c r="G117" s="49" t="b">
        <f>IF(Educator!B122&gt;0,"active")</f>
        <v>0</v>
      </c>
    </row>
    <row r="118" spans="1:7" x14ac:dyDescent="0.2">
      <c r="A1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","#",3))+1,1)&amp;"-"&amp;LEFT(Educator!B123, 3)&amp;"-"&amp;LEFT(Educator!A123, 3)&amp;"-"&amp;IF(ISNUMBER(Educator!D123),"G"&amp;Educator!D123,Educator!D123)&amp;"-"&amp;"2027"</f>
        <v>CID-FLH----2027</v>
      </c>
      <c r="B118" s="49" t="b">
        <f>IF(Educator!A123&gt;0,"topscorewriting.instructure.com")</f>
        <v>0</v>
      </c>
      <c r="C118" s="49" t="str">
        <f>Users!A118</f>
        <v>UID-FLH---2027</v>
      </c>
      <c r="D118" s="49" t="s">
        <v>103</v>
      </c>
      <c r="G118" s="49" t="b">
        <f>IF(Educator!B123&gt;0,"active")</f>
        <v>0</v>
      </c>
    </row>
    <row r="119" spans="1:7" x14ac:dyDescent="0.2">
      <c r="A1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","#",3))+1,1)&amp;"-"&amp;LEFT(Educator!B124, 3)&amp;"-"&amp;LEFT(Educator!A124, 3)&amp;"-"&amp;IF(ISNUMBER(Educator!D124),"G"&amp;Educator!D124,Educator!D124)&amp;"-"&amp;"2027"</f>
        <v>CID-FLH----2027</v>
      </c>
      <c r="B119" s="49" t="b">
        <f>IF(Educator!A124&gt;0,"topscorewriting.instructure.com")</f>
        <v>0</v>
      </c>
      <c r="C119" s="49" t="str">
        <f>Users!A119</f>
        <v>UID-FLH---2027</v>
      </c>
      <c r="D119" s="49" t="s">
        <v>103</v>
      </c>
      <c r="G119" s="49" t="b">
        <f>IF(Educator!B124&gt;0,"active")</f>
        <v>0</v>
      </c>
    </row>
    <row r="120" spans="1:7" x14ac:dyDescent="0.2">
      <c r="A1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","#",3))+1,1)&amp;"-"&amp;LEFT(Educator!B125, 3)&amp;"-"&amp;LEFT(Educator!A125, 3)&amp;"-"&amp;IF(ISNUMBER(Educator!D125),"G"&amp;Educator!D125,Educator!D125)&amp;"-"&amp;"2027"</f>
        <v>CID-FLH----2027</v>
      </c>
      <c r="B120" s="49" t="b">
        <f>IF(Educator!A125&gt;0,"topscorewriting.instructure.com")</f>
        <v>0</v>
      </c>
      <c r="C120" s="49" t="str">
        <f>Users!A120</f>
        <v>UID-FLH---2027</v>
      </c>
      <c r="D120" s="49" t="s">
        <v>103</v>
      </c>
      <c r="G120" s="49" t="b">
        <f>IF(Educator!B125&gt;0,"active")</f>
        <v>0</v>
      </c>
    </row>
    <row r="121" spans="1:7" x14ac:dyDescent="0.2">
      <c r="A1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","#",3))+1,1)&amp;"-"&amp;LEFT(Educator!B126, 3)&amp;"-"&amp;LEFT(Educator!A126, 3)&amp;"-"&amp;IF(ISNUMBER(Educator!D126),"G"&amp;Educator!D126,Educator!D126)&amp;"-"&amp;"2027"</f>
        <v>CID-FLH----2027</v>
      </c>
      <c r="B121" s="49" t="b">
        <f>IF(Educator!A126&gt;0,"topscorewriting.instructure.com")</f>
        <v>0</v>
      </c>
      <c r="C121" s="49" t="str">
        <f>Users!A121</f>
        <v>UID-FLH---2027</v>
      </c>
      <c r="D121" s="49" t="s">
        <v>103</v>
      </c>
      <c r="G121" s="49" t="b">
        <f>IF(Educator!B126&gt;0,"active")</f>
        <v>0</v>
      </c>
    </row>
    <row r="122" spans="1:7" x14ac:dyDescent="0.2">
      <c r="A1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","#",3))+1,1)&amp;"-"&amp;LEFT(Educator!B127, 3)&amp;"-"&amp;LEFT(Educator!A127, 3)&amp;"-"&amp;IF(ISNUMBER(Educator!D127),"G"&amp;Educator!D127,Educator!D127)&amp;"-"&amp;"2027"</f>
        <v>CID-FLH----2027</v>
      </c>
      <c r="B122" s="49" t="b">
        <f>IF(Educator!A127&gt;0,"topscorewriting.instructure.com")</f>
        <v>0</v>
      </c>
      <c r="C122" s="49" t="str">
        <f>Users!A122</f>
        <v>UID-FLH---2027</v>
      </c>
      <c r="D122" s="49" t="s">
        <v>103</v>
      </c>
      <c r="G122" s="49" t="b">
        <f>IF(Educator!B127&gt;0,"active")</f>
        <v>0</v>
      </c>
    </row>
    <row r="123" spans="1:7" x14ac:dyDescent="0.2">
      <c r="A1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","#",3))+1,1)&amp;"-"&amp;LEFT(Educator!B128, 3)&amp;"-"&amp;LEFT(Educator!A128, 3)&amp;"-"&amp;IF(ISNUMBER(Educator!D128),"G"&amp;Educator!D128,Educator!D128)&amp;"-"&amp;"2027"</f>
        <v>CID-FLH----2027</v>
      </c>
      <c r="B123" s="49" t="b">
        <f>IF(Educator!A128&gt;0,"topscorewriting.instructure.com")</f>
        <v>0</v>
      </c>
      <c r="C123" s="49" t="str">
        <f>Users!A123</f>
        <v>UID-FLH---2027</v>
      </c>
      <c r="D123" s="49" t="s">
        <v>103</v>
      </c>
      <c r="G123" s="49" t="b">
        <f>IF(Educator!B128&gt;0,"active")</f>
        <v>0</v>
      </c>
    </row>
    <row r="124" spans="1:7" x14ac:dyDescent="0.2">
      <c r="A1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","#",3))+1,1)&amp;"-"&amp;LEFT(Educator!B129, 3)&amp;"-"&amp;LEFT(Educator!A129, 3)&amp;"-"&amp;IF(ISNUMBER(Educator!D129),"G"&amp;Educator!D129,Educator!D129)&amp;"-"&amp;"2027"</f>
        <v>CID-FLH----2027</v>
      </c>
      <c r="B124" s="49" t="b">
        <f>IF(Educator!A129&gt;0,"topscorewriting.instructure.com")</f>
        <v>0</v>
      </c>
      <c r="C124" s="49" t="str">
        <f>Users!A124</f>
        <v>UID-FLH---2027</v>
      </c>
      <c r="D124" s="49" t="s">
        <v>103</v>
      </c>
      <c r="G124" s="49" t="b">
        <f>IF(Educator!B129&gt;0,"active")</f>
        <v>0</v>
      </c>
    </row>
    <row r="125" spans="1:7" x14ac:dyDescent="0.2">
      <c r="A1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","#",3))+1,1)&amp;"-"&amp;LEFT(Educator!B130, 3)&amp;"-"&amp;LEFT(Educator!A130, 3)&amp;"-"&amp;IF(ISNUMBER(Educator!D130),"G"&amp;Educator!D130,Educator!D130)&amp;"-"&amp;"2027"</f>
        <v>CID-FLH----2027</v>
      </c>
      <c r="B125" s="49" t="b">
        <f>IF(Educator!A130&gt;0,"topscorewriting.instructure.com")</f>
        <v>0</v>
      </c>
      <c r="C125" s="49" t="str">
        <f>Users!A125</f>
        <v>UID-FLH---2027</v>
      </c>
      <c r="D125" s="49" t="s">
        <v>103</v>
      </c>
      <c r="G125" s="49" t="b">
        <f>IF(Educator!B130&gt;0,"active")</f>
        <v>0</v>
      </c>
    </row>
    <row r="126" spans="1:7" x14ac:dyDescent="0.2">
      <c r="A1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","#",3))+1,1)&amp;"-"&amp;LEFT(Educator!B131, 3)&amp;"-"&amp;LEFT(Educator!A131, 3)&amp;"-"&amp;IF(ISNUMBER(Educator!D131),"G"&amp;Educator!D131,Educator!D131)&amp;"-"&amp;"2027"</f>
        <v>CID-FLH----2027</v>
      </c>
      <c r="B126" s="49" t="b">
        <f>IF(Educator!A131&gt;0,"topscorewriting.instructure.com")</f>
        <v>0</v>
      </c>
      <c r="C126" s="49" t="str">
        <f>Users!A126</f>
        <v>UID-FLH---2027</v>
      </c>
      <c r="D126" s="49" t="s">
        <v>103</v>
      </c>
      <c r="G126" s="49" t="b">
        <f>IF(Educator!B131&gt;0,"active")</f>
        <v>0</v>
      </c>
    </row>
    <row r="127" spans="1:7" x14ac:dyDescent="0.2">
      <c r="A1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","#",3))+1,1)&amp;"-"&amp;LEFT(Educator!B132, 3)&amp;"-"&amp;LEFT(Educator!A132, 3)&amp;"-"&amp;IF(ISNUMBER(Educator!D132),"G"&amp;Educator!D132,Educator!D132)&amp;"-"&amp;"2027"</f>
        <v>CID-FLH----2027</v>
      </c>
      <c r="B127" s="49" t="b">
        <f>IF(Educator!A132&gt;0,"topscorewriting.instructure.com")</f>
        <v>0</v>
      </c>
      <c r="C127" s="49" t="str">
        <f>Users!A127</f>
        <v>UID-FLH---2027</v>
      </c>
      <c r="D127" s="49" t="s">
        <v>103</v>
      </c>
      <c r="G127" s="49" t="b">
        <f>IF(Educator!B132&gt;0,"active")</f>
        <v>0</v>
      </c>
    </row>
    <row r="128" spans="1:7" x14ac:dyDescent="0.2">
      <c r="A1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","#",3))+1,1)&amp;"-"&amp;LEFT(Educator!B133, 3)&amp;"-"&amp;LEFT(Educator!A133, 3)&amp;"-"&amp;IF(ISNUMBER(Educator!D133),"G"&amp;Educator!D133,Educator!D133)&amp;"-"&amp;"2027"</f>
        <v>CID-FLH----2027</v>
      </c>
      <c r="B128" s="49" t="b">
        <f>IF(Educator!A133&gt;0,"topscorewriting.instructure.com")</f>
        <v>0</v>
      </c>
      <c r="C128" s="49" t="str">
        <f>Users!A128</f>
        <v>UID-FLH---2027</v>
      </c>
      <c r="D128" s="49" t="s">
        <v>103</v>
      </c>
      <c r="G128" s="49" t="b">
        <f>IF(Educator!B133&gt;0,"active")</f>
        <v>0</v>
      </c>
    </row>
    <row r="129" spans="1:7" x14ac:dyDescent="0.2">
      <c r="A1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","#",3))+1,1)&amp;"-"&amp;LEFT(Educator!B134, 3)&amp;"-"&amp;LEFT(Educator!A134, 3)&amp;"-"&amp;IF(ISNUMBER(Educator!D134),"G"&amp;Educator!D134,Educator!D134)&amp;"-"&amp;"2027"</f>
        <v>CID-FLH----2027</v>
      </c>
      <c r="B129" s="49" t="b">
        <f>IF(Educator!A134&gt;0,"topscorewriting.instructure.com")</f>
        <v>0</v>
      </c>
      <c r="C129" s="49" t="str">
        <f>Users!A129</f>
        <v>UID-FLH---2027</v>
      </c>
      <c r="D129" s="49" t="s">
        <v>103</v>
      </c>
      <c r="G129" s="49" t="b">
        <f>IF(Educator!B134&gt;0,"active")</f>
        <v>0</v>
      </c>
    </row>
    <row r="130" spans="1:7" x14ac:dyDescent="0.2">
      <c r="A1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","#",3))+1,1)&amp;"-"&amp;LEFT(Educator!B135, 3)&amp;"-"&amp;LEFT(Educator!A135, 3)&amp;"-"&amp;IF(ISNUMBER(Educator!D135),"G"&amp;Educator!D135,Educator!D135)&amp;"-"&amp;"2027"</f>
        <v>CID-FLH----2027</v>
      </c>
      <c r="B130" s="49" t="b">
        <f>IF(Educator!A135&gt;0,"topscorewriting.instructure.com")</f>
        <v>0</v>
      </c>
      <c r="C130" s="49" t="str">
        <f>Users!A130</f>
        <v>UID-FLH---2027</v>
      </c>
      <c r="D130" s="49" t="s">
        <v>103</v>
      </c>
      <c r="G130" s="49" t="b">
        <f>IF(Educator!B135&gt;0,"active")</f>
        <v>0</v>
      </c>
    </row>
    <row r="131" spans="1:7" x14ac:dyDescent="0.2">
      <c r="A1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","#",3))+1,1)&amp;"-"&amp;LEFT(Educator!B136, 3)&amp;"-"&amp;LEFT(Educator!A136, 3)&amp;"-"&amp;IF(ISNUMBER(Educator!D136),"G"&amp;Educator!D136,Educator!D136)&amp;"-"&amp;"2027"</f>
        <v>CID-FLH----2027</v>
      </c>
      <c r="B131" s="49" t="b">
        <f>IF(Educator!A136&gt;0,"topscorewriting.instructure.com")</f>
        <v>0</v>
      </c>
      <c r="C131" s="49" t="str">
        <f>Users!A131</f>
        <v>UID-FLH---2027</v>
      </c>
      <c r="D131" s="49" t="s">
        <v>103</v>
      </c>
      <c r="G131" s="49" t="b">
        <f>IF(Educator!B136&gt;0,"active")</f>
        <v>0</v>
      </c>
    </row>
    <row r="132" spans="1:7" x14ac:dyDescent="0.2">
      <c r="A1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","#",3))+1,1)&amp;"-"&amp;LEFT(Educator!B137, 3)&amp;"-"&amp;LEFT(Educator!A137, 3)&amp;"-"&amp;IF(ISNUMBER(Educator!D137),"G"&amp;Educator!D137,Educator!D137)&amp;"-"&amp;"2027"</f>
        <v>CID-FLH----2027</v>
      </c>
      <c r="B132" s="49" t="b">
        <f>IF(Educator!A137&gt;0,"topscorewriting.instructure.com")</f>
        <v>0</v>
      </c>
      <c r="C132" s="49" t="str">
        <f>Users!A132</f>
        <v>UID-FLH---2027</v>
      </c>
      <c r="D132" s="49" t="s">
        <v>103</v>
      </c>
      <c r="G132" s="49" t="b">
        <f>IF(Educator!B137&gt;0,"active")</f>
        <v>0</v>
      </c>
    </row>
    <row r="133" spans="1:7" x14ac:dyDescent="0.2">
      <c r="A1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","#",3))+1,1)&amp;"-"&amp;LEFT(Educator!B138, 3)&amp;"-"&amp;LEFT(Educator!A138, 3)&amp;"-"&amp;IF(ISNUMBER(Educator!D138),"G"&amp;Educator!D138,Educator!D138)&amp;"-"&amp;"2027"</f>
        <v>CID-FLH----2027</v>
      </c>
      <c r="B133" s="49" t="b">
        <f>IF(Educator!A138&gt;0,"topscorewriting.instructure.com")</f>
        <v>0</v>
      </c>
      <c r="C133" s="49" t="str">
        <f>Users!A133</f>
        <v>UID-FLH---2027</v>
      </c>
      <c r="D133" s="49" t="s">
        <v>103</v>
      </c>
      <c r="G133" s="49" t="b">
        <f>IF(Educator!B138&gt;0,"active")</f>
        <v>0</v>
      </c>
    </row>
    <row r="134" spans="1:7" x14ac:dyDescent="0.2">
      <c r="A1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","#",3))+1,1)&amp;"-"&amp;LEFT(Educator!B139, 3)&amp;"-"&amp;LEFT(Educator!A139, 3)&amp;"-"&amp;IF(ISNUMBER(Educator!D139),"G"&amp;Educator!D139,Educator!D139)&amp;"-"&amp;"2027"</f>
        <v>CID-FLH----2027</v>
      </c>
      <c r="B134" s="49" t="b">
        <f>IF(Educator!A139&gt;0,"topscorewriting.instructure.com")</f>
        <v>0</v>
      </c>
      <c r="C134" s="49" t="str">
        <f>Users!A134</f>
        <v>UID-FLH---2027</v>
      </c>
      <c r="D134" s="49" t="s">
        <v>103</v>
      </c>
      <c r="G134" s="49" t="b">
        <f>IF(Educator!B139&gt;0,"active")</f>
        <v>0</v>
      </c>
    </row>
    <row r="135" spans="1:7" x14ac:dyDescent="0.2">
      <c r="A1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","#",3))+1,1)&amp;"-"&amp;LEFT(Educator!B140, 3)&amp;"-"&amp;LEFT(Educator!A140, 3)&amp;"-"&amp;IF(ISNUMBER(Educator!D140),"G"&amp;Educator!D140,Educator!D140)&amp;"-"&amp;"2027"</f>
        <v>CID-FLH----2027</v>
      </c>
      <c r="B135" s="49" t="b">
        <f>IF(Educator!A140&gt;0,"topscorewriting.instructure.com")</f>
        <v>0</v>
      </c>
      <c r="C135" s="49" t="str">
        <f>Users!A135</f>
        <v>UID-FLH---2027</v>
      </c>
      <c r="D135" s="49" t="s">
        <v>103</v>
      </c>
      <c r="G135" s="49" t="b">
        <f>IF(Educator!B140&gt;0,"active")</f>
        <v>0</v>
      </c>
    </row>
    <row r="136" spans="1:7" x14ac:dyDescent="0.2">
      <c r="A1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","#",3))+1,1)&amp;"-"&amp;LEFT(Educator!B141, 3)&amp;"-"&amp;LEFT(Educator!A141, 3)&amp;"-"&amp;IF(ISNUMBER(Educator!D141),"G"&amp;Educator!D141,Educator!D141)&amp;"-"&amp;"2027"</f>
        <v>CID-FLH----2027</v>
      </c>
      <c r="B136" s="49" t="b">
        <f>IF(Educator!A141&gt;0,"topscorewriting.instructure.com")</f>
        <v>0</v>
      </c>
      <c r="C136" s="49" t="str">
        <f>Users!A136</f>
        <v>UID-FLH---2027</v>
      </c>
      <c r="D136" s="49" t="s">
        <v>103</v>
      </c>
      <c r="G136" s="49" t="b">
        <f>IF(Educator!B141&gt;0,"active")</f>
        <v>0</v>
      </c>
    </row>
    <row r="137" spans="1:7" x14ac:dyDescent="0.2">
      <c r="A1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","#",3))+1,1)&amp;"-"&amp;LEFT(Educator!B142, 3)&amp;"-"&amp;LEFT(Educator!A142, 3)&amp;"-"&amp;IF(ISNUMBER(Educator!D142),"G"&amp;Educator!D142,Educator!D142)&amp;"-"&amp;"2027"</f>
        <v>CID-FLH----2027</v>
      </c>
      <c r="B137" s="49" t="b">
        <f>IF(Educator!A142&gt;0,"topscorewriting.instructure.com")</f>
        <v>0</v>
      </c>
      <c r="C137" s="49" t="str">
        <f>Users!A137</f>
        <v>UID-FLH---2027</v>
      </c>
      <c r="D137" s="49" t="s">
        <v>103</v>
      </c>
      <c r="G137" s="49" t="b">
        <f>IF(Educator!B142&gt;0,"active")</f>
        <v>0</v>
      </c>
    </row>
    <row r="138" spans="1:7" x14ac:dyDescent="0.2">
      <c r="A1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","#",3))+1,1)&amp;"-"&amp;LEFT(Educator!B143, 3)&amp;"-"&amp;LEFT(Educator!A143, 3)&amp;"-"&amp;IF(ISNUMBER(Educator!D143),"G"&amp;Educator!D143,Educator!D143)&amp;"-"&amp;"2027"</f>
        <v>CID-FLH----2027</v>
      </c>
      <c r="B138" s="49" t="b">
        <f>IF(Educator!A143&gt;0,"topscorewriting.instructure.com")</f>
        <v>0</v>
      </c>
      <c r="C138" s="49" t="str">
        <f>Users!A138</f>
        <v>UID-FLH---2027</v>
      </c>
      <c r="D138" s="49" t="s">
        <v>103</v>
      </c>
      <c r="G138" s="49" t="b">
        <f>IF(Educator!B143&gt;0,"active")</f>
        <v>0</v>
      </c>
    </row>
    <row r="139" spans="1:7" x14ac:dyDescent="0.2">
      <c r="A1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","#",3))+1,1)&amp;"-"&amp;LEFT(Educator!B144, 3)&amp;"-"&amp;LEFT(Educator!A144, 3)&amp;"-"&amp;IF(ISNUMBER(Educator!D144),"G"&amp;Educator!D144,Educator!D144)&amp;"-"&amp;"2027"</f>
        <v>CID-FLH----2027</v>
      </c>
      <c r="B139" s="49" t="b">
        <f>IF(Educator!A144&gt;0,"topscorewriting.instructure.com")</f>
        <v>0</v>
      </c>
      <c r="C139" s="49" t="str">
        <f>Users!A139</f>
        <v>UID-FLH---2027</v>
      </c>
      <c r="D139" s="49" t="s">
        <v>103</v>
      </c>
      <c r="G139" s="49" t="b">
        <f>IF(Educator!B144&gt;0,"active")</f>
        <v>0</v>
      </c>
    </row>
    <row r="140" spans="1:7" x14ac:dyDescent="0.2">
      <c r="A1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","#",3))+1,1)&amp;"-"&amp;LEFT(Educator!B145, 3)&amp;"-"&amp;LEFT(Educator!A145, 3)&amp;"-"&amp;IF(ISNUMBER(Educator!D145),"G"&amp;Educator!D145,Educator!D145)&amp;"-"&amp;"2027"</f>
        <v>CID-FLH----2027</v>
      </c>
      <c r="B140" s="49" t="b">
        <f>IF(Educator!A145&gt;0,"topscorewriting.instructure.com")</f>
        <v>0</v>
      </c>
      <c r="C140" s="49" t="str">
        <f>Users!A140</f>
        <v>UID-FLH---2027</v>
      </c>
      <c r="D140" s="49" t="s">
        <v>103</v>
      </c>
      <c r="G140" s="49" t="b">
        <f>IF(Educator!B145&gt;0,"active")</f>
        <v>0</v>
      </c>
    </row>
    <row r="141" spans="1:7" x14ac:dyDescent="0.2">
      <c r="A1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","#",3))+1,1)&amp;"-"&amp;LEFT(Educator!B146, 3)&amp;"-"&amp;LEFT(Educator!A146, 3)&amp;"-"&amp;IF(ISNUMBER(Educator!D146),"G"&amp;Educator!D146,Educator!D146)&amp;"-"&amp;"2027"</f>
        <v>CID-FLH----2027</v>
      </c>
      <c r="B141" s="49" t="b">
        <f>IF(Educator!A146&gt;0,"topscorewriting.instructure.com")</f>
        <v>0</v>
      </c>
      <c r="C141" s="49" t="str">
        <f>Users!A141</f>
        <v>UID-FLH---2027</v>
      </c>
      <c r="D141" s="49" t="s">
        <v>103</v>
      </c>
      <c r="G141" s="49" t="b">
        <f>IF(Educator!B146&gt;0,"active")</f>
        <v>0</v>
      </c>
    </row>
    <row r="142" spans="1:7" x14ac:dyDescent="0.2">
      <c r="A1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","#",3))+1,1)&amp;"-"&amp;LEFT(Educator!B147, 3)&amp;"-"&amp;LEFT(Educator!A147, 3)&amp;"-"&amp;IF(ISNUMBER(Educator!D147),"G"&amp;Educator!D147,Educator!D147)&amp;"-"&amp;"2027"</f>
        <v>CID-FLH----2027</v>
      </c>
      <c r="B142" s="49" t="b">
        <f>IF(Educator!A147&gt;0,"topscorewriting.instructure.com")</f>
        <v>0</v>
      </c>
      <c r="C142" s="49" t="str">
        <f>Users!A142</f>
        <v>UID-FLH---2027</v>
      </c>
      <c r="D142" s="49" t="s">
        <v>103</v>
      </c>
      <c r="G142" s="49" t="b">
        <f>IF(Educator!B147&gt;0,"active")</f>
        <v>0</v>
      </c>
    </row>
    <row r="143" spans="1:7" x14ac:dyDescent="0.2">
      <c r="A1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","#",3))+1,1)&amp;"-"&amp;LEFT(Educator!B148, 3)&amp;"-"&amp;LEFT(Educator!A148, 3)&amp;"-"&amp;IF(ISNUMBER(Educator!D148),"G"&amp;Educator!D148,Educator!D148)&amp;"-"&amp;"2027"</f>
        <v>CID-FLH----2027</v>
      </c>
      <c r="B143" s="49" t="b">
        <f>IF(Educator!A148&gt;0,"topscorewriting.instructure.com")</f>
        <v>0</v>
      </c>
      <c r="C143" s="49" t="str">
        <f>Users!A143</f>
        <v>UID-FLH---2027</v>
      </c>
      <c r="D143" s="49" t="s">
        <v>103</v>
      </c>
      <c r="G143" s="49" t="b">
        <f>IF(Educator!B148&gt;0,"active")</f>
        <v>0</v>
      </c>
    </row>
    <row r="144" spans="1:7" x14ac:dyDescent="0.2">
      <c r="A1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","#",3))+1,1)&amp;"-"&amp;LEFT(Educator!B149, 3)&amp;"-"&amp;LEFT(Educator!A149, 3)&amp;"-"&amp;IF(ISNUMBER(Educator!D149),"G"&amp;Educator!D149,Educator!D149)&amp;"-"&amp;"2027"</f>
        <v>CID-FLH----2027</v>
      </c>
      <c r="B144" s="49" t="b">
        <f>IF(Educator!A149&gt;0,"topscorewriting.instructure.com")</f>
        <v>0</v>
      </c>
      <c r="C144" s="49" t="str">
        <f>Users!A144</f>
        <v>UID-FLH---2027</v>
      </c>
      <c r="D144" s="49" t="s">
        <v>103</v>
      </c>
      <c r="G144" s="49" t="b">
        <f>IF(Educator!B149&gt;0,"active")</f>
        <v>0</v>
      </c>
    </row>
    <row r="145" spans="1:7" x14ac:dyDescent="0.2">
      <c r="A1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","#",3))+1,1)&amp;"-"&amp;LEFT(Educator!B150, 3)&amp;"-"&amp;LEFT(Educator!A150, 3)&amp;"-"&amp;IF(ISNUMBER(Educator!D150),"G"&amp;Educator!D150,Educator!D150)&amp;"-"&amp;"2027"</f>
        <v>CID-FLH----2027</v>
      </c>
      <c r="B145" s="49" t="b">
        <f>IF(Educator!A150&gt;0,"topscorewriting.instructure.com")</f>
        <v>0</v>
      </c>
      <c r="C145" s="49" t="str">
        <f>Users!A145</f>
        <v>UID-FLH---2027</v>
      </c>
      <c r="D145" s="49" t="s">
        <v>103</v>
      </c>
      <c r="G145" s="49" t="b">
        <f>IF(Educator!B150&gt;0,"active")</f>
        <v>0</v>
      </c>
    </row>
    <row r="146" spans="1:7" x14ac:dyDescent="0.2">
      <c r="A1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","#",3))+1,1)&amp;"-"&amp;LEFT(Educator!B151, 3)&amp;"-"&amp;LEFT(Educator!A151, 3)&amp;"-"&amp;IF(ISNUMBER(Educator!D151),"G"&amp;Educator!D151,Educator!D151)&amp;"-"&amp;"2027"</f>
        <v>CID-FLH----2027</v>
      </c>
      <c r="B146" s="49" t="b">
        <f>IF(Educator!A151&gt;0,"topscorewriting.instructure.com")</f>
        <v>0</v>
      </c>
      <c r="C146" s="49" t="str">
        <f>Users!A146</f>
        <v>UID-FLH---2027</v>
      </c>
      <c r="D146" s="49" t="s">
        <v>103</v>
      </c>
      <c r="G146" s="49" t="b">
        <f>IF(Educator!B151&gt;0,"active")</f>
        <v>0</v>
      </c>
    </row>
    <row r="147" spans="1:7" x14ac:dyDescent="0.2">
      <c r="A1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","#",3))+1,1)&amp;"-"&amp;LEFT(Educator!B152, 3)&amp;"-"&amp;LEFT(Educator!A152, 3)&amp;"-"&amp;IF(ISNUMBER(Educator!D152),"G"&amp;Educator!D152,Educator!D152)&amp;"-"&amp;"2027"</f>
        <v>CID-FLH----2027</v>
      </c>
      <c r="B147" s="49" t="b">
        <f>IF(Educator!A152&gt;0,"topscorewriting.instructure.com")</f>
        <v>0</v>
      </c>
      <c r="C147" s="49" t="str">
        <f>Users!A147</f>
        <v>UID-FLH---2027</v>
      </c>
      <c r="D147" s="49" t="s">
        <v>103</v>
      </c>
      <c r="G147" s="49" t="b">
        <f>IF(Educator!B152&gt;0,"active")</f>
        <v>0</v>
      </c>
    </row>
    <row r="148" spans="1:7" x14ac:dyDescent="0.2">
      <c r="A1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","#",3))+1,1)&amp;"-"&amp;LEFT(Educator!B153, 3)&amp;"-"&amp;LEFT(Educator!A153, 3)&amp;"-"&amp;IF(ISNUMBER(Educator!D153),"G"&amp;Educator!D153,Educator!D153)&amp;"-"&amp;"2027"</f>
        <v>CID-FLH----2027</v>
      </c>
      <c r="B148" s="49" t="b">
        <f>IF(Educator!A153&gt;0,"topscorewriting.instructure.com")</f>
        <v>0</v>
      </c>
      <c r="C148" s="49" t="str">
        <f>Users!A148</f>
        <v>UID-FLH---2027</v>
      </c>
      <c r="D148" s="49" t="s">
        <v>103</v>
      </c>
      <c r="G148" s="49" t="b">
        <f>IF(Educator!B153&gt;0,"active")</f>
        <v>0</v>
      </c>
    </row>
    <row r="149" spans="1:7" x14ac:dyDescent="0.2">
      <c r="A1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","#",3))+1,1)&amp;"-"&amp;LEFT(Educator!B154, 3)&amp;"-"&amp;LEFT(Educator!A154, 3)&amp;"-"&amp;IF(ISNUMBER(Educator!D154),"G"&amp;Educator!D154,Educator!D154)&amp;"-"&amp;"2027"</f>
        <v>CID-FLH----2027</v>
      </c>
      <c r="B149" s="49" t="b">
        <f>IF(Educator!A154&gt;0,"topscorewriting.instructure.com")</f>
        <v>0</v>
      </c>
      <c r="C149" s="49" t="str">
        <f>Users!A149</f>
        <v>UID-FLH---2027</v>
      </c>
      <c r="D149" s="49" t="s">
        <v>103</v>
      </c>
      <c r="G149" s="49" t="b">
        <f>IF(Educator!B154&gt;0,"active")</f>
        <v>0</v>
      </c>
    </row>
    <row r="150" spans="1:7" x14ac:dyDescent="0.2">
      <c r="A1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","#",3))+1,1)&amp;"-"&amp;LEFT(Educator!B155, 3)&amp;"-"&amp;LEFT(Educator!A155, 3)&amp;"-"&amp;IF(ISNUMBER(Educator!D155),"G"&amp;Educator!D155,Educator!D155)&amp;"-"&amp;"2027"</f>
        <v>CID-FLH----2027</v>
      </c>
      <c r="B150" s="49" t="b">
        <f>IF(Educator!A155&gt;0,"topscorewriting.instructure.com")</f>
        <v>0</v>
      </c>
      <c r="C150" s="49" t="str">
        <f>Users!A150</f>
        <v>UID-FLH---2027</v>
      </c>
      <c r="D150" s="49" t="s">
        <v>103</v>
      </c>
      <c r="G150" s="49" t="b">
        <f>IF(Educator!B155&gt;0,"active")</f>
        <v>0</v>
      </c>
    </row>
    <row r="151" spans="1:7" x14ac:dyDescent="0.2">
      <c r="A1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","#",3))+1,1)&amp;"-"&amp;LEFT(Educator!B156, 3)&amp;"-"&amp;LEFT(Educator!A156, 3)&amp;"-"&amp;IF(ISNUMBER(Educator!D156),"G"&amp;Educator!D156,Educator!D156)&amp;"-"&amp;"2027"</f>
        <v>CID-FLH----2027</v>
      </c>
      <c r="B151" s="49" t="b">
        <f>IF(Educator!A156&gt;0,"topscorewriting.instructure.com")</f>
        <v>0</v>
      </c>
      <c r="C151" s="49" t="str">
        <f>Users!A151</f>
        <v>UID-FLH---2027</v>
      </c>
      <c r="D151" s="49" t="s">
        <v>103</v>
      </c>
      <c r="G151" s="49" t="b">
        <f>IF(Educator!B156&gt;0,"active")</f>
        <v>0</v>
      </c>
    </row>
    <row r="152" spans="1:7" x14ac:dyDescent="0.2">
      <c r="A1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","#",3))+1,1)&amp;"-"&amp;LEFT(Educator!B157, 3)&amp;"-"&amp;LEFT(Educator!A157, 3)&amp;"-"&amp;IF(ISNUMBER(Educator!D157),"G"&amp;Educator!D157,Educator!D157)&amp;"-"&amp;"2027"</f>
        <v>CID-FLH----2027</v>
      </c>
      <c r="B152" s="49" t="b">
        <f>IF(Educator!A157&gt;0,"topscorewriting.instructure.com")</f>
        <v>0</v>
      </c>
      <c r="C152" s="49" t="str">
        <f>Users!A152</f>
        <v>UID-FLH---2027</v>
      </c>
      <c r="D152" s="49" t="s">
        <v>103</v>
      </c>
      <c r="G152" s="49" t="b">
        <f>IF(Educator!B157&gt;0,"active")</f>
        <v>0</v>
      </c>
    </row>
    <row r="153" spans="1:7" x14ac:dyDescent="0.2">
      <c r="A1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","#",3))+1,1)&amp;"-"&amp;LEFT(Educator!B158, 3)&amp;"-"&amp;LEFT(Educator!A158, 3)&amp;"-"&amp;IF(ISNUMBER(Educator!D158),"G"&amp;Educator!D158,Educator!D158)&amp;"-"&amp;"2027"</f>
        <v>CID-FLH----2027</v>
      </c>
      <c r="B153" s="49" t="b">
        <f>IF(Educator!A158&gt;0,"topscorewriting.instructure.com")</f>
        <v>0</v>
      </c>
      <c r="C153" s="49" t="str">
        <f>Users!A153</f>
        <v>UID-FLH---2027</v>
      </c>
      <c r="D153" s="49" t="s">
        <v>103</v>
      </c>
      <c r="G153" s="49" t="b">
        <f>IF(Educator!B158&gt;0,"active")</f>
        <v>0</v>
      </c>
    </row>
    <row r="154" spans="1:7" x14ac:dyDescent="0.2">
      <c r="A1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","#",3))+1,1)&amp;"-"&amp;LEFT(Educator!B159, 3)&amp;"-"&amp;LEFT(Educator!A159, 3)&amp;"-"&amp;IF(ISNUMBER(Educator!D159),"G"&amp;Educator!D159,Educator!D159)&amp;"-"&amp;"2027"</f>
        <v>CID-FLH----2027</v>
      </c>
      <c r="B154" s="49" t="b">
        <f>IF(Educator!A159&gt;0,"topscorewriting.instructure.com")</f>
        <v>0</v>
      </c>
      <c r="C154" s="49" t="str">
        <f>Users!A154</f>
        <v>UID-FLH---2027</v>
      </c>
      <c r="D154" s="49" t="s">
        <v>103</v>
      </c>
      <c r="G154" s="49" t="b">
        <f>IF(Educator!B159&gt;0,"active")</f>
        <v>0</v>
      </c>
    </row>
    <row r="155" spans="1:7" x14ac:dyDescent="0.2">
      <c r="A1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","#",3))+1,1)&amp;"-"&amp;LEFT(Educator!B160, 3)&amp;"-"&amp;LEFT(Educator!A160, 3)&amp;"-"&amp;IF(ISNUMBER(Educator!D160),"G"&amp;Educator!D160,Educator!D160)&amp;"-"&amp;"2027"</f>
        <v>CID-FLH----2027</v>
      </c>
      <c r="B155" s="49" t="b">
        <f>IF(Educator!A160&gt;0,"topscorewriting.instructure.com")</f>
        <v>0</v>
      </c>
      <c r="C155" s="49" t="str">
        <f>Users!A155</f>
        <v>UID-FLH---2027</v>
      </c>
      <c r="D155" s="49" t="s">
        <v>103</v>
      </c>
      <c r="G155" s="49" t="b">
        <f>IF(Educator!B160&gt;0,"active")</f>
        <v>0</v>
      </c>
    </row>
    <row r="156" spans="1:7" x14ac:dyDescent="0.2">
      <c r="A1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","#",3))+1,1)&amp;"-"&amp;LEFT(Educator!B161, 3)&amp;"-"&amp;LEFT(Educator!A161, 3)&amp;"-"&amp;IF(ISNUMBER(Educator!D161),"G"&amp;Educator!D161,Educator!D161)&amp;"-"&amp;"2027"</f>
        <v>CID-FLH----2027</v>
      </c>
      <c r="B156" s="49" t="b">
        <f>IF(Educator!A161&gt;0,"topscorewriting.instructure.com")</f>
        <v>0</v>
      </c>
      <c r="C156" s="49" t="str">
        <f>Users!A156</f>
        <v>UID-FLH---2027</v>
      </c>
      <c r="D156" s="49" t="s">
        <v>103</v>
      </c>
      <c r="G156" s="49" t="b">
        <f>IF(Educator!B161&gt;0,"active")</f>
        <v>0</v>
      </c>
    </row>
    <row r="157" spans="1:7" x14ac:dyDescent="0.2">
      <c r="A1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","#",3))+1,1)&amp;"-"&amp;LEFT(Educator!B162, 3)&amp;"-"&amp;LEFT(Educator!A162, 3)&amp;"-"&amp;IF(ISNUMBER(Educator!D162),"G"&amp;Educator!D162,Educator!D162)&amp;"-"&amp;"2027"</f>
        <v>CID-FLH----2027</v>
      </c>
      <c r="B157" s="49" t="b">
        <f>IF(Educator!A162&gt;0,"topscorewriting.instructure.com")</f>
        <v>0</v>
      </c>
      <c r="C157" s="49" t="str">
        <f>Users!A157</f>
        <v>UID-FLH---2027</v>
      </c>
      <c r="D157" s="49" t="s">
        <v>103</v>
      </c>
      <c r="G157" s="49" t="b">
        <f>IF(Educator!B162&gt;0,"active")</f>
        <v>0</v>
      </c>
    </row>
    <row r="158" spans="1:7" x14ac:dyDescent="0.2">
      <c r="A1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","#",3))+1,1)&amp;"-"&amp;LEFT(Educator!B163, 3)&amp;"-"&amp;LEFT(Educator!A163, 3)&amp;"-"&amp;IF(ISNUMBER(Educator!D163),"G"&amp;Educator!D163,Educator!D163)&amp;"-"&amp;"2027"</f>
        <v>CID-FLH----2027</v>
      </c>
      <c r="B158" s="49" t="b">
        <f>IF(Educator!A163&gt;0,"topscorewriting.instructure.com")</f>
        <v>0</v>
      </c>
      <c r="C158" s="49" t="str">
        <f>Users!A158</f>
        <v>UID-FLH---2027</v>
      </c>
      <c r="D158" s="49" t="s">
        <v>103</v>
      </c>
      <c r="G158" s="49" t="b">
        <f>IF(Educator!B163&gt;0,"active")</f>
        <v>0</v>
      </c>
    </row>
    <row r="159" spans="1:7" x14ac:dyDescent="0.2">
      <c r="A1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","#",3))+1,1)&amp;"-"&amp;LEFT(Educator!B164, 3)&amp;"-"&amp;LEFT(Educator!A164, 3)&amp;"-"&amp;IF(ISNUMBER(Educator!D164),"G"&amp;Educator!D164,Educator!D164)&amp;"-"&amp;"2027"</f>
        <v>CID-FLH----2027</v>
      </c>
      <c r="B159" s="49" t="b">
        <f>IF(Educator!A164&gt;0,"topscorewriting.instructure.com")</f>
        <v>0</v>
      </c>
      <c r="C159" s="49" t="str">
        <f>Users!A159</f>
        <v>UID-FLH---2027</v>
      </c>
      <c r="D159" s="49" t="s">
        <v>103</v>
      </c>
      <c r="G159" s="49" t="b">
        <f>IF(Educator!B164&gt;0,"active")</f>
        <v>0</v>
      </c>
    </row>
    <row r="160" spans="1:7" x14ac:dyDescent="0.2">
      <c r="A1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","#",3))+1,1)&amp;"-"&amp;LEFT(Educator!B165, 3)&amp;"-"&amp;LEFT(Educator!A165, 3)&amp;"-"&amp;IF(ISNUMBER(Educator!D165),"G"&amp;Educator!D165,Educator!D165)&amp;"-"&amp;"2027"</f>
        <v>CID-FLH----2027</v>
      </c>
      <c r="B160" s="49" t="b">
        <f>IF(Educator!A165&gt;0,"topscorewriting.instructure.com")</f>
        <v>0</v>
      </c>
      <c r="C160" s="49" t="str">
        <f>Users!A160</f>
        <v>UID-FLH---2027</v>
      </c>
      <c r="D160" s="49" t="s">
        <v>103</v>
      </c>
      <c r="G160" s="49" t="b">
        <f>IF(Educator!B165&gt;0,"active")</f>
        <v>0</v>
      </c>
    </row>
    <row r="161" spans="1:7" x14ac:dyDescent="0.2">
      <c r="A1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","#",3))+1,1)&amp;"-"&amp;LEFT(Educator!B166, 3)&amp;"-"&amp;LEFT(Educator!A166, 3)&amp;"-"&amp;IF(ISNUMBER(Educator!D166),"G"&amp;Educator!D166,Educator!D166)&amp;"-"&amp;"2027"</f>
        <v>CID-FLH----2027</v>
      </c>
      <c r="B161" s="49" t="b">
        <f>IF(Educator!A166&gt;0,"topscorewriting.instructure.com")</f>
        <v>0</v>
      </c>
      <c r="C161" s="49" t="str">
        <f>Users!A161</f>
        <v>UID-FLH---2027</v>
      </c>
      <c r="D161" s="49" t="s">
        <v>103</v>
      </c>
      <c r="G161" s="49" t="b">
        <f>IF(Educator!B166&gt;0,"active")</f>
        <v>0</v>
      </c>
    </row>
    <row r="162" spans="1:7" x14ac:dyDescent="0.2">
      <c r="A1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","#",3))+1,1)&amp;"-"&amp;LEFT(Educator!B167, 3)&amp;"-"&amp;LEFT(Educator!A167, 3)&amp;"-"&amp;IF(ISNUMBER(Educator!D167),"G"&amp;Educator!D167,Educator!D167)&amp;"-"&amp;"2027"</f>
        <v>CID-FLH----2027</v>
      </c>
      <c r="B162" s="49" t="b">
        <f>IF(Educator!A167&gt;0,"topscorewriting.instructure.com")</f>
        <v>0</v>
      </c>
      <c r="C162" s="49" t="str">
        <f>Users!A162</f>
        <v>UID-FLH---2027</v>
      </c>
      <c r="D162" s="49" t="s">
        <v>103</v>
      </c>
      <c r="G162" s="49" t="b">
        <f>IF(Educator!B167&gt;0,"active")</f>
        <v>0</v>
      </c>
    </row>
    <row r="163" spans="1:7" x14ac:dyDescent="0.2">
      <c r="A1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","#",3))+1,1)&amp;"-"&amp;LEFT(Educator!B168, 3)&amp;"-"&amp;LEFT(Educator!A168, 3)&amp;"-"&amp;IF(ISNUMBER(Educator!D168),"G"&amp;Educator!D168,Educator!D168)&amp;"-"&amp;"2027"</f>
        <v>CID-FLH----2027</v>
      </c>
      <c r="B163" s="49" t="b">
        <f>IF(Educator!A168&gt;0,"topscorewriting.instructure.com")</f>
        <v>0</v>
      </c>
      <c r="C163" s="49" t="str">
        <f>Users!A163</f>
        <v>UID-FLH---2027</v>
      </c>
      <c r="D163" s="49" t="s">
        <v>103</v>
      </c>
      <c r="G163" s="49" t="b">
        <f>IF(Educator!B168&gt;0,"active")</f>
        <v>0</v>
      </c>
    </row>
    <row r="164" spans="1:7" x14ac:dyDescent="0.2">
      <c r="A1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","#",3))+1,1)&amp;"-"&amp;LEFT(Educator!B169, 3)&amp;"-"&amp;LEFT(Educator!A169, 3)&amp;"-"&amp;IF(ISNUMBER(Educator!D169),"G"&amp;Educator!D169,Educator!D169)&amp;"-"&amp;"2027"</f>
        <v>CID-FLH----2027</v>
      </c>
      <c r="B164" s="49" t="b">
        <f>IF(Educator!A169&gt;0,"topscorewriting.instructure.com")</f>
        <v>0</v>
      </c>
      <c r="C164" s="49" t="str">
        <f>Users!A164</f>
        <v>UID-FLH---2027</v>
      </c>
      <c r="D164" s="49" t="s">
        <v>103</v>
      </c>
      <c r="G164" s="49" t="b">
        <f>IF(Educator!B169&gt;0,"active")</f>
        <v>0</v>
      </c>
    </row>
    <row r="165" spans="1:7" x14ac:dyDescent="0.2">
      <c r="A1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","#",3))+1,1)&amp;"-"&amp;LEFT(Educator!B170, 3)&amp;"-"&amp;LEFT(Educator!A170, 3)&amp;"-"&amp;IF(ISNUMBER(Educator!D170),"G"&amp;Educator!D170,Educator!D170)&amp;"-"&amp;"2027"</f>
        <v>CID-FLH----2027</v>
      </c>
      <c r="B165" s="49" t="b">
        <f>IF(Educator!A170&gt;0,"topscorewriting.instructure.com")</f>
        <v>0</v>
      </c>
      <c r="C165" s="49" t="str">
        <f>Users!A165</f>
        <v>UID-FLH---2027</v>
      </c>
      <c r="D165" s="49" t="s">
        <v>103</v>
      </c>
      <c r="G165" s="49" t="b">
        <f>IF(Educator!B170&gt;0,"active")</f>
        <v>0</v>
      </c>
    </row>
    <row r="166" spans="1:7" x14ac:dyDescent="0.2">
      <c r="A1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","#",3))+1,1)&amp;"-"&amp;LEFT(Educator!B171, 3)&amp;"-"&amp;LEFT(Educator!A171, 3)&amp;"-"&amp;IF(ISNUMBER(Educator!D171),"G"&amp;Educator!D171,Educator!D171)&amp;"-"&amp;"2027"</f>
        <v>CID-FLH----2027</v>
      </c>
      <c r="B166" s="49" t="b">
        <f>IF(Educator!A171&gt;0,"topscorewriting.instructure.com")</f>
        <v>0</v>
      </c>
      <c r="C166" s="49" t="str">
        <f>Users!A166</f>
        <v>UID-FLH---2027</v>
      </c>
      <c r="D166" s="49" t="s">
        <v>103</v>
      </c>
      <c r="G166" s="49" t="b">
        <f>IF(Educator!B171&gt;0,"active")</f>
        <v>0</v>
      </c>
    </row>
    <row r="167" spans="1:7" x14ac:dyDescent="0.2">
      <c r="A1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","#",3))+1,1)&amp;"-"&amp;LEFT(Educator!B172, 3)&amp;"-"&amp;LEFT(Educator!A172, 3)&amp;"-"&amp;IF(ISNUMBER(Educator!D172),"G"&amp;Educator!D172,Educator!D172)&amp;"-"&amp;"2027"</f>
        <v>CID-FLH----2027</v>
      </c>
      <c r="B167" s="49" t="b">
        <f>IF(Educator!A172&gt;0,"topscorewriting.instructure.com")</f>
        <v>0</v>
      </c>
      <c r="C167" s="49" t="str">
        <f>Users!A167</f>
        <v>UID-FLH---2027</v>
      </c>
      <c r="D167" s="49" t="s">
        <v>103</v>
      </c>
      <c r="G167" s="49" t="b">
        <f>IF(Educator!B172&gt;0,"active")</f>
        <v>0</v>
      </c>
    </row>
    <row r="168" spans="1:7" x14ac:dyDescent="0.2">
      <c r="A1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","#",3))+1,1)&amp;"-"&amp;LEFT(Educator!B173, 3)&amp;"-"&amp;LEFT(Educator!A173, 3)&amp;"-"&amp;IF(ISNUMBER(Educator!D173),"G"&amp;Educator!D173,Educator!D173)&amp;"-"&amp;"2027"</f>
        <v>CID-FLH----2027</v>
      </c>
      <c r="B168" s="49" t="b">
        <f>IF(Educator!A173&gt;0,"topscorewriting.instructure.com")</f>
        <v>0</v>
      </c>
      <c r="C168" s="49" t="str">
        <f>Users!A168</f>
        <v>UID-FLH---2027</v>
      </c>
      <c r="D168" s="49" t="s">
        <v>103</v>
      </c>
      <c r="G168" s="49" t="b">
        <f>IF(Educator!B173&gt;0,"active")</f>
        <v>0</v>
      </c>
    </row>
    <row r="169" spans="1:7" x14ac:dyDescent="0.2">
      <c r="A1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","#",3))+1,1)&amp;"-"&amp;LEFT(Educator!B174, 3)&amp;"-"&amp;LEFT(Educator!A174, 3)&amp;"-"&amp;IF(ISNUMBER(Educator!D174),"G"&amp;Educator!D174,Educator!D174)&amp;"-"&amp;"2027"</f>
        <v>CID-FLH----2027</v>
      </c>
      <c r="B169" s="49" t="b">
        <f>IF(Educator!A174&gt;0,"topscorewriting.instructure.com")</f>
        <v>0</v>
      </c>
      <c r="C169" s="49" t="str">
        <f>Users!A169</f>
        <v>UID-FLH---2027</v>
      </c>
      <c r="D169" s="49" t="s">
        <v>103</v>
      </c>
      <c r="G169" s="49" t="b">
        <f>IF(Educator!B174&gt;0,"active")</f>
        <v>0</v>
      </c>
    </row>
    <row r="170" spans="1:7" x14ac:dyDescent="0.2">
      <c r="A1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","#",3))+1,1)&amp;"-"&amp;LEFT(Educator!B175, 3)&amp;"-"&amp;LEFT(Educator!A175, 3)&amp;"-"&amp;IF(ISNUMBER(Educator!D175),"G"&amp;Educator!D175,Educator!D175)&amp;"-"&amp;"2027"</f>
        <v>CID-FLH----2027</v>
      </c>
      <c r="B170" s="49" t="b">
        <f>IF(Educator!A175&gt;0,"topscorewriting.instructure.com")</f>
        <v>0</v>
      </c>
      <c r="C170" s="49" t="str">
        <f>Users!A170</f>
        <v>UID-FLH---2027</v>
      </c>
      <c r="D170" s="49" t="s">
        <v>103</v>
      </c>
      <c r="G170" s="49" t="b">
        <f>IF(Educator!B175&gt;0,"active")</f>
        <v>0</v>
      </c>
    </row>
    <row r="171" spans="1:7" x14ac:dyDescent="0.2">
      <c r="A1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","#",3))+1,1)&amp;"-"&amp;LEFT(Educator!B176, 3)&amp;"-"&amp;LEFT(Educator!A176, 3)&amp;"-"&amp;IF(ISNUMBER(Educator!D176),"G"&amp;Educator!D176,Educator!D176)&amp;"-"&amp;"2027"</f>
        <v>CID-FLH----2027</v>
      </c>
      <c r="B171" s="49" t="b">
        <f>IF(Educator!A176&gt;0,"topscorewriting.instructure.com")</f>
        <v>0</v>
      </c>
      <c r="C171" s="49" t="str">
        <f>Users!A171</f>
        <v>UID-FLH---2027</v>
      </c>
      <c r="D171" s="49" t="s">
        <v>103</v>
      </c>
      <c r="G171" s="49" t="b">
        <f>IF(Educator!B176&gt;0,"active")</f>
        <v>0</v>
      </c>
    </row>
    <row r="172" spans="1:7" x14ac:dyDescent="0.2">
      <c r="A1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","#",3))+1,1)&amp;"-"&amp;LEFT(Educator!B177, 3)&amp;"-"&amp;LEFT(Educator!A177, 3)&amp;"-"&amp;IF(ISNUMBER(Educator!D177),"G"&amp;Educator!D177,Educator!D177)&amp;"-"&amp;"2027"</f>
        <v>CID-FLH----2027</v>
      </c>
      <c r="B172" s="49" t="b">
        <f>IF(Educator!A177&gt;0,"topscorewriting.instructure.com")</f>
        <v>0</v>
      </c>
      <c r="C172" s="49" t="str">
        <f>Users!A172</f>
        <v>UID-FLH---2027</v>
      </c>
      <c r="D172" s="49" t="s">
        <v>103</v>
      </c>
      <c r="G172" s="49" t="b">
        <f>IF(Educator!B177&gt;0,"active")</f>
        <v>0</v>
      </c>
    </row>
    <row r="173" spans="1:7" x14ac:dyDescent="0.2">
      <c r="A1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","#",3))+1,1)&amp;"-"&amp;LEFT(Educator!B178, 3)&amp;"-"&amp;LEFT(Educator!A178, 3)&amp;"-"&amp;IF(ISNUMBER(Educator!D178),"G"&amp;Educator!D178,Educator!D178)&amp;"-"&amp;"2027"</f>
        <v>CID-FLH----2027</v>
      </c>
      <c r="B173" s="49" t="b">
        <f>IF(Educator!A178&gt;0,"topscorewriting.instructure.com")</f>
        <v>0</v>
      </c>
      <c r="C173" s="49" t="str">
        <f>Users!A173</f>
        <v>UID-FLH---2027</v>
      </c>
      <c r="D173" s="49" t="s">
        <v>103</v>
      </c>
      <c r="G173" s="49" t="b">
        <f>IF(Educator!B178&gt;0,"active")</f>
        <v>0</v>
      </c>
    </row>
    <row r="174" spans="1:7" x14ac:dyDescent="0.2">
      <c r="A1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","#",3))+1,1)&amp;"-"&amp;LEFT(Educator!B179, 3)&amp;"-"&amp;LEFT(Educator!A179, 3)&amp;"-"&amp;IF(ISNUMBER(Educator!D179),"G"&amp;Educator!D179,Educator!D179)&amp;"-"&amp;"2027"</f>
        <v>CID-FLH----2027</v>
      </c>
      <c r="B174" s="49" t="b">
        <f>IF(Educator!A179&gt;0,"topscorewriting.instructure.com")</f>
        <v>0</v>
      </c>
      <c r="C174" s="49" t="str">
        <f>Users!A174</f>
        <v>UID-FLH---2027</v>
      </c>
      <c r="D174" s="49" t="s">
        <v>103</v>
      </c>
      <c r="G174" s="49" t="b">
        <f>IF(Educator!B179&gt;0,"active")</f>
        <v>0</v>
      </c>
    </row>
    <row r="175" spans="1:7" x14ac:dyDescent="0.2">
      <c r="A1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","#",3))+1,1)&amp;"-"&amp;LEFT(Educator!B180, 3)&amp;"-"&amp;LEFT(Educator!A180, 3)&amp;"-"&amp;IF(ISNUMBER(Educator!D180),"G"&amp;Educator!D180,Educator!D180)&amp;"-"&amp;"2027"</f>
        <v>CID-FLH----2027</v>
      </c>
      <c r="B175" s="49" t="b">
        <f>IF(Educator!A180&gt;0,"topscorewriting.instructure.com")</f>
        <v>0</v>
      </c>
      <c r="C175" s="49" t="str">
        <f>Users!A175</f>
        <v>UID-FLH---2027</v>
      </c>
      <c r="D175" s="49" t="s">
        <v>103</v>
      </c>
      <c r="G175" s="49" t="b">
        <f>IF(Educator!B180&gt;0,"active")</f>
        <v>0</v>
      </c>
    </row>
    <row r="176" spans="1:7" x14ac:dyDescent="0.2">
      <c r="A1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","#",3))+1,1)&amp;"-"&amp;LEFT(Educator!B181, 3)&amp;"-"&amp;LEFT(Educator!A181, 3)&amp;"-"&amp;IF(ISNUMBER(Educator!D181),"G"&amp;Educator!D181,Educator!D181)&amp;"-"&amp;"2027"</f>
        <v>CID-FLH----2027</v>
      </c>
      <c r="B176" s="49" t="b">
        <f>IF(Educator!A181&gt;0,"topscorewriting.instructure.com")</f>
        <v>0</v>
      </c>
      <c r="C176" s="49" t="str">
        <f>Users!A176</f>
        <v>UID-FLH---2027</v>
      </c>
      <c r="D176" s="49" t="s">
        <v>103</v>
      </c>
      <c r="G176" s="49" t="b">
        <f>IF(Educator!B181&gt;0,"active")</f>
        <v>0</v>
      </c>
    </row>
    <row r="177" spans="1:7" x14ac:dyDescent="0.2">
      <c r="A1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","#",3))+1,1)&amp;"-"&amp;LEFT(Educator!B182, 3)&amp;"-"&amp;LEFT(Educator!A182, 3)&amp;"-"&amp;IF(ISNUMBER(Educator!D182),"G"&amp;Educator!D182,Educator!D182)&amp;"-"&amp;"2027"</f>
        <v>CID-FLH----2027</v>
      </c>
      <c r="B177" s="49" t="b">
        <f>IF(Educator!A182&gt;0,"topscorewriting.instructure.com")</f>
        <v>0</v>
      </c>
      <c r="C177" s="49" t="str">
        <f>Users!A177</f>
        <v>UID-FLH---2027</v>
      </c>
      <c r="D177" s="49" t="s">
        <v>103</v>
      </c>
      <c r="G177" s="49" t="b">
        <f>IF(Educator!B182&gt;0,"active")</f>
        <v>0</v>
      </c>
    </row>
    <row r="178" spans="1:7" x14ac:dyDescent="0.2">
      <c r="A1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","#",3))+1,1)&amp;"-"&amp;LEFT(Educator!B183, 3)&amp;"-"&amp;LEFT(Educator!A183, 3)&amp;"-"&amp;IF(ISNUMBER(Educator!D183),"G"&amp;Educator!D183,Educator!D183)&amp;"-"&amp;"2027"</f>
        <v>CID-FLH----2027</v>
      </c>
      <c r="B178" s="49" t="b">
        <f>IF(Educator!A183&gt;0,"topscorewriting.instructure.com")</f>
        <v>0</v>
      </c>
      <c r="C178" s="49" t="str">
        <f>Users!A178</f>
        <v>UID-FLH---2027</v>
      </c>
      <c r="D178" s="49" t="s">
        <v>103</v>
      </c>
      <c r="G178" s="49" t="b">
        <f>IF(Educator!B183&gt;0,"active")</f>
        <v>0</v>
      </c>
    </row>
    <row r="179" spans="1:7" x14ac:dyDescent="0.2">
      <c r="A1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","#",3))+1,1)&amp;"-"&amp;LEFT(Educator!B184, 3)&amp;"-"&amp;LEFT(Educator!A184, 3)&amp;"-"&amp;IF(ISNUMBER(Educator!D184),"G"&amp;Educator!D184,Educator!D184)&amp;"-"&amp;"2027"</f>
        <v>CID-FLH----2027</v>
      </c>
      <c r="B179" s="49" t="b">
        <f>IF(Educator!A184&gt;0,"topscorewriting.instructure.com")</f>
        <v>0</v>
      </c>
      <c r="C179" s="49" t="str">
        <f>Users!A179</f>
        <v>UID-FLH---2027</v>
      </c>
      <c r="D179" s="49" t="s">
        <v>103</v>
      </c>
      <c r="G179" s="49" t="b">
        <f>IF(Educator!B184&gt;0,"active")</f>
        <v>0</v>
      </c>
    </row>
    <row r="180" spans="1:7" x14ac:dyDescent="0.2">
      <c r="A1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","#",3))+1,1)&amp;"-"&amp;LEFT(Educator!B185, 3)&amp;"-"&amp;LEFT(Educator!A185, 3)&amp;"-"&amp;IF(ISNUMBER(Educator!D185),"G"&amp;Educator!D185,Educator!D185)&amp;"-"&amp;"2027"</f>
        <v>CID-FLH----2027</v>
      </c>
      <c r="B180" s="49" t="b">
        <f>IF(Educator!A185&gt;0,"topscorewriting.instructure.com")</f>
        <v>0</v>
      </c>
      <c r="C180" s="49" t="str">
        <f>Users!A180</f>
        <v>UID-FLH---2027</v>
      </c>
      <c r="D180" s="49" t="s">
        <v>103</v>
      </c>
      <c r="G180" s="49" t="b">
        <f>IF(Educator!B185&gt;0,"active")</f>
        <v>0</v>
      </c>
    </row>
    <row r="181" spans="1:7" x14ac:dyDescent="0.2">
      <c r="A1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","#",3))+1,1)&amp;"-"&amp;LEFT(Educator!B186, 3)&amp;"-"&amp;LEFT(Educator!A186, 3)&amp;"-"&amp;IF(ISNUMBER(Educator!D186),"G"&amp;Educator!D186,Educator!D186)&amp;"-"&amp;"2027"</f>
        <v>CID-FLH----2027</v>
      </c>
      <c r="B181" s="49" t="b">
        <f>IF(Educator!A186&gt;0,"topscorewriting.instructure.com")</f>
        <v>0</v>
      </c>
      <c r="C181" s="49" t="str">
        <f>Users!A181</f>
        <v>UID-FLH---2027</v>
      </c>
      <c r="D181" s="49" t="s">
        <v>103</v>
      </c>
      <c r="G181" s="49" t="b">
        <f>IF(Educator!B186&gt;0,"active")</f>
        <v>0</v>
      </c>
    </row>
    <row r="182" spans="1:7" x14ac:dyDescent="0.2">
      <c r="A1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","#",3))+1,1)&amp;"-"&amp;LEFT(Educator!B187, 3)&amp;"-"&amp;LEFT(Educator!A187, 3)&amp;"-"&amp;IF(ISNUMBER(Educator!D187),"G"&amp;Educator!D187,Educator!D187)&amp;"-"&amp;"2027"</f>
        <v>CID-FLH----2027</v>
      </c>
      <c r="B182" s="49" t="b">
        <f>IF(Educator!A187&gt;0,"topscorewriting.instructure.com")</f>
        <v>0</v>
      </c>
      <c r="C182" s="49" t="str">
        <f>Users!A182</f>
        <v>UID-FLH---2027</v>
      </c>
      <c r="D182" s="49" t="s">
        <v>103</v>
      </c>
      <c r="G182" s="49" t="b">
        <f>IF(Educator!B187&gt;0,"active")</f>
        <v>0</v>
      </c>
    </row>
    <row r="183" spans="1:7" x14ac:dyDescent="0.2">
      <c r="A1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","#",3))+1,1)&amp;"-"&amp;LEFT(Educator!B188, 3)&amp;"-"&amp;LEFT(Educator!A188, 3)&amp;"-"&amp;IF(ISNUMBER(Educator!D188),"G"&amp;Educator!D188,Educator!D188)&amp;"-"&amp;"2027"</f>
        <v>CID-FLH----2027</v>
      </c>
      <c r="B183" s="49" t="b">
        <f>IF(Educator!A188&gt;0,"topscorewriting.instructure.com")</f>
        <v>0</v>
      </c>
      <c r="C183" s="49" t="str">
        <f>Users!A183</f>
        <v>UID-FLH---2027</v>
      </c>
      <c r="D183" s="49" t="s">
        <v>103</v>
      </c>
      <c r="G183" s="49" t="b">
        <f>IF(Educator!B188&gt;0,"active")</f>
        <v>0</v>
      </c>
    </row>
    <row r="184" spans="1:7" x14ac:dyDescent="0.2">
      <c r="A1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","#",3))+1,1)&amp;"-"&amp;LEFT(Educator!B189, 3)&amp;"-"&amp;LEFT(Educator!A189, 3)&amp;"-"&amp;IF(ISNUMBER(Educator!D189),"G"&amp;Educator!D189,Educator!D189)&amp;"-"&amp;"2027"</f>
        <v>CID-FLH----2027</v>
      </c>
      <c r="B184" s="49" t="b">
        <f>IF(Educator!A189&gt;0,"topscorewriting.instructure.com")</f>
        <v>0</v>
      </c>
      <c r="C184" s="49" t="str">
        <f>Users!A184</f>
        <v>UID-FLH---2027</v>
      </c>
      <c r="D184" s="49" t="s">
        <v>103</v>
      </c>
      <c r="G184" s="49" t="b">
        <f>IF(Educator!B189&gt;0,"active")</f>
        <v>0</v>
      </c>
    </row>
    <row r="185" spans="1:7" x14ac:dyDescent="0.2">
      <c r="A1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","#",3))+1,1)&amp;"-"&amp;LEFT(Educator!B190, 3)&amp;"-"&amp;LEFT(Educator!A190, 3)&amp;"-"&amp;IF(ISNUMBER(Educator!D190),"G"&amp;Educator!D190,Educator!D190)&amp;"-"&amp;"2027"</f>
        <v>CID-FLH----2027</v>
      </c>
      <c r="B185" s="49" t="b">
        <f>IF(Educator!A190&gt;0,"topscorewriting.instructure.com")</f>
        <v>0</v>
      </c>
      <c r="C185" s="49" t="str">
        <f>Users!A185</f>
        <v>UID-FLH---2027</v>
      </c>
      <c r="D185" s="49" t="s">
        <v>103</v>
      </c>
      <c r="G185" s="49" t="b">
        <f>IF(Educator!B190&gt;0,"active")</f>
        <v>0</v>
      </c>
    </row>
    <row r="186" spans="1:7" x14ac:dyDescent="0.2">
      <c r="A1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","#",3))+1,1)&amp;"-"&amp;LEFT(Educator!B191, 3)&amp;"-"&amp;LEFT(Educator!A191, 3)&amp;"-"&amp;IF(ISNUMBER(Educator!D191),"G"&amp;Educator!D191,Educator!D191)&amp;"-"&amp;"2027"</f>
        <v>CID-FLH----2027</v>
      </c>
      <c r="B186" s="49" t="b">
        <f>IF(Educator!A191&gt;0,"topscorewriting.instructure.com")</f>
        <v>0</v>
      </c>
      <c r="C186" s="49" t="str">
        <f>Users!A186</f>
        <v>UID-FLH---2027</v>
      </c>
      <c r="D186" s="49" t="s">
        <v>103</v>
      </c>
      <c r="G186" s="49" t="b">
        <f>IF(Educator!B191&gt;0,"active")</f>
        <v>0</v>
      </c>
    </row>
    <row r="187" spans="1:7" x14ac:dyDescent="0.2">
      <c r="A1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","#",3))+1,1)&amp;"-"&amp;LEFT(Educator!B192, 3)&amp;"-"&amp;LEFT(Educator!A192, 3)&amp;"-"&amp;IF(ISNUMBER(Educator!D192),"G"&amp;Educator!D192,Educator!D192)&amp;"-"&amp;"2027"</f>
        <v>CID-FLH----2027</v>
      </c>
      <c r="B187" s="49" t="b">
        <f>IF(Educator!A192&gt;0,"topscorewriting.instructure.com")</f>
        <v>0</v>
      </c>
      <c r="C187" s="49" t="str">
        <f>Users!A187</f>
        <v>UID-FLH---2027</v>
      </c>
      <c r="D187" s="49" t="s">
        <v>103</v>
      </c>
      <c r="G187" s="49" t="b">
        <f>IF(Educator!B192&gt;0,"active")</f>
        <v>0</v>
      </c>
    </row>
    <row r="188" spans="1:7" x14ac:dyDescent="0.2">
      <c r="A1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","#",3))+1,1)&amp;"-"&amp;LEFT(Educator!B193, 3)&amp;"-"&amp;LEFT(Educator!A193, 3)&amp;"-"&amp;IF(ISNUMBER(Educator!D193),"G"&amp;Educator!D193,Educator!D193)&amp;"-"&amp;"2027"</f>
        <v>CID-FLH----2027</v>
      </c>
      <c r="B188" s="49" t="b">
        <f>IF(Educator!A193&gt;0,"topscorewriting.instructure.com")</f>
        <v>0</v>
      </c>
      <c r="C188" s="49" t="str">
        <f>Users!A188</f>
        <v>UID-FLH---2027</v>
      </c>
      <c r="D188" s="49" t="s">
        <v>103</v>
      </c>
      <c r="G188" s="49" t="b">
        <f>IF(Educator!B193&gt;0,"active")</f>
        <v>0</v>
      </c>
    </row>
    <row r="189" spans="1:7" x14ac:dyDescent="0.2">
      <c r="A1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","#",3))+1,1)&amp;"-"&amp;LEFT(Educator!B194, 3)&amp;"-"&amp;LEFT(Educator!A194, 3)&amp;"-"&amp;IF(ISNUMBER(Educator!D194),"G"&amp;Educator!D194,Educator!D194)&amp;"-"&amp;"2027"</f>
        <v>CID-FLH----2027</v>
      </c>
      <c r="B189" s="49" t="b">
        <f>IF(Educator!A194&gt;0,"topscorewriting.instructure.com")</f>
        <v>0</v>
      </c>
      <c r="C189" s="49" t="str">
        <f>Users!A189</f>
        <v>UID-FLH---2027</v>
      </c>
      <c r="D189" s="49" t="s">
        <v>103</v>
      </c>
      <c r="G189" s="49" t="b">
        <f>IF(Educator!B194&gt;0,"active")</f>
        <v>0</v>
      </c>
    </row>
    <row r="190" spans="1:7" x14ac:dyDescent="0.2">
      <c r="A1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","#",3))+1,1)&amp;"-"&amp;LEFT(Educator!B195, 3)&amp;"-"&amp;LEFT(Educator!A195, 3)&amp;"-"&amp;IF(ISNUMBER(Educator!D195),"G"&amp;Educator!D195,Educator!D195)&amp;"-"&amp;"2027"</f>
        <v>CID-FLH----2027</v>
      </c>
      <c r="B190" s="49" t="b">
        <f>IF(Educator!A195&gt;0,"topscorewriting.instructure.com")</f>
        <v>0</v>
      </c>
      <c r="C190" s="49" t="str">
        <f>Users!A190</f>
        <v>UID-FLH---2027</v>
      </c>
      <c r="D190" s="49" t="s">
        <v>103</v>
      </c>
      <c r="G190" s="49" t="b">
        <f>IF(Educator!B195&gt;0,"active")</f>
        <v>0</v>
      </c>
    </row>
    <row r="191" spans="1:7" x14ac:dyDescent="0.2">
      <c r="A1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","#",3))+1,1)&amp;"-"&amp;LEFT(Educator!B196, 3)&amp;"-"&amp;LEFT(Educator!A196, 3)&amp;"-"&amp;IF(ISNUMBER(Educator!D196),"G"&amp;Educator!D196,Educator!D196)&amp;"-"&amp;"2027"</f>
        <v>CID-FLH----2027</v>
      </c>
      <c r="B191" s="49" t="b">
        <f>IF(Educator!A196&gt;0,"topscorewriting.instructure.com")</f>
        <v>0</v>
      </c>
      <c r="C191" s="49" t="str">
        <f>Users!A191</f>
        <v>UID-FLH---2027</v>
      </c>
      <c r="D191" s="49" t="s">
        <v>103</v>
      </c>
      <c r="G191" s="49" t="b">
        <f>IF(Educator!B196&gt;0,"active")</f>
        <v>0</v>
      </c>
    </row>
    <row r="192" spans="1:7" x14ac:dyDescent="0.2">
      <c r="A1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","#",3))+1,1)&amp;"-"&amp;LEFT(Educator!B197, 3)&amp;"-"&amp;LEFT(Educator!A197, 3)&amp;"-"&amp;IF(ISNUMBER(Educator!D197),"G"&amp;Educator!D197,Educator!D197)&amp;"-"&amp;"2027"</f>
        <v>CID-FLH----2027</v>
      </c>
      <c r="B192" s="49" t="b">
        <f>IF(Educator!A197&gt;0,"topscorewriting.instructure.com")</f>
        <v>0</v>
      </c>
      <c r="C192" s="49" t="str">
        <f>Users!A192</f>
        <v>UID-FLH---2027</v>
      </c>
      <c r="D192" s="49" t="s">
        <v>103</v>
      </c>
      <c r="G192" s="49" t="b">
        <f>IF(Educator!B197&gt;0,"active")</f>
        <v>0</v>
      </c>
    </row>
    <row r="193" spans="1:7" x14ac:dyDescent="0.2">
      <c r="A1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","#",3))+1,1)&amp;"-"&amp;LEFT(Educator!B198, 3)&amp;"-"&amp;LEFT(Educator!A198, 3)&amp;"-"&amp;IF(ISNUMBER(Educator!D198),"G"&amp;Educator!D198,Educator!D198)&amp;"-"&amp;"2027"</f>
        <v>CID-FLH----2027</v>
      </c>
      <c r="B193" s="49" t="b">
        <f>IF(Educator!A198&gt;0,"topscorewriting.instructure.com")</f>
        <v>0</v>
      </c>
      <c r="C193" s="49" t="str">
        <f>Users!A193</f>
        <v>UID-FLH---2027</v>
      </c>
      <c r="D193" s="49" t="s">
        <v>103</v>
      </c>
      <c r="G193" s="49" t="b">
        <f>IF(Educator!B198&gt;0,"active")</f>
        <v>0</v>
      </c>
    </row>
    <row r="194" spans="1:7" x14ac:dyDescent="0.2">
      <c r="A1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","#",3))+1,1)&amp;"-"&amp;LEFT(Educator!B199, 3)&amp;"-"&amp;LEFT(Educator!A199, 3)&amp;"-"&amp;IF(ISNUMBER(Educator!D199),"G"&amp;Educator!D199,Educator!D199)&amp;"-"&amp;"2027"</f>
        <v>CID-FLH----2027</v>
      </c>
      <c r="B194" s="49" t="b">
        <f>IF(Educator!A199&gt;0,"topscorewriting.instructure.com")</f>
        <v>0</v>
      </c>
      <c r="C194" s="49" t="str">
        <f>Users!A194</f>
        <v>UID-FLH---2027</v>
      </c>
      <c r="D194" s="49" t="s">
        <v>103</v>
      </c>
      <c r="G194" s="49" t="b">
        <f>IF(Educator!B199&gt;0,"active")</f>
        <v>0</v>
      </c>
    </row>
    <row r="195" spans="1:7" x14ac:dyDescent="0.2">
      <c r="A1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","#",3))+1,1)&amp;"-"&amp;LEFT(Educator!B200, 3)&amp;"-"&amp;LEFT(Educator!A200, 3)&amp;"-"&amp;IF(ISNUMBER(Educator!D200),"G"&amp;Educator!D200,Educator!D200)&amp;"-"&amp;"2027"</f>
        <v>CID-FLH----2027</v>
      </c>
      <c r="B195" s="49" t="b">
        <f>IF(Educator!A200&gt;0,"topscorewriting.instructure.com")</f>
        <v>0</v>
      </c>
      <c r="C195" s="49" t="str">
        <f>Users!A195</f>
        <v>UID-FLH---2027</v>
      </c>
      <c r="D195" s="49" t="s">
        <v>103</v>
      </c>
      <c r="G195" s="49" t="b">
        <f>IF(Educator!B200&gt;0,"active")</f>
        <v>0</v>
      </c>
    </row>
    <row r="196" spans="1:7" x14ac:dyDescent="0.2">
      <c r="A1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","#",3))+1,1)&amp;"-"&amp;LEFT(Educator!B201, 3)&amp;"-"&amp;LEFT(Educator!A201, 3)&amp;"-"&amp;IF(ISNUMBER(Educator!D201),"G"&amp;Educator!D201,Educator!D201)&amp;"-"&amp;"2027"</f>
        <v>CID-FLH----2027</v>
      </c>
      <c r="B196" s="49" t="b">
        <f>IF(Educator!A201&gt;0,"topscorewriting.instructure.com")</f>
        <v>0</v>
      </c>
      <c r="C196" s="49" t="str">
        <f>Users!A196</f>
        <v>UID-FLH---2027</v>
      </c>
      <c r="D196" s="49" t="s">
        <v>103</v>
      </c>
      <c r="G196" s="49" t="b">
        <f>IF(Educator!B201&gt;0,"active")</f>
        <v>0</v>
      </c>
    </row>
    <row r="197" spans="1:7" x14ac:dyDescent="0.2">
      <c r="A1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","#",3))+1,1)&amp;"-"&amp;LEFT(Educator!B202, 3)&amp;"-"&amp;LEFT(Educator!A202, 3)&amp;"-"&amp;IF(ISNUMBER(Educator!D202),"G"&amp;Educator!D202,Educator!D202)&amp;"-"&amp;"2027"</f>
        <v>CID-FLH----2027</v>
      </c>
      <c r="B197" s="49" t="b">
        <f>IF(Educator!A202&gt;0,"topscorewriting.instructure.com")</f>
        <v>0</v>
      </c>
      <c r="C197" s="49" t="str">
        <f>Users!A197</f>
        <v>UID-FLH---2027</v>
      </c>
      <c r="D197" s="49" t="s">
        <v>103</v>
      </c>
      <c r="G197" s="49" t="b">
        <f>IF(Educator!B202&gt;0,"active")</f>
        <v>0</v>
      </c>
    </row>
    <row r="198" spans="1:7" x14ac:dyDescent="0.2">
      <c r="A1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","#",3))+1,1)&amp;"-"&amp;LEFT(Educator!B203, 3)&amp;"-"&amp;LEFT(Educator!A203, 3)&amp;"-"&amp;IF(ISNUMBER(Educator!D203),"G"&amp;Educator!D203,Educator!D203)&amp;"-"&amp;"2027"</f>
        <v>CID-FLH----2027</v>
      </c>
      <c r="B198" s="49" t="b">
        <f>IF(Educator!A203&gt;0,"topscorewriting.instructure.com")</f>
        <v>0</v>
      </c>
      <c r="C198" s="49" t="str">
        <f>Users!A198</f>
        <v>UID-FLH---2027</v>
      </c>
      <c r="D198" s="49" t="s">
        <v>103</v>
      </c>
      <c r="G198" s="49" t="b">
        <f>IF(Educator!B203&gt;0,"active")</f>
        <v>0</v>
      </c>
    </row>
    <row r="199" spans="1:7" x14ac:dyDescent="0.2">
      <c r="A1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","#",3))+1,1)&amp;"-"&amp;LEFT(Educator!B204, 3)&amp;"-"&amp;LEFT(Educator!A204, 3)&amp;"-"&amp;IF(ISNUMBER(Educator!D204),"G"&amp;Educator!D204,Educator!D204)&amp;"-"&amp;"2027"</f>
        <v>CID-FLH----2027</v>
      </c>
      <c r="B199" s="49" t="b">
        <f>IF(Educator!A204&gt;0,"topscorewriting.instructure.com")</f>
        <v>0</v>
      </c>
      <c r="C199" s="49" t="str">
        <f>Users!A199</f>
        <v>UID-FLH---2027</v>
      </c>
      <c r="D199" s="49" t="s">
        <v>103</v>
      </c>
      <c r="G199" s="49" t="b">
        <f>IF(Educator!B204&gt;0,"active")</f>
        <v>0</v>
      </c>
    </row>
    <row r="200" spans="1:7" x14ac:dyDescent="0.2">
      <c r="A2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","#",3))+1,1)&amp;"-"&amp;LEFT(Educator!B205, 3)&amp;"-"&amp;LEFT(Educator!A205, 3)&amp;"-"&amp;IF(ISNUMBER(Educator!D205),"G"&amp;Educator!D205,Educator!D205)&amp;"-"&amp;"2027"</f>
        <v>CID-FLH----2027</v>
      </c>
      <c r="B200" s="49" t="b">
        <f>IF(Educator!A205&gt;0,"topscorewriting.instructure.com")</f>
        <v>0</v>
      </c>
      <c r="C200" s="49" t="str">
        <f>Users!A200</f>
        <v>UID-FLH---2027</v>
      </c>
      <c r="D200" s="49" t="s">
        <v>103</v>
      </c>
      <c r="G200" s="49" t="b">
        <f>IF(Educator!B205&gt;0,"active")</f>
        <v>0</v>
      </c>
    </row>
    <row r="201" spans="1:7" x14ac:dyDescent="0.2">
      <c r="A2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","#",3))+1,1)&amp;"-"&amp;LEFT(Educator!B206, 3)&amp;"-"&amp;LEFT(Educator!A206, 3)&amp;"-"&amp;IF(ISNUMBER(Educator!D206),"G"&amp;Educator!D206,Educator!D206)&amp;"-"&amp;"2027"</f>
        <v>CID-FLH----2027</v>
      </c>
      <c r="B201" s="49" t="b">
        <f>IF(Educator!A206&gt;0,"topscorewriting.instructure.com")</f>
        <v>0</v>
      </c>
      <c r="C201" s="49" t="str">
        <f>Users!A201</f>
        <v>UID-FLH---2027</v>
      </c>
      <c r="D201" s="49" t="s">
        <v>103</v>
      </c>
      <c r="G201" s="49" t="b">
        <f>IF(Educator!B206&gt;0,"active")</f>
        <v>0</v>
      </c>
    </row>
    <row r="202" spans="1:7" x14ac:dyDescent="0.2">
      <c r="A2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","#",3))+1,1)&amp;"-"&amp;LEFT(Educator!B207, 3)&amp;"-"&amp;LEFT(Educator!A207, 3)&amp;"-"&amp;IF(ISNUMBER(Educator!D207),"G"&amp;Educator!D207,Educator!D207)&amp;"-"&amp;"2027"</f>
        <v>CID-FLH----2027</v>
      </c>
      <c r="B202" s="49" t="b">
        <f>IF(Educator!A207&gt;0,"topscorewriting.instructure.com")</f>
        <v>0</v>
      </c>
      <c r="C202" s="49" t="str">
        <f>Users!A202</f>
        <v>UID-FLH---2027</v>
      </c>
      <c r="D202" s="49" t="s">
        <v>103</v>
      </c>
      <c r="G202" s="49" t="b">
        <f>IF(Educator!B207&gt;0,"active")</f>
        <v>0</v>
      </c>
    </row>
    <row r="203" spans="1:7" x14ac:dyDescent="0.2">
      <c r="A2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","#",3))+1,1)&amp;"-"&amp;LEFT(Educator!B208, 3)&amp;"-"&amp;LEFT(Educator!A208, 3)&amp;"-"&amp;IF(ISNUMBER(Educator!D208),"G"&amp;Educator!D208,Educator!D208)&amp;"-"&amp;"2027"</f>
        <v>CID-FLH----2027</v>
      </c>
      <c r="B203" s="49" t="b">
        <f>IF(Educator!A208&gt;0,"topscorewriting.instructure.com")</f>
        <v>0</v>
      </c>
      <c r="C203" s="49" t="str">
        <f>Users!A203</f>
        <v>UID-FLH---2027</v>
      </c>
      <c r="D203" s="49" t="s">
        <v>103</v>
      </c>
      <c r="G203" s="49" t="b">
        <f>IF(Educator!B208&gt;0,"active")</f>
        <v>0</v>
      </c>
    </row>
    <row r="204" spans="1:7" x14ac:dyDescent="0.2">
      <c r="A2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","#",3))+1,1)&amp;"-"&amp;LEFT(Educator!B209, 3)&amp;"-"&amp;LEFT(Educator!A209, 3)&amp;"-"&amp;IF(ISNUMBER(Educator!D209),"G"&amp;Educator!D209,Educator!D209)&amp;"-"&amp;"2027"</f>
        <v>CID-FLH----2027</v>
      </c>
      <c r="B204" s="49" t="b">
        <f>IF(Educator!A209&gt;0,"topscorewriting.instructure.com")</f>
        <v>0</v>
      </c>
      <c r="C204" s="49" t="str">
        <f>Users!A204</f>
        <v>UID-FLH---2027</v>
      </c>
      <c r="D204" s="49" t="s">
        <v>103</v>
      </c>
      <c r="G204" s="49" t="b">
        <f>IF(Educator!B209&gt;0,"active")</f>
        <v>0</v>
      </c>
    </row>
    <row r="205" spans="1:7" x14ac:dyDescent="0.2">
      <c r="A2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","#",3))+1,1)&amp;"-"&amp;LEFT(Educator!B210, 3)&amp;"-"&amp;LEFT(Educator!A210, 3)&amp;"-"&amp;IF(ISNUMBER(Educator!D210),"G"&amp;Educator!D210,Educator!D210)&amp;"-"&amp;"2027"</f>
        <v>CID-FLH----2027</v>
      </c>
      <c r="B205" s="49" t="b">
        <f>IF(Educator!A210&gt;0,"topscorewriting.instructure.com")</f>
        <v>0</v>
      </c>
      <c r="C205" s="49" t="str">
        <f>Users!A205</f>
        <v>UID-FLH---2027</v>
      </c>
      <c r="D205" s="49" t="s">
        <v>103</v>
      </c>
      <c r="G205" s="49" t="b">
        <f>IF(Educator!B210&gt;0,"active")</f>
        <v>0</v>
      </c>
    </row>
    <row r="206" spans="1:7" x14ac:dyDescent="0.2">
      <c r="A2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","#",3))+1,1)&amp;"-"&amp;LEFT(Educator!B211, 3)&amp;"-"&amp;LEFT(Educator!A211, 3)&amp;"-"&amp;IF(ISNUMBER(Educator!D211),"G"&amp;Educator!D211,Educator!D211)&amp;"-"&amp;"2027"</f>
        <v>CID-FLH----2027</v>
      </c>
      <c r="B206" s="49" t="b">
        <f>IF(Educator!A211&gt;0,"topscorewriting.instructure.com")</f>
        <v>0</v>
      </c>
      <c r="C206" s="49" t="str">
        <f>Users!A206</f>
        <v>UID-FLH---2027</v>
      </c>
      <c r="D206" s="49" t="s">
        <v>103</v>
      </c>
      <c r="G206" s="49" t="b">
        <f>IF(Educator!B211&gt;0,"active")</f>
        <v>0</v>
      </c>
    </row>
    <row r="207" spans="1:7" x14ac:dyDescent="0.2">
      <c r="A2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","#",3))+1,1)&amp;"-"&amp;LEFT(Educator!B212, 3)&amp;"-"&amp;LEFT(Educator!A212, 3)&amp;"-"&amp;IF(ISNUMBER(Educator!D212),"G"&amp;Educator!D212,Educator!D212)&amp;"-"&amp;"2027"</f>
        <v>CID-FLH----2027</v>
      </c>
      <c r="B207" s="49" t="b">
        <f>IF(Educator!A212&gt;0,"topscorewriting.instructure.com")</f>
        <v>0</v>
      </c>
      <c r="C207" s="49" t="str">
        <f>Users!A207</f>
        <v>UID-FLH---2027</v>
      </c>
      <c r="D207" s="49" t="s">
        <v>103</v>
      </c>
      <c r="G207" s="49" t="b">
        <f>IF(Educator!B212&gt;0,"active")</f>
        <v>0</v>
      </c>
    </row>
    <row r="208" spans="1:7" x14ac:dyDescent="0.2">
      <c r="A2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","#",3))+1,1)&amp;"-"&amp;LEFT(Educator!B213, 3)&amp;"-"&amp;LEFT(Educator!A213, 3)&amp;"-"&amp;IF(ISNUMBER(Educator!D213),"G"&amp;Educator!D213,Educator!D213)&amp;"-"&amp;"2027"</f>
        <v>CID-FLH----2027</v>
      </c>
      <c r="B208" s="49" t="b">
        <f>IF(Educator!A213&gt;0,"topscorewriting.instructure.com")</f>
        <v>0</v>
      </c>
      <c r="C208" s="49" t="str">
        <f>Users!A208</f>
        <v>UID-FLH---2027</v>
      </c>
      <c r="D208" s="49" t="s">
        <v>103</v>
      </c>
      <c r="G208" s="49" t="b">
        <f>IF(Educator!B213&gt;0,"active")</f>
        <v>0</v>
      </c>
    </row>
    <row r="209" spans="1:7" x14ac:dyDescent="0.2">
      <c r="A2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","#",3))+1,1)&amp;"-"&amp;LEFT(Educator!B214, 3)&amp;"-"&amp;LEFT(Educator!A214, 3)&amp;"-"&amp;IF(ISNUMBER(Educator!D214),"G"&amp;Educator!D214,Educator!D214)&amp;"-"&amp;"2027"</f>
        <v>CID-FLH----2027</v>
      </c>
      <c r="B209" s="49" t="b">
        <f>IF(Educator!A214&gt;0,"topscorewriting.instructure.com")</f>
        <v>0</v>
      </c>
      <c r="C209" s="49" t="str">
        <f>Users!A209</f>
        <v>UID-FLH---2027</v>
      </c>
      <c r="D209" s="49" t="s">
        <v>103</v>
      </c>
      <c r="G209" s="49" t="b">
        <f>IF(Educator!B214&gt;0,"active")</f>
        <v>0</v>
      </c>
    </row>
    <row r="210" spans="1:7" x14ac:dyDescent="0.2">
      <c r="A2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","#",3))+1,1)&amp;"-"&amp;LEFT(Educator!B215, 3)&amp;"-"&amp;LEFT(Educator!A215, 3)&amp;"-"&amp;IF(ISNUMBER(Educator!D215),"G"&amp;Educator!D215,Educator!D215)&amp;"-"&amp;"2027"</f>
        <v>CID-FLH----2027</v>
      </c>
      <c r="B210" s="49" t="b">
        <f>IF(Educator!A215&gt;0,"topscorewriting.instructure.com")</f>
        <v>0</v>
      </c>
      <c r="C210" s="49" t="str">
        <f>Users!A210</f>
        <v>UID-FLH---2027</v>
      </c>
      <c r="D210" s="49" t="s">
        <v>103</v>
      </c>
      <c r="G210" s="49" t="b">
        <f>IF(Educator!B215&gt;0,"active")</f>
        <v>0</v>
      </c>
    </row>
    <row r="211" spans="1:7" x14ac:dyDescent="0.2">
      <c r="A2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","#",3))+1,1)&amp;"-"&amp;LEFT(Educator!B216, 3)&amp;"-"&amp;LEFT(Educator!A216, 3)&amp;"-"&amp;IF(ISNUMBER(Educator!D216),"G"&amp;Educator!D216,Educator!D216)&amp;"-"&amp;"2027"</f>
        <v>CID-FLH----2027</v>
      </c>
      <c r="B211" s="49" t="b">
        <f>IF(Educator!A216&gt;0,"topscorewriting.instructure.com")</f>
        <v>0</v>
      </c>
      <c r="C211" s="49" t="str">
        <f>Users!A211</f>
        <v>UID-FLH---2027</v>
      </c>
      <c r="D211" s="49" t="s">
        <v>103</v>
      </c>
      <c r="G211" s="49" t="b">
        <f>IF(Educator!B216&gt;0,"active")</f>
        <v>0</v>
      </c>
    </row>
    <row r="212" spans="1:7" x14ac:dyDescent="0.2">
      <c r="A2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","#",3))+1,1)&amp;"-"&amp;LEFT(Educator!B217, 3)&amp;"-"&amp;LEFT(Educator!A217, 3)&amp;"-"&amp;IF(ISNUMBER(Educator!D217),"G"&amp;Educator!D217,Educator!D217)&amp;"-"&amp;"2027"</f>
        <v>CID-FLH----2027</v>
      </c>
      <c r="B212" s="49" t="b">
        <f>IF(Educator!A217&gt;0,"topscorewriting.instructure.com")</f>
        <v>0</v>
      </c>
      <c r="C212" s="49" t="str">
        <f>Users!A212</f>
        <v>UID-FLH---2027</v>
      </c>
      <c r="D212" s="49" t="s">
        <v>103</v>
      </c>
      <c r="G212" s="49" t="b">
        <f>IF(Educator!B217&gt;0,"active")</f>
        <v>0</v>
      </c>
    </row>
    <row r="213" spans="1:7" x14ac:dyDescent="0.2">
      <c r="A2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","#",3))+1,1)&amp;"-"&amp;LEFT(Educator!B218, 3)&amp;"-"&amp;LEFT(Educator!A218, 3)&amp;"-"&amp;IF(ISNUMBER(Educator!D218),"G"&amp;Educator!D218,Educator!D218)&amp;"-"&amp;"2027"</f>
        <v>CID-FLH----2027</v>
      </c>
      <c r="B213" s="49" t="b">
        <f>IF(Educator!A218&gt;0,"topscorewriting.instructure.com")</f>
        <v>0</v>
      </c>
      <c r="C213" s="49" t="str">
        <f>Users!A213</f>
        <v>UID-FLH---2027</v>
      </c>
      <c r="D213" s="49" t="s">
        <v>103</v>
      </c>
      <c r="G213" s="49" t="b">
        <f>IF(Educator!B218&gt;0,"active")</f>
        <v>0</v>
      </c>
    </row>
    <row r="214" spans="1:7" x14ac:dyDescent="0.2">
      <c r="A2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","#",3))+1,1)&amp;"-"&amp;LEFT(Educator!B219, 3)&amp;"-"&amp;LEFT(Educator!A219, 3)&amp;"-"&amp;IF(ISNUMBER(Educator!D219),"G"&amp;Educator!D219,Educator!D219)&amp;"-"&amp;"2027"</f>
        <v>CID-FLH----2027</v>
      </c>
      <c r="B214" s="49" t="b">
        <f>IF(Educator!A219&gt;0,"topscorewriting.instructure.com")</f>
        <v>0</v>
      </c>
      <c r="C214" s="49" t="str">
        <f>Users!A214</f>
        <v>UID-FLH---2027</v>
      </c>
      <c r="D214" s="49" t="s">
        <v>103</v>
      </c>
      <c r="G214" s="49" t="b">
        <f>IF(Educator!B219&gt;0,"active")</f>
        <v>0</v>
      </c>
    </row>
    <row r="215" spans="1:7" x14ac:dyDescent="0.2">
      <c r="A2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","#",3))+1,1)&amp;"-"&amp;LEFT(Educator!B220, 3)&amp;"-"&amp;LEFT(Educator!A220, 3)&amp;"-"&amp;IF(ISNUMBER(Educator!D220),"G"&amp;Educator!D220,Educator!D220)&amp;"-"&amp;"2027"</f>
        <v>CID-FLH----2027</v>
      </c>
      <c r="B215" s="49" t="b">
        <f>IF(Educator!A220&gt;0,"topscorewriting.instructure.com")</f>
        <v>0</v>
      </c>
      <c r="C215" s="49" t="str">
        <f>Users!A215</f>
        <v>UID-FLH---2027</v>
      </c>
      <c r="D215" s="49" t="s">
        <v>103</v>
      </c>
      <c r="G215" s="49" t="b">
        <f>IF(Educator!B220&gt;0,"active")</f>
        <v>0</v>
      </c>
    </row>
    <row r="216" spans="1:7" x14ac:dyDescent="0.2">
      <c r="A2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","#",3))+1,1)&amp;"-"&amp;LEFT(Educator!B221, 3)&amp;"-"&amp;LEFT(Educator!A221, 3)&amp;"-"&amp;IF(ISNUMBER(Educator!D221),"G"&amp;Educator!D221,Educator!D221)&amp;"-"&amp;"2027"</f>
        <v>CID-FLH----2027</v>
      </c>
      <c r="B216" s="49" t="b">
        <f>IF(Educator!A221&gt;0,"topscorewriting.instructure.com")</f>
        <v>0</v>
      </c>
      <c r="C216" s="49" t="str">
        <f>Users!A216</f>
        <v>UID-FLH---2027</v>
      </c>
      <c r="D216" s="49" t="s">
        <v>103</v>
      </c>
      <c r="G216" s="49" t="b">
        <f>IF(Educator!B221&gt;0,"active")</f>
        <v>0</v>
      </c>
    </row>
    <row r="217" spans="1:7" x14ac:dyDescent="0.2">
      <c r="A2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","#",3))+1,1)&amp;"-"&amp;LEFT(Educator!B222, 3)&amp;"-"&amp;LEFT(Educator!A222, 3)&amp;"-"&amp;IF(ISNUMBER(Educator!D222),"G"&amp;Educator!D222,Educator!D222)&amp;"-"&amp;"2027"</f>
        <v>CID-FLH----2027</v>
      </c>
      <c r="B217" s="49" t="b">
        <f>IF(Educator!A222&gt;0,"topscorewriting.instructure.com")</f>
        <v>0</v>
      </c>
      <c r="C217" s="49" t="str">
        <f>Users!A217</f>
        <v>UID-FLH---2027</v>
      </c>
      <c r="D217" s="49" t="s">
        <v>103</v>
      </c>
      <c r="G217" s="49" t="b">
        <f>IF(Educator!B222&gt;0,"active")</f>
        <v>0</v>
      </c>
    </row>
    <row r="218" spans="1:7" x14ac:dyDescent="0.2">
      <c r="A2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","#",3))+1,1)&amp;"-"&amp;LEFT(Educator!B223, 3)&amp;"-"&amp;LEFT(Educator!A223, 3)&amp;"-"&amp;IF(ISNUMBER(Educator!D223),"G"&amp;Educator!D223,Educator!D223)&amp;"-"&amp;"2027"</f>
        <v>CID-FLH----2027</v>
      </c>
      <c r="B218" s="49" t="b">
        <f>IF(Educator!A223&gt;0,"topscorewriting.instructure.com")</f>
        <v>0</v>
      </c>
      <c r="C218" s="49" t="str">
        <f>Users!A218</f>
        <v>UID-FLH---2027</v>
      </c>
      <c r="D218" s="49" t="s">
        <v>103</v>
      </c>
      <c r="G218" s="49" t="b">
        <f>IF(Educator!B223&gt;0,"active")</f>
        <v>0</v>
      </c>
    </row>
    <row r="219" spans="1:7" x14ac:dyDescent="0.2">
      <c r="A2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","#",3))+1,1)&amp;"-"&amp;LEFT(Educator!B224, 3)&amp;"-"&amp;LEFT(Educator!A224, 3)&amp;"-"&amp;IF(ISNUMBER(Educator!D224),"G"&amp;Educator!D224,Educator!D224)&amp;"-"&amp;"2027"</f>
        <v>CID-FLH----2027</v>
      </c>
      <c r="B219" s="49" t="b">
        <f>IF(Educator!A224&gt;0,"topscorewriting.instructure.com")</f>
        <v>0</v>
      </c>
      <c r="C219" s="49" t="str">
        <f>Users!A219</f>
        <v>UID-FLH---2027</v>
      </c>
      <c r="D219" s="49" t="s">
        <v>103</v>
      </c>
      <c r="G219" s="49" t="b">
        <f>IF(Educator!B224&gt;0,"active")</f>
        <v>0</v>
      </c>
    </row>
    <row r="220" spans="1:7" x14ac:dyDescent="0.2">
      <c r="A2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","#",3))+1,1)&amp;"-"&amp;LEFT(Educator!B225, 3)&amp;"-"&amp;LEFT(Educator!A225, 3)&amp;"-"&amp;IF(ISNUMBER(Educator!D225),"G"&amp;Educator!D225,Educator!D225)&amp;"-"&amp;"2027"</f>
        <v>CID-FLH----2027</v>
      </c>
      <c r="B220" s="49" t="b">
        <f>IF(Educator!A225&gt;0,"topscorewriting.instructure.com")</f>
        <v>0</v>
      </c>
      <c r="C220" s="49" t="str">
        <f>Users!A220</f>
        <v>UID-FLH---2027</v>
      </c>
      <c r="D220" s="49" t="s">
        <v>103</v>
      </c>
      <c r="G220" s="49" t="b">
        <f>IF(Educator!B225&gt;0,"active")</f>
        <v>0</v>
      </c>
    </row>
    <row r="221" spans="1:7" x14ac:dyDescent="0.2">
      <c r="A2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","#",3))+1,1)&amp;"-"&amp;LEFT(Educator!B226, 3)&amp;"-"&amp;LEFT(Educator!A226, 3)&amp;"-"&amp;IF(ISNUMBER(Educator!D226),"G"&amp;Educator!D226,Educator!D226)&amp;"-"&amp;"2027"</f>
        <v>CID-FLH----2027</v>
      </c>
      <c r="B221" s="49" t="b">
        <f>IF(Educator!A226&gt;0,"topscorewriting.instructure.com")</f>
        <v>0</v>
      </c>
      <c r="C221" s="49" t="str">
        <f>Users!A221</f>
        <v>UID-FLH---2027</v>
      </c>
      <c r="D221" s="49" t="s">
        <v>103</v>
      </c>
      <c r="G221" s="49" t="b">
        <f>IF(Educator!B226&gt;0,"active")</f>
        <v>0</v>
      </c>
    </row>
    <row r="222" spans="1:7" x14ac:dyDescent="0.2">
      <c r="A2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","#",3))+1,1)&amp;"-"&amp;LEFT(Educator!B227, 3)&amp;"-"&amp;LEFT(Educator!A227, 3)&amp;"-"&amp;IF(ISNUMBER(Educator!D227),"G"&amp;Educator!D227,Educator!D227)&amp;"-"&amp;"2027"</f>
        <v>CID-FLH----2027</v>
      </c>
      <c r="B222" s="49" t="b">
        <f>IF(Educator!A227&gt;0,"topscorewriting.instructure.com")</f>
        <v>0</v>
      </c>
      <c r="C222" s="49" t="str">
        <f>Users!A222</f>
        <v>UID-FLH---2027</v>
      </c>
      <c r="D222" s="49" t="s">
        <v>103</v>
      </c>
      <c r="G222" s="49" t="b">
        <f>IF(Educator!B227&gt;0,"active")</f>
        <v>0</v>
      </c>
    </row>
    <row r="223" spans="1:7" x14ac:dyDescent="0.2">
      <c r="A2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","#",3))+1,1)&amp;"-"&amp;LEFT(Educator!B228, 3)&amp;"-"&amp;LEFT(Educator!A228, 3)&amp;"-"&amp;IF(ISNUMBER(Educator!D228),"G"&amp;Educator!D228,Educator!D228)&amp;"-"&amp;"2027"</f>
        <v>CID-FLH----2027</v>
      </c>
      <c r="B223" s="49" t="b">
        <f>IF(Educator!A228&gt;0,"topscorewriting.instructure.com")</f>
        <v>0</v>
      </c>
      <c r="C223" s="49" t="str">
        <f>Users!A223</f>
        <v>UID-FLH---2027</v>
      </c>
      <c r="D223" s="49" t="s">
        <v>103</v>
      </c>
      <c r="G223" s="49" t="b">
        <f>IF(Educator!B228&gt;0,"active")</f>
        <v>0</v>
      </c>
    </row>
    <row r="224" spans="1:7" x14ac:dyDescent="0.2">
      <c r="A2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","#",3))+1,1)&amp;"-"&amp;LEFT(Educator!B229, 3)&amp;"-"&amp;LEFT(Educator!A229, 3)&amp;"-"&amp;IF(ISNUMBER(Educator!D229),"G"&amp;Educator!D229,Educator!D229)&amp;"-"&amp;"2027"</f>
        <v>CID-FLH----2027</v>
      </c>
      <c r="B224" s="49" t="b">
        <f>IF(Educator!A229&gt;0,"topscorewriting.instructure.com")</f>
        <v>0</v>
      </c>
      <c r="C224" s="49" t="str">
        <f>Users!A224</f>
        <v>UID-FLH---2027</v>
      </c>
      <c r="D224" s="49" t="s">
        <v>103</v>
      </c>
      <c r="G224" s="49" t="b">
        <f>IF(Educator!B229&gt;0,"active")</f>
        <v>0</v>
      </c>
    </row>
    <row r="225" spans="1:7" x14ac:dyDescent="0.2">
      <c r="A2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","#",3))+1,1)&amp;"-"&amp;LEFT(Educator!B230, 3)&amp;"-"&amp;LEFT(Educator!A230, 3)&amp;"-"&amp;IF(ISNUMBER(Educator!D230),"G"&amp;Educator!D230,Educator!D230)&amp;"-"&amp;"2027"</f>
        <v>CID-FLH----2027</v>
      </c>
      <c r="B225" s="49" t="b">
        <f>IF(Educator!A230&gt;0,"topscorewriting.instructure.com")</f>
        <v>0</v>
      </c>
      <c r="C225" s="49" t="str">
        <f>Users!A225</f>
        <v>UID-FLH---2027</v>
      </c>
      <c r="D225" s="49" t="s">
        <v>103</v>
      </c>
      <c r="G225" s="49" t="b">
        <f>IF(Educator!B230&gt;0,"active")</f>
        <v>0</v>
      </c>
    </row>
    <row r="226" spans="1:7" x14ac:dyDescent="0.2">
      <c r="A2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","#",3))+1,1)&amp;"-"&amp;LEFT(Educator!B231, 3)&amp;"-"&amp;LEFT(Educator!A231, 3)&amp;"-"&amp;IF(ISNUMBER(Educator!D231),"G"&amp;Educator!D231,Educator!D231)&amp;"-"&amp;"2027"</f>
        <v>CID-FLH----2027</v>
      </c>
      <c r="B226" s="49" t="b">
        <f>IF(Educator!A231&gt;0,"topscorewriting.instructure.com")</f>
        <v>0</v>
      </c>
      <c r="C226" s="49" t="str">
        <f>Users!A226</f>
        <v>UID-FLH---2027</v>
      </c>
      <c r="D226" s="49" t="s">
        <v>103</v>
      </c>
      <c r="G226" s="49" t="b">
        <f>IF(Educator!B231&gt;0,"active")</f>
        <v>0</v>
      </c>
    </row>
    <row r="227" spans="1:7" x14ac:dyDescent="0.2">
      <c r="A2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","#",3))+1,1)&amp;"-"&amp;LEFT(Educator!B232, 3)&amp;"-"&amp;LEFT(Educator!A232, 3)&amp;"-"&amp;IF(ISNUMBER(Educator!D232),"G"&amp;Educator!D232,Educator!D232)&amp;"-"&amp;"2027"</f>
        <v>CID-FLH----2027</v>
      </c>
      <c r="B227" s="49" t="b">
        <f>IF(Educator!A232&gt;0,"topscorewriting.instructure.com")</f>
        <v>0</v>
      </c>
      <c r="C227" s="49" t="str">
        <f>Users!A227</f>
        <v>UID-FLH---2027</v>
      </c>
      <c r="D227" s="49" t="s">
        <v>103</v>
      </c>
      <c r="G227" s="49" t="b">
        <f>IF(Educator!B232&gt;0,"active")</f>
        <v>0</v>
      </c>
    </row>
    <row r="228" spans="1:7" x14ac:dyDescent="0.2">
      <c r="A2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","#",3))+1,1)&amp;"-"&amp;LEFT(Educator!B233, 3)&amp;"-"&amp;LEFT(Educator!A233, 3)&amp;"-"&amp;IF(ISNUMBER(Educator!D233),"G"&amp;Educator!D233,Educator!D233)&amp;"-"&amp;"2027"</f>
        <v>CID-FLH----2027</v>
      </c>
      <c r="B228" s="49" t="b">
        <f>IF(Educator!A233&gt;0,"topscorewriting.instructure.com")</f>
        <v>0</v>
      </c>
      <c r="C228" s="49" t="str">
        <f>Users!A228</f>
        <v>UID-FLH---2027</v>
      </c>
      <c r="D228" s="49" t="s">
        <v>103</v>
      </c>
      <c r="G228" s="49" t="b">
        <f>IF(Educator!B233&gt;0,"active")</f>
        <v>0</v>
      </c>
    </row>
    <row r="229" spans="1:7" x14ac:dyDescent="0.2">
      <c r="A2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","#",3))+1,1)&amp;"-"&amp;LEFT(Educator!B234, 3)&amp;"-"&amp;LEFT(Educator!A234, 3)&amp;"-"&amp;IF(ISNUMBER(Educator!D234),"G"&amp;Educator!D234,Educator!D234)&amp;"-"&amp;"2027"</f>
        <v>CID-FLH----2027</v>
      </c>
      <c r="B229" s="49" t="b">
        <f>IF(Educator!A234&gt;0,"topscorewriting.instructure.com")</f>
        <v>0</v>
      </c>
      <c r="C229" s="49" t="str">
        <f>Users!A229</f>
        <v>UID-FLH---2027</v>
      </c>
      <c r="D229" s="49" t="s">
        <v>103</v>
      </c>
      <c r="G229" s="49" t="b">
        <f>IF(Educator!B234&gt;0,"active")</f>
        <v>0</v>
      </c>
    </row>
    <row r="230" spans="1:7" x14ac:dyDescent="0.2">
      <c r="A2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","#",3))+1,1)&amp;"-"&amp;LEFT(Educator!B235, 3)&amp;"-"&amp;LEFT(Educator!A235, 3)&amp;"-"&amp;IF(ISNUMBER(Educator!D235),"G"&amp;Educator!D235,Educator!D235)&amp;"-"&amp;"2027"</f>
        <v>CID-FLH----2027</v>
      </c>
      <c r="B230" s="49" t="b">
        <f>IF(Educator!A235&gt;0,"topscorewriting.instructure.com")</f>
        <v>0</v>
      </c>
      <c r="C230" s="49" t="str">
        <f>Users!A230</f>
        <v>UID-FLH---2027</v>
      </c>
      <c r="D230" s="49" t="s">
        <v>103</v>
      </c>
      <c r="G230" s="49" t="b">
        <f>IF(Educator!B235&gt;0,"active")</f>
        <v>0</v>
      </c>
    </row>
    <row r="231" spans="1:7" x14ac:dyDescent="0.2">
      <c r="A2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","#",3))+1,1)&amp;"-"&amp;LEFT(Educator!B236, 3)&amp;"-"&amp;LEFT(Educator!A236, 3)&amp;"-"&amp;IF(ISNUMBER(Educator!D236),"G"&amp;Educator!D236,Educator!D236)&amp;"-"&amp;"2027"</f>
        <v>CID-FLH----2027</v>
      </c>
      <c r="B231" s="49" t="b">
        <f>IF(Educator!A236&gt;0,"topscorewriting.instructure.com")</f>
        <v>0</v>
      </c>
      <c r="C231" s="49" t="str">
        <f>Users!A231</f>
        <v>UID-FLH---2027</v>
      </c>
      <c r="D231" s="49" t="s">
        <v>103</v>
      </c>
      <c r="G231" s="49" t="b">
        <f>IF(Educator!B236&gt;0,"active")</f>
        <v>0</v>
      </c>
    </row>
    <row r="232" spans="1:7" x14ac:dyDescent="0.2">
      <c r="A2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","#",3))+1,1)&amp;"-"&amp;LEFT(Educator!B237, 3)&amp;"-"&amp;LEFT(Educator!A237, 3)&amp;"-"&amp;IF(ISNUMBER(Educator!D237),"G"&amp;Educator!D237,Educator!D237)&amp;"-"&amp;"2027"</f>
        <v>CID-FLH----2027</v>
      </c>
      <c r="B232" s="49" t="b">
        <f>IF(Educator!A237&gt;0,"topscorewriting.instructure.com")</f>
        <v>0</v>
      </c>
      <c r="C232" s="49" t="str">
        <f>Users!A232</f>
        <v>UID-FLH---2027</v>
      </c>
      <c r="D232" s="49" t="s">
        <v>103</v>
      </c>
      <c r="G232" s="49" t="b">
        <f>IF(Educator!B237&gt;0,"active")</f>
        <v>0</v>
      </c>
    </row>
    <row r="233" spans="1:7" x14ac:dyDescent="0.2">
      <c r="A2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","#",3))+1,1)&amp;"-"&amp;LEFT(Educator!B238, 3)&amp;"-"&amp;LEFT(Educator!A238, 3)&amp;"-"&amp;IF(ISNUMBER(Educator!D238),"G"&amp;Educator!D238,Educator!D238)&amp;"-"&amp;"2027"</f>
        <v>CID-FLH----2027</v>
      </c>
      <c r="B233" s="49" t="b">
        <f>IF(Educator!A238&gt;0,"topscorewriting.instructure.com")</f>
        <v>0</v>
      </c>
      <c r="C233" s="49" t="str">
        <f>Users!A233</f>
        <v>UID-FLH---2027</v>
      </c>
      <c r="D233" s="49" t="s">
        <v>103</v>
      </c>
      <c r="G233" s="49" t="b">
        <f>IF(Educator!B238&gt;0,"active")</f>
        <v>0</v>
      </c>
    </row>
    <row r="234" spans="1:7" x14ac:dyDescent="0.2">
      <c r="A2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","#",3))+1,1)&amp;"-"&amp;LEFT(Educator!B239, 3)&amp;"-"&amp;LEFT(Educator!A239, 3)&amp;"-"&amp;IF(ISNUMBER(Educator!D239),"G"&amp;Educator!D239,Educator!D239)&amp;"-"&amp;"2027"</f>
        <v>CID-FLH----2027</v>
      </c>
      <c r="B234" s="49" t="b">
        <f>IF(Educator!A239&gt;0,"topscorewriting.instructure.com")</f>
        <v>0</v>
      </c>
      <c r="C234" s="49" t="str">
        <f>Users!A234</f>
        <v>UID-FLH---2027</v>
      </c>
      <c r="D234" s="49" t="s">
        <v>103</v>
      </c>
      <c r="G234" s="49" t="b">
        <f>IF(Educator!B239&gt;0,"active")</f>
        <v>0</v>
      </c>
    </row>
    <row r="235" spans="1:7" x14ac:dyDescent="0.2">
      <c r="A2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","#",3))+1,1)&amp;"-"&amp;LEFT(Educator!B240, 3)&amp;"-"&amp;LEFT(Educator!A240, 3)&amp;"-"&amp;IF(ISNUMBER(Educator!D240),"G"&amp;Educator!D240,Educator!D240)&amp;"-"&amp;"2027"</f>
        <v>CID-FLH----2027</v>
      </c>
      <c r="B235" s="49" t="b">
        <f>IF(Educator!A240&gt;0,"topscorewriting.instructure.com")</f>
        <v>0</v>
      </c>
      <c r="C235" s="49" t="str">
        <f>Users!A235</f>
        <v>UID-FLH---2027</v>
      </c>
      <c r="D235" s="49" t="s">
        <v>103</v>
      </c>
      <c r="G235" s="49" t="b">
        <f>IF(Educator!B240&gt;0,"active")</f>
        <v>0</v>
      </c>
    </row>
    <row r="236" spans="1:7" x14ac:dyDescent="0.2">
      <c r="A2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","#",3))+1,1)&amp;"-"&amp;LEFT(Educator!B241, 3)&amp;"-"&amp;LEFT(Educator!A241, 3)&amp;"-"&amp;IF(ISNUMBER(Educator!D241),"G"&amp;Educator!D241,Educator!D241)&amp;"-"&amp;"2027"</f>
        <v>CID-FLH----2027</v>
      </c>
      <c r="B236" s="49" t="b">
        <f>IF(Educator!A241&gt;0,"topscorewriting.instructure.com")</f>
        <v>0</v>
      </c>
      <c r="C236" s="49" t="str">
        <f>Users!A236</f>
        <v>UID-FLH---2027</v>
      </c>
      <c r="D236" s="49" t="s">
        <v>103</v>
      </c>
      <c r="G236" s="49" t="b">
        <f>IF(Educator!B241&gt;0,"active")</f>
        <v>0</v>
      </c>
    </row>
    <row r="237" spans="1:7" x14ac:dyDescent="0.2">
      <c r="A2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","#",3))+1,1)&amp;"-"&amp;LEFT(Educator!B242, 3)&amp;"-"&amp;LEFT(Educator!A242, 3)&amp;"-"&amp;IF(ISNUMBER(Educator!D242),"G"&amp;Educator!D242,Educator!D242)&amp;"-"&amp;"2027"</f>
        <v>CID-FLH----2027</v>
      </c>
      <c r="B237" s="49" t="b">
        <f>IF(Educator!A242&gt;0,"topscorewriting.instructure.com")</f>
        <v>0</v>
      </c>
      <c r="C237" s="49" t="str">
        <f>Users!A237</f>
        <v>UID-FLH---2027</v>
      </c>
      <c r="D237" s="49" t="s">
        <v>103</v>
      </c>
      <c r="G237" s="49" t="b">
        <f>IF(Educator!B242&gt;0,"active")</f>
        <v>0</v>
      </c>
    </row>
    <row r="238" spans="1:7" x14ac:dyDescent="0.2">
      <c r="A2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","#",3))+1,1)&amp;"-"&amp;LEFT(Educator!B243, 3)&amp;"-"&amp;LEFT(Educator!A243, 3)&amp;"-"&amp;IF(ISNUMBER(Educator!D243),"G"&amp;Educator!D243,Educator!D243)&amp;"-"&amp;"2027"</f>
        <v>CID-FLH----2027</v>
      </c>
      <c r="B238" s="49" t="b">
        <f>IF(Educator!A243&gt;0,"topscorewriting.instructure.com")</f>
        <v>0</v>
      </c>
      <c r="C238" s="49" t="str">
        <f>Users!A238</f>
        <v>UID-FLH---2027</v>
      </c>
      <c r="D238" s="49" t="s">
        <v>103</v>
      </c>
      <c r="G238" s="49" t="b">
        <f>IF(Educator!B243&gt;0,"active")</f>
        <v>0</v>
      </c>
    </row>
    <row r="239" spans="1:7" x14ac:dyDescent="0.2">
      <c r="A2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","#",3))+1,1)&amp;"-"&amp;LEFT(Educator!B244, 3)&amp;"-"&amp;LEFT(Educator!A244, 3)&amp;"-"&amp;IF(ISNUMBER(Educator!D244),"G"&amp;Educator!D244,Educator!D244)&amp;"-"&amp;"2027"</f>
        <v>CID-FLH----2027</v>
      </c>
      <c r="B239" s="49" t="b">
        <f>IF(Educator!A244&gt;0,"topscorewriting.instructure.com")</f>
        <v>0</v>
      </c>
      <c r="C239" s="49" t="str">
        <f>Users!A239</f>
        <v>UID-FLH---2027</v>
      </c>
      <c r="D239" s="49" t="s">
        <v>103</v>
      </c>
      <c r="G239" s="49" t="b">
        <f>IF(Educator!B244&gt;0,"active")</f>
        <v>0</v>
      </c>
    </row>
    <row r="240" spans="1:7" x14ac:dyDescent="0.2">
      <c r="A2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","#",3))+1,1)&amp;"-"&amp;LEFT(Educator!B245, 3)&amp;"-"&amp;LEFT(Educator!A245, 3)&amp;"-"&amp;IF(ISNUMBER(Educator!D245),"G"&amp;Educator!D245,Educator!D245)&amp;"-"&amp;"2027"</f>
        <v>CID-FLH----2027</v>
      </c>
      <c r="B240" s="49" t="b">
        <f>IF(Educator!A245&gt;0,"topscorewriting.instructure.com")</f>
        <v>0</v>
      </c>
      <c r="C240" s="49" t="str">
        <f>Users!A240</f>
        <v>UID-FLH---2027</v>
      </c>
      <c r="D240" s="49" t="s">
        <v>103</v>
      </c>
      <c r="G240" s="49" t="b">
        <f>IF(Educator!B245&gt;0,"active")</f>
        <v>0</v>
      </c>
    </row>
    <row r="241" spans="1:7" x14ac:dyDescent="0.2">
      <c r="A2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","#",3))+1,1)&amp;"-"&amp;LEFT(Educator!B246, 3)&amp;"-"&amp;LEFT(Educator!A246, 3)&amp;"-"&amp;IF(ISNUMBER(Educator!D246),"G"&amp;Educator!D246,Educator!D246)&amp;"-"&amp;"2027"</f>
        <v>CID-FLH----2027</v>
      </c>
      <c r="B241" s="49" t="b">
        <f>IF(Educator!A246&gt;0,"topscorewriting.instructure.com")</f>
        <v>0</v>
      </c>
      <c r="C241" s="49" t="str">
        <f>Users!A241</f>
        <v>UID-FLH---2027</v>
      </c>
      <c r="D241" s="49" t="s">
        <v>103</v>
      </c>
      <c r="G241" s="49" t="b">
        <f>IF(Educator!B246&gt;0,"active")</f>
        <v>0</v>
      </c>
    </row>
    <row r="242" spans="1:7" x14ac:dyDescent="0.2">
      <c r="A2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","#",3))+1,1)&amp;"-"&amp;LEFT(Educator!B247, 3)&amp;"-"&amp;LEFT(Educator!A247, 3)&amp;"-"&amp;IF(ISNUMBER(Educator!D247),"G"&amp;Educator!D247,Educator!D247)&amp;"-"&amp;"2027"</f>
        <v>CID-FLH----2027</v>
      </c>
      <c r="B242" s="49" t="b">
        <f>IF(Educator!A247&gt;0,"topscorewriting.instructure.com")</f>
        <v>0</v>
      </c>
      <c r="C242" s="49" t="str">
        <f>Users!A242</f>
        <v>UID-FLH---2027</v>
      </c>
      <c r="D242" s="49" t="s">
        <v>103</v>
      </c>
      <c r="G242" s="49" t="b">
        <f>IF(Educator!B247&gt;0,"active")</f>
        <v>0</v>
      </c>
    </row>
    <row r="243" spans="1:7" x14ac:dyDescent="0.2">
      <c r="A2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","#",3))+1,1)&amp;"-"&amp;LEFT(Educator!B248, 3)&amp;"-"&amp;LEFT(Educator!A248, 3)&amp;"-"&amp;IF(ISNUMBER(Educator!D248),"G"&amp;Educator!D248,Educator!D248)&amp;"-"&amp;"2027"</f>
        <v>CID-FLH----2027</v>
      </c>
      <c r="B243" s="49" t="b">
        <f>IF(Educator!A248&gt;0,"topscorewriting.instructure.com")</f>
        <v>0</v>
      </c>
      <c r="C243" s="49" t="str">
        <f>Users!A243</f>
        <v>UID-FLH---2027</v>
      </c>
      <c r="D243" s="49" t="s">
        <v>103</v>
      </c>
      <c r="G243" s="49" t="b">
        <f>IF(Educator!B248&gt;0,"active")</f>
        <v>0</v>
      </c>
    </row>
    <row r="244" spans="1:7" x14ac:dyDescent="0.2">
      <c r="A2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","#",3))+1,1)&amp;"-"&amp;LEFT(Educator!B249, 3)&amp;"-"&amp;LEFT(Educator!A249, 3)&amp;"-"&amp;IF(ISNUMBER(Educator!D249),"G"&amp;Educator!D249,Educator!D249)&amp;"-"&amp;"2027"</f>
        <v>CID-FLH----2027</v>
      </c>
      <c r="B244" s="49" t="b">
        <f>IF(Educator!A249&gt;0,"topscorewriting.instructure.com")</f>
        <v>0</v>
      </c>
      <c r="C244" s="49" t="str">
        <f>Users!A244</f>
        <v>UID-FLH---2027</v>
      </c>
      <c r="D244" s="49" t="s">
        <v>103</v>
      </c>
      <c r="G244" s="49" t="b">
        <f>IF(Educator!B249&gt;0,"active")</f>
        <v>0</v>
      </c>
    </row>
    <row r="245" spans="1:7" x14ac:dyDescent="0.2">
      <c r="A2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","#",3))+1,1)&amp;"-"&amp;LEFT(Educator!B250, 3)&amp;"-"&amp;LEFT(Educator!A250, 3)&amp;"-"&amp;IF(ISNUMBER(Educator!D250),"G"&amp;Educator!D250,Educator!D250)&amp;"-"&amp;"2027"</f>
        <v>CID-FLH----2027</v>
      </c>
      <c r="B245" s="49" t="b">
        <f>IF(Educator!A250&gt;0,"topscorewriting.instructure.com")</f>
        <v>0</v>
      </c>
      <c r="C245" s="49" t="str">
        <f>Users!A245</f>
        <v>UID-FLH---2027</v>
      </c>
      <c r="D245" s="49" t="s">
        <v>103</v>
      </c>
      <c r="G245" s="49" t="b">
        <f>IF(Educator!B250&gt;0,"active")</f>
        <v>0</v>
      </c>
    </row>
    <row r="246" spans="1:7" x14ac:dyDescent="0.2">
      <c r="A2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","#",3))+1,1)&amp;"-"&amp;LEFT(Educator!B251, 3)&amp;"-"&amp;LEFT(Educator!A251, 3)&amp;"-"&amp;IF(ISNUMBER(Educator!D251),"G"&amp;Educator!D251,Educator!D251)&amp;"-"&amp;"2027"</f>
        <v>CID-FLH----2027</v>
      </c>
      <c r="B246" s="49" t="b">
        <f>IF(Educator!A251&gt;0,"topscorewriting.instructure.com")</f>
        <v>0</v>
      </c>
      <c r="C246" s="49" t="str">
        <f>Users!A246</f>
        <v>UID-FLH---2027</v>
      </c>
      <c r="D246" s="49" t="s">
        <v>103</v>
      </c>
      <c r="G246" s="49" t="b">
        <f>IF(Educator!B251&gt;0,"active")</f>
        <v>0</v>
      </c>
    </row>
    <row r="247" spans="1:7" x14ac:dyDescent="0.2">
      <c r="A2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","#",3))+1,1)&amp;"-"&amp;LEFT(Educator!B252, 3)&amp;"-"&amp;LEFT(Educator!A252, 3)&amp;"-"&amp;IF(ISNUMBER(Educator!D252),"G"&amp;Educator!D252,Educator!D252)&amp;"-"&amp;"2027"</f>
        <v>CID-FLH----2027</v>
      </c>
      <c r="B247" s="49" t="b">
        <f>IF(Educator!A252&gt;0,"topscorewriting.instructure.com")</f>
        <v>0</v>
      </c>
      <c r="C247" s="49" t="str">
        <f>Users!A247</f>
        <v>UID-FLH---2027</v>
      </c>
      <c r="D247" s="49" t="s">
        <v>103</v>
      </c>
      <c r="G247" s="49" t="b">
        <f>IF(Educator!B252&gt;0,"active")</f>
        <v>0</v>
      </c>
    </row>
    <row r="248" spans="1:7" x14ac:dyDescent="0.2">
      <c r="A2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","#",3))+1,1)&amp;"-"&amp;LEFT(Educator!B253, 3)&amp;"-"&amp;LEFT(Educator!A253, 3)&amp;"-"&amp;IF(ISNUMBER(Educator!D253),"G"&amp;Educator!D253,Educator!D253)&amp;"-"&amp;"2027"</f>
        <v>CID-FLH----2027</v>
      </c>
      <c r="B248" s="49" t="b">
        <f>IF(Educator!A253&gt;0,"topscorewriting.instructure.com")</f>
        <v>0</v>
      </c>
      <c r="C248" s="49" t="str">
        <f>Users!A248</f>
        <v>UID-FLH---2027</v>
      </c>
      <c r="D248" s="49" t="s">
        <v>103</v>
      </c>
      <c r="G248" s="49" t="b">
        <f>IF(Educator!B253&gt;0,"active")</f>
        <v>0</v>
      </c>
    </row>
    <row r="249" spans="1:7" x14ac:dyDescent="0.2">
      <c r="A2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","#",3))+1,1)&amp;"-"&amp;LEFT(Educator!B254, 3)&amp;"-"&amp;LEFT(Educator!A254, 3)&amp;"-"&amp;IF(ISNUMBER(Educator!D254),"G"&amp;Educator!D254,Educator!D254)&amp;"-"&amp;"2027"</f>
        <v>CID-FLH----2027</v>
      </c>
      <c r="B249" s="49" t="b">
        <f>IF(Educator!A254&gt;0,"topscorewriting.instructure.com")</f>
        <v>0</v>
      </c>
      <c r="C249" s="49" t="str">
        <f>Users!A249</f>
        <v>UID-FLH---2027</v>
      </c>
      <c r="D249" s="49" t="s">
        <v>103</v>
      </c>
      <c r="G249" s="49" t="b">
        <f>IF(Educator!B254&gt;0,"active")</f>
        <v>0</v>
      </c>
    </row>
    <row r="250" spans="1:7" x14ac:dyDescent="0.2">
      <c r="A2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","#",3))+1,1)&amp;"-"&amp;LEFT(Educator!B255, 3)&amp;"-"&amp;LEFT(Educator!A255, 3)&amp;"-"&amp;IF(ISNUMBER(Educator!D255),"G"&amp;Educator!D255,Educator!D255)&amp;"-"&amp;"2027"</f>
        <v>CID-FLH----2027</v>
      </c>
      <c r="B250" s="49" t="b">
        <f>IF(Educator!A255&gt;0,"topscorewriting.instructure.com")</f>
        <v>0</v>
      </c>
      <c r="C250" s="49" t="str">
        <f>Users!A250</f>
        <v>UID-FLH---2027</v>
      </c>
      <c r="D250" s="49" t="s">
        <v>103</v>
      </c>
      <c r="G250" s="49" t="b">
        <f>IF(Educator!B255&gt;0,"active")</f>
        <v>0</v>
      </c>
    </row>
    <row r="251" spans="1:7" x14ac:dyDescent="0.2">
      <c r="A2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","#",3))+1,1)&amp;"-"&amp;LEFT(Educator!B256, 3)&amp;"-"&amp;LEFT(Educator!A256, 3)&amp;"-"&amp;IF(ISNUMBER(Educator!D256),"G"&amp;Educator!D256,Educator!D256)&amp;"-"&amp;"2027"</f>
        <v>CID-FLH----2027</v>
      </c>
      <c r="B251" s="49" t="b">
        <f>IF(Educator!A256&gt;0,"topscorewriting.instructure.com")</f>
        <v>0</v>
      </c>
      <c r="C251" s="49" t="str">
        <f>Users!A251</f>
        <v>UID-FLH---2027</v>
      </c>
      <c r="D251" s="49" t="s">
        <v>103</v>
      </c>
      <c r="G251" s="49" t="b">
        <f>IF(Educator!B256&gt;0,"active")</f>
        <v>0</v>
      </c>
    </row>
    <row r="252" spans="1:7" x14ac:dyDescent="0.2">
      <c r="A2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","#",3))+1,1)&amp;"-"&amp;LEFT(Educator!B257, 3)&amp;"-"&amp;LEFT(Educator!A257, 3)&amp;"-"&amp;IF(ISNUMBER(Educator!D257),"G"&amp;Educator!D257,Educator!D257)&amp;"-"&amp;"2027"</f>
        <v>CID-FLH----2027</v>
      </c>
      <c r="B252" s="49" t="b">
        <f>IF(Educator!A257&gt;0,"topscorewriting.instructure.com")</f>
        <v>0</v>
      </c>
      <c r="C252" s="49" t="str">
        <f>Users!A252</f>
        <v>UID-FLH---2027</v>
      </c>
      <c r="D252" s="49" t="s">
        <v>103</v>
      </c>
      <c r="G252" s="49" t="b">
        <f>IF(Educator!B257&gt;0,"active")</f>
        <v>0</v>
      </c>
    </row>
    <row r="253" spans="1:7" x14ac:dyDescent="0.2">
      <c r="A2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","#",3))+1,1)&amp;"-"&amp;LEFT(Educator!B258, 3)&amp;"-"&amp;LEFT(Educator!A258, 3)&amp;"-"&amp;IF(ISNUMBER(Educator!D258),"G"&amp;Educator!D258,Educator!D258)&amp;"-"&amp;"2027"</f>
        <v>CID-FLH----2027</v>
      </c>
      <c r="B253" s="49" t="b">
        <f>IF(Educator!A258&gt;0,"topscorewriting.instructure.com")</f>
        <v>0</v>
      </c>
      <c r="C253" s="49" t="str">
        <f>Users!A253</f>
        <v>UID-FLH---2027</v>
      </c>
      <c r="D253" s="49" t="s">
        <v>103</v>
      </c>
      <c r="G253" s="49" t="b">
        <f>IF(Educator!B258&gt;0,"active")</f>
        <v>0</v>
      </c>
    </row>
    <row r="254" spans="1:7" x14ac:dyDescent="0.2">
      <c r="A2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","#",3))+1,1)&amp;"-"&amp;LEFT(Educator!B259, 3)&amp;"-"&amp;LEFT(Educator!A259, 3)&amp;"-"&amp;IF(ISNUMBER(Educator!D259),"G"&amp;Educator!D259,Educator!D259)&amp;"-"&amp;"2027"</f>
        <v>CID-FLH----2027</v>
      </c>
      <c r="B254" s="49" t="b">
        <f>IF(Educator!A259&gt;0,"topscorewriting.instructure.com")</f>
        <v>0</v>
      </c>
      <c r="C254" s="49" t="str">
        <f>Users!A254</f>
        <v>UID-FLH---2027</v>
      </c>
      <c r="D254" s="49" t="s">
        <v>103</v>
      </c>
      <c r="G254" s="49" t="b">
        <f>IF(Educator!B259&gt;0,"active")</f>
        <v>0</v>
      </c>
    </row>
    <row r="255" spans="1:7" x14ac:dyDescent="0.2">
      <c r="A2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","#",3))+1,1)&amp;"-"&amp;LEFT(Educator!B260, 3)&amp;"-"&amp;LEFT(Educator!A260, 3)&amp;"-"&amp;IF(ISNUMBER(Educator!D260),"G"&amp;Educator!D260,Educator!D260)&amp;"-"&amp;"2027"</f>
        <v>CID-FLH----2027</v>
      </c>
      <c r="B255" s="49" t="b">
        <f>IF(Educator!A260&gt;0,"topscorewriting.instructure.com")</f>
        <v>0</v>
      </c>
      <c r="C255" s="49" t="str">
        <f>Users!A255</f>
        <v>UID-FLH---2027</v>
      </c>
      <c r="D255" s="49" t="s">
        <v>103</v>
      </c>
      <c r="G255" s="49" t="b">
        <f>IF(Educator!B260&gt;0,"active")</f>
        <v>0</v>
      </c>
    </row>
    <row r="256" spans="1:7" x14ac:dyDescent="0.2">
      <c r="A2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","#",3))+1,1)&amp;"-"&amp;LEFT(Educator!B261, 3)&amp;"-"&amp;LEFT(Educator!A261, 3)&amp;"-"&amp;IF(ISNUMBER(Educator!D261),"G"&amp;Educator!D261,Educator!D261)&amp;"-"&amp;"2027"</f>
        <v>CID-FLH----2027</v>
      </c>
      <c r="B256" s="49" t="b">
        <f>IF(Educator!A261&gt;0,"topscorewriting.instructure.com")</f>
        <v>0</v>
      </c>
      <c r="C256" s="49" t="str">
        <f>Users!A256</f>
        <v>UID-FLH---2027</v>
      </c>
      <c r="D256" s="49" t="s">
        <v>103</v>
      </c>
      <c r="G256" s="49" t="b">
        <f>IF(Educator!B261&gt;0,"active")</f>
        <v>0</v>
      </c>
    </row>
    <row r="257" spans="1:7" x14ac:dyDescent="0.2">
      <c r="A2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","#",3))+1,1)&amp;"-"&amp;LEFT(Educator!B262, 3)&amp;"-"&amp;LEFT(Educator!A262, 3)&amp;"-"&amp;IF(ISNUMBER(Educator!D262),"G"&amp;Educator!D262,Educator!D262)&amp;"-"&amp;"2027"</f>
        <v>CID-FLH----2027</v>
      </c>
      <c r="B257" s="49" t="b">
        <f>IF(Educator!A262&gt;0,"topscorewriting.instructure.com")</f>
        <v>0</v>
      </c>
      <c r="C257" s="49" t="str">
        <f>Users!A257</f>
        <v>UID-FLH---2027</v>
      </c>
      <c r="D257" s="49" t="s">
        <v>103</v>
      </c>
      <c r="G257" s="49" t="b">
        <f>IF(Educator!B262&gt;0,"active")</f>
        <v>0</v>
      </c>
    </row>
    <row r="258" spans="1:7" x14ac:dyDescent="0.2">
      <c r="A2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","#",3))+1,1)&amp;"-"&amp;LEFT(Educator!B263, 3)&amp;"-"&amp;LEFT(Educator!A263, 3)&amp;"-"&amp;IF(ISNUMBER(Educator!D263),"G"&amp;Educator!D263,Educator!D263)&amp;"-"&amp;"2027"</f>
        <v>CID-FLH----2027</v>
      </c>
      <c r="B258" s="49" t="b">
        <f>IF(Educator!A263&gt;0,"topscorewriting.instructure.com")</f>
        <v>0</v>
      </c>
      <c r="C258" s="49" t="str">
        <f>Users!A258</f>
        <v>UID-FLH---2027</v>
      </c>
      <c r="D258" s="49" t="s">
        <v>103</v>
      </c>
      <c r="G258" s="49" t="b">
        <f>IF(Educator!B263&gt;0,"active")</f>
        <v>0</v>
      </c>
    </row>
    <row r="259" spans="1:7" x14ac:dyDescent="0.2">
      <c r="A2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","#",3))+1,1)&amp;"-"&amp;LEFT(Educator!B264, 3)&amp;"-"&amp;LEFT(Educator!A264, 3)&amp;"-"&amp;IF(ISNUMBER(Educator!D264),"G"&amp;Educator!D264,Educator!D264)&amp;"-"&amp;"2027"</f>
        <v>CID-FLH----2027</v>
      </c>
      <c r="B259" s="49" t="b">
        <f>IF(Educator!A264&gt;0,"topscorewriting.instructure.com")</f>
        <v>0</v>
      </c>
      <c r="C259" s="49" t="str">
        <f>Users!A259</f>
        <v>UID-FLH---2027</v>
      </c>
      <c r="D259" s="49" t="s">
        <v>103</v>
      </c>
      <c r="G259" s="49" t="b">
        <f>IF(Educator!B264&gt;0,"active")</f>
        <v>0</v>
      </c>
    </row>
    <row r="260" spans="1:7" x14ac:dyDescent="0.2">
      <c r="A2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","#",3))+1,1)&amp;"-"&amp;LEFT(Educator!B265, 3)&amp;"-"&amp;LEFT(Educator!A265, 3)&amp;"-"&amp;IF(ISNUMBER(Educator!D265),"G"&amp;Educator!D265,Educator!D265)&amp;"-"&amp;"2027"</f>
        <v>CID-FLH----2027</v>
      </c>
      <c r="B260" s="49" t="b">
        <f>IF(Educator!A265&gt;0,"topscorewriting.instructure.com")</f>
        <v>0</v>
      </c>
      <c r="C260" s="49" t="str">
        <f>Users!A260</f>
        <v>UID-FLH---2027</v>
      </c>
      <c r="D260" s="49" t="s">
        <v>103</v>
      </c>
      <c r="G260" s="49" t="b">
        <f>IF(Educator!B265&gt;0,"active")</f>
        <v>0</v>
      </c>
    </row>
    <row r="261" spans="1:7" x14ac:dyDescent="0.2">
      <c r="A2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","#",3))+1,1)&amp;"-"&amp;LEFT(Educator!B266, 3)&amp;"-"&amp;LEFT(Educator!A266, 3)&amp;"-"&amp;IF(ISNUMBER(Educator!D266),"G"&amp;Educator!D266,Educator!D266)&amp;"-"&amp;"2027"</f>
        <v>CID-FLH----2027</v>
      </c>
      <c r="B261" s="49" t="b">
        <f>IF(Educator!A266&gt;0,"topscorewriting.instructure.com")</f>
        <v>0</v>
      </c>
      <c r="C261" s="49" t="str">
        <f>Users!A261</f>
        <v>UID-FLH---2027</v>
      </c>
      <c r="D261" s="49" t="s">
        <v>103</v>
      </c>
      <c r="G261" s="49" t="b">
        <f>IF(Educator!B266&gt;0,"active")</f>
        <v>0</v>
      </c>
    </row>
    <row r="262" spans="1:7" x14ac:dyDescent="0.2">
      <c r="A2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","#",3))+1,1)&amp;"-"&amp;LEFT(Educator!B267, 3)&amp;"-"&amp;LEFT(Educator!A267, 3)&amp;"-"&amp;IF(ISNUMBER(Educator!D267),"G"&amp;Educator!D267,Educator!D267)&amp;"-"&amp;"2027"</f>
        <v>CID-FLH----2027</v>
      </c>
      <c r="B262" s="49" t="b">
        <f>IF(Educator!A267&gt;0,"topscorewriting.instructure.com")</f>
        <v>0</v>
      </c>
      <c r="C262" s="49" t="str">
        <f>Users!A262</f>
        <v>UID-FLH---2027</v>
      </c>
      <c r="D262" s="49" t="s">
        <v>103</v>
      </c>
      <c r="G262" s="49" t="b">
        <f>IF(Educator!B267&gt;0,"active")</f>
        <v>0</v>
      </c>
    </row>
    <row r="263" spans="1:7" x14ac:dyDescent="0.2">
      <c r="A2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","#",3))+1,1)&amp;"-"&amp;LEFT(Educator!B268, 3)&amp;"-"&amp;LEFT(Educator!A268, 3)&amp;"-"&amp;IF(ISNUMBER(Educator!D268),"G"&amp;Educator!D268,Educator!D268)&amp;"-"&amp;"2027"</f>
        <v>CID-FLH----2027</v>
      </c>
      <c r="B263" s="49" t="b">
        <f>IF(Educator!A268&gt;0,"topscorewriting.instructure.com")</f>
        <v>0</v>
      </c>
      <c r="C263" s="49" t="str">
        <f>Users!A263</f>
        <v>UID-FLH---2027</v>
      </c>
      <c r="D263" s="49" t="s">
        <v>103</v>
      </c>
      <c r="G263" s="49" t="b">
        <f>IF(Educator!B268&gt;0,"active")</f>
        <v>0</v>
      </c>
    </row>
    <row r="264" spans="1:7" x14ac:dyDescent="0.2">
      <c r="A2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","#",3))+1,1)&amp;"-"&amp;LEFT(Educator!B269, 3)&amp;"-"&amp;LEFT(Educator!A269, 3)&amp;"-"&amp;IF(ISNUMBER(Educator!D269),"G"&amp;Educator!D269,Educator!D269)&amp;"-"&amp;"2027"</f>
        <v>CID-FLH----2027</v>
      </c>
      <c r="B264" s="49" t="b">
        <f>IF(Educator!A269&gt;0,"topscorewriting.instructure.com")</f>
        <v>0</v>
      </c>
      <c r="C264" s="49" t="str">
        <f>Users!A264</f>
        <v>UID-FLH---2027</v>
      </c>
      <c r="D264" s="49" t="s">
        <v>103</v>
      </c>
      <c r="G264" s="49" t="b">
        <f>IF(Educator!B269&gt;0,"active")</f>
        <v>0</v>
      </c>
    </row>
    <row r="265" spans="1:7" x14ac:dyDescent="0.2">
      <c r="A2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","#",3))+1,1)&amp;"-"&amp;LEFT(Educator!B270, 3)&amp;"-"&amp;LEFT(Educator!A270, 3)&amp;"-"&amp;IF(ISNUMBER(Educator!D270),"G"&amp;Educator!D270,Educator!D270)&amp;"-"&amp;"2027"</f>
        <v>CID-FLH----2027</v>
      </c>
      <c r="B265" s="49" t="b">
        <f>IF(Educator!A270&gt;0,"topscorewriting.instructure.com")</f>
        <v>0</v>
      </c>
      <c r="C265" s="49" t="str">
        <f>Users!A265</f>
        <v>UID-FLH---2027</v>
      </c>
      <c r="D265" s="49" t="s">
        <v>103</v>
      </c>
      <c r="G265" s="49" t="b">
        <f>IF(Educator!B270&gt;0,"active")</f>
        <v>0</v>
      </c>
    </row>
    <row r="266" spans="1:7" x14ac:dyDescent="0.2">
      <c r="A2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","#",3))+1,1)&amp;"-"&amp;LEFT(Educator!B271, 3)&amp;"-"&amp;LEFT(Educator!A271, 3)&amp;"-"&amp;IF(ISNUMBER(Educator!D271),"G"&amp;Educator!D271,Educator!D271)&amp;"-"&amp;"2027"</f>
        <v>CID-FLH----2027</v>
      </c>
      <c r="B266" s="49" t="b">
        <f>IF(Educator!A271&gt;0,"topscorewriting.instructure.com")</f>
        <v>0</v>
      </c>
      <c r="C266" s="49" t="str">
        <f>Users!A266</f>
        <v>UID-FLH---2027</v>
      </c>
      <c r="D266" s="49" t="s">
        <v>103</v>
      </c>
      <c r="G266" s="49" t="b">
        <f>IF(Educator!B271&gt;0,"active")</f>
        <v>0</v>
      </c>
    </row>
    <row r="267" spans="1:7" x14ac:dyDescent="0.2">
      <c r="A2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","#",3))+1,1)&amp;"-"&amp;LEFT(Educator!B272, 3)&amp;"-"&amp;LEFT(Educator!A272, 3)&amp;"-"&amp;IF(ISNUMBER(Educator!D272),"G"&amp;Educator!D272,Educator!D272)&amp;"-"&amp;"2027"</f>
        <v>CID-FLH----2027</v>
      </c>
      <c r="B267" s="49" t="b">
        <f>IF(Educator!A272&gt;0,"topscorewriting.instructure.com")</f>
        <v>0</v>
      </c>
      <c r="C267" s="49" t="str">
        <f>Users!A267</f>
        <v>UID-FLH---2027</v>
      </c>
      <c r="D267" s="49" t="s">
        <v>103</v>
      </c>
      <c r="G267" s="49" t="b">
        <f>IF(Educator!B272&gt;0,"active")</f>
        <v>0</v>
      </c>
    </row>
    <row r="268" spans="1:7" x14ac:dyDescent="0.2">
      <c r="A2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","#",3))+1,1)&amp;"-"&amp;LEFT(Educator!B273, 3)&amp;"-"&amp;LEFT(Educator!A273, 3)&amp;"-"&amp;IF(ISNUMBER(Educator!D273),"G"&amp;Educator!D273,Educator!D273)&amp;"-"&amp;"2027"</f>
        <v>CID-FLH----2027</v>
      </c>
      <c r="B268" s="49" t="b">
        <f>IF(Educator!A273&gt;0,"topscorewriting.instructure.com")</f>
        <v>0</v>
      </c>
      <c r="C268" s="49" t="str">
        <f>Users!A268</f>
        <v>UID-FLH---2027</v>
      </c>
      <c r="D268" s="49" t="s">
        <v>103</v>
      </c>
      <c r="G268" s="49" t="b">
        <f>IF(Educator!B273&gt;0,"active")</f>
        <v>0</v>
      </c>
    </row>
    <row r="269" spans="1:7" x14ac:dyDescent="0.2">
      <c r="A2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","#",3))+1,1)&amp;"-"&amp;LEFT(Educator!B274, 3)&amp;"-"&amp;LEFT(Educator!A274, 3)&amp;"-"&amp;IF(ISNUMBER(Educator!D274),"G"&amp;Educator!D274,Educator!D274)&amp;"-"&amp;"2027"</f>
        <v>CID-FLH----2027</v>
      </c>
      <c r="B269" s="49" t="b">
        <f>IF(Educator!A274&gt;0,"topscorewriting.instructure.com")</f>
        <v>0</v>
      </c>
      <c r="C269" s="49" t="str">
        <f>Users!A269</f>
        <v>UID-FLH---2027</v>
      </c>
      <c r="D269" s="49" t="s">
        <v>103</v>
      </c>
      <c r="G269" s="49" t="b">
        <f>IF(Educator!B274&gt;0,"active")</f>
        <v>0</v>
      </c>
    </row>
    <row r="270" spans="1:7" x14ac:dyDescent="0.2">
      <c r="A2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","#",3))+1,1)&amp;"-"&amp;LEFT(Educator!B275, 3)&amp;"-"&amp;LEFT(Educator!A275, 3)&amp;"-"&amp;IF(ISNUMBER(Educator!D275),"G"&amp;Educator!D275,Educator!D275)&amp;"-"&amp;"2027"</f>
        <v>CID-FLH----2027</v>
      </c>
      <c r="B270" s="49" t="b">
        <f>IF(Educator!A275&gt;0,"topscorewriting.instructure.com")</f>
        <v>0</v>
      </c>
      <c r="C270" s="49" t="str">
        <f>Users!A270</f>
        <v>UID-FLH---2027</v>
      </c>
      <c r="D270" s="49" t="s">
        <v>103</v>
      </c>
      <c r="G270" s="49" t="b">
        <f>IF(Educator!B275&gt;0,"active")</f>
        <v>0</v>
      </c>
    </row>
    <row r="271" spans="1:7" x14ac:dyDescent="0.2">
      <c r="A2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","#",3))+1,1)&amp;"-"&amp;LEFT(Educator!B276, 3)&amp;"-"&amp;LEFT(Educator!A276, 3)&amp;"-"&amp;IF(ISNUMBER(Educator!D276),"G"&amp;Educator!D276,Educator!D276)&amp;"-"&amp;"2027"</f>
        <v>CID-FLH----2027</v>
      </c>
      <c r="B271" s="49" t="b">
        <f>IF(Educator!A276&gt;0,"topscorewriting.instructure.com")</f>
        <v>0</v>
      </c>
      <c r="C271" s="49" t="str">
        <f>Users!A271</f>
        <v>UID-FLH---2027</v>
      </c>
      <c r="D271" s="49" t="s">
        <v>103</v>
      </c>
      <c r="G271" s="49" t="b">
        <f>IF(Educator!B276&gt;0,"active")</f>
        <v>0</v>
      </c>
    </row>
    <row r="272" spans="1:7" x14ac:dyDescent="0.2">
      <c r="A2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","#",3))+1,1)&amp;"-"&amp;LEFT(Educator!B277, 3)&amp;"-"&amp;LEFT(Educator!A277, 3)&amp;"-"&amp;IF(ISNUMBER(Educator!D277),"G"&amp;Educator!D277,Educator!D277)&amp;"-"&amp;"2027"</f>
        <v>CID-FLH----2027</v>
      </c>
      <c r="B272" s="49" t="b">
        <f>IF(Educator!A277&gt;0,"topscorewriting.instructure.com")</f>
        <v>0</v>
      </c>
      <c r="C272" s="49" t="str">
        <f>Users!A272</f>
        <v>UID-FLH---2027</v>
      </c>
      <c r="D272" s="49" t="s">
        <v>103</v>
      </c>
      <c r="G272" s="49" t="b">
        <f>IF(Educator!B277&gt;0,"active")</f>
        <v>0</v>
      </c>
    </row>
    <row r="273" spans="1:7" x14ac:dyDescent="0.2">
      <c r="A2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","#",3))+1,1)&amp;"-"&amp;LEFT(Educator!B278, 3)&amp;"-"&amp;LEFT(Educator!A278, 3)&amp;"-"&amp;IF(ISNUMBER(Educator!D278),"G"&amp;Educator!D278,Educator!D278)&amp;"-"&amp;"2027"</f>
        <v>CID-FLH----2027</v>
      </c>
      <c r="B273" s="49" t="b">
        <f>IF(Educator!A278&gt;0,"topscorewriting.instructure.com")</f>
        <v>0</v>
      </c>
      <c r="C273" s="49" t="str">
        <f>Users!A273</f>
        <v>UID-FLH---2027</v>
      </c>
      <c r="D273" s="49" t="s">
        <v>103</v>
      </c>
      <c r="G273" s="49" t="b">
        <f>IF(Educator!B278&gt;0,"active")</f>
        <v>0</v>
      </c>
    </row>
    <row r="274" spans="1:7" x14ac:dyDescent="0.2">
      <c r="A2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","#",3))+1,1)&amp;"-"&amp;LEFT(Educator!B279, 3)&amp;"-"&amp;LEFT(Educator!A279, 3)&amp;"-"&amp;IF(ISNUMBER(Educator!D279),"G"&amp;Educator!D279,Educator!D279)&amp;"-"&amp;"2027"</f>
        <v>CID-FLH----2027</v>
      </c>
      <c r="B274" s="49" t="b">
        <f>IF(Educator!A279&gt;0,"topscorewriting.instructure.com")</f>
        <v>0</v>
      </c>
      <c r="C274" s="49" t="str">
        <f>Users!A274</f>
        <v>UID-FLH---2027</v>
      </c>
      <c r="D274" s="49" t="s">
        <v>103</v>
      </c>
      <c r="G274" s="49" t="b">
        <f>IF(Educator!B279&gt;0,"active")</f>
        <v>0</v>
      </c>
    </row>
    <row r="275" spans="1:7" x14ac:dyDescent="0.2">
      <c r="A2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","#",3))+1,1)&amp;"-"&amp;LEFT(Educator!B280, 3)&amp;"-"&amp;LEFT(Educator!A280, 3)&amp;"-"&amp;IF(ISNUMBER(Educator!D280),"G"&amp;Educator!D280,Educator!D280)&amp;"-"&amp;"2027"</f>
        <v>CID-FLH----2027</v>
      </c>
      <c r="B275" s="49" t="b">
        <f>IF(Educator!A280&gt;0,"topscorewriting.instructure.com")</f>
        <v>0</v>
      </c>
      <c r="C275" s="49" t="str">
        <f>Users!A275</f>
        <v>UID-FLH---2027</v>
      </c>
      <c r="D275" s="49" t="s">
        <v>103</v>
      </c>
      <c r="G275" s="49" t="b">
        <f>IF(Educator!B280&gt;0,"active")</f>
        <v>0</v>
      </c>
    </row>
    <row r="276" spans="1:7" x14ac:dyDescent="0.2">
      <c r="A2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","#",3))+1,1)&amp;"-"&amp;LEFT(Educator!B281, 3)&amp;"-"&amp;LEFT(Educator!A281, 3)&amp;"-"&amp;IF(ISNUMBER(Educator!D281),"G"&amp;Educator!D281,Educator!D281)&amp;"-"&amp;"2027"</f>
        <v>CID-FLH----2027</v>
      </c>
      <c r="B276" s="49" t="b">
        <f>IF(Educator!A281&gt;0,"topscorewriting.instructure.com")</f>
        <v>0</v>
      </c>
      <c r="C276" s="49" t="str">
        <f>Users!A276</f>
        <v>UID-FLH---2027</v>
      </c>
      <c r="D276" s="49" t="s">
        <v>103</v>
      </c>
      <c r="G276" s="49" t="b">
        <f>IF(Educator!B281&gt;0,"active")</f>
        <v>0</v>
      </c>
    </row>
    <row r="277" spans="1:7" x14ac:dyDescent="0.2">
      <c r="A2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","#",3))+1,1)&amp;"-"&amp;LEFT(Educator!B282, 3)&amp;"-"&amp;LEFT(Educator!A282, 3)&amp;"-"&amp;IF(ISNUMBER(Educator!D282),"G"&amp;Educator!D282,Educator!D282)&amp;"-"&amp;"2027"</f>
        <v>CID-FLH----2027</v>
      </c>
      <c r="B277" s="49" t="b">
        <f>IF(Educator!A282&gt;0,"topscorewriting.instructure.com")</f>
        <v>0</v>
      </c>
      <c r="C277" s="49" t="str">
        <f>Users!A277</f>
        <v>UID-FLH---2027</v>
      </c>
      <c r="D277" s="49" t="s">
        <v>103</v>
      </c>
      <c r="G277" s="49" t="b">
        <f>IF(Educator!B282&gt;0,"active")</f>
        <v>0</v>
      </c>
    </row>
    <row r="278" spans="1:7" x14ac:dyDescent="0.2">
      <c r="A2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","#",3))+1,1)&amp;"-"&amp;LEFT(Educator!B283, 3)&amp;"-"&amp;LEFT(Educator!A283, 3)&amp;"-"&amp;IF(ISNUMBER(Educator!D283),"G"&amp;Educator!D283,Educator!D283)&amp;"-"&amp;"2027"</f>
        <v>CID-FLH----2027</v>
      </c>
      <c r="B278" s="49" t="b">
        <f>IF(Educator!A283&gt;0,"topscorewriting.instructure.com")</f>
        <v>0</v>
      </c>
      <c r="C278" s="49" t="str">
        <f>Users!A278</f>
        <v>UID-FLH---2027</v>
      </c>
      <c r="D278" s="49" t="s">
        <v>103</v>
      </c>
      <c r="G278" s="49" t="b">
        <f>IF(Educator!B283&gt;0,"active")</f>
        <v>0</v>
      </c>
    </row>
    <row r="279" spans="1:7" x14ac:dyDescent="0.2">
      <c r="A2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","#",3))+1,1)&amp;"-"&amp;LEFT(Educator!B284, 3)&amp;"-"&amp;LEFT(Educator!A284, 3)&amp;"-"&amp;IF(ISNUMBER(Educator!D284),"G"&amp;Educator!D284,Educator!D284)&amp;"-"&amp;"2027"</f>
        <v>CID-FLH----2027</v>
      </c>
      <c r="B279" s="49" t="b">
        <f>IF(Educator!A284&gt;0,"topscorewriting.instructure.com")</f>
        <v>0</v>
      </c>
      <c r="C279" s="49" t="str">
        <f>Users!A279</f>
        <v>UID-FLH---2027</v>
      </c>
      <c r="D279" s="49" t="s">
        <v>103</v>
      </c>
      <c r="G279" s="49" t="b">
        <f>IF(Educator!B284&gt;0,"active")</f>
        <v>0</v>
      </c>
    </row>
    <row r="280" spans="1:7" x14ac:dyDescent="0.2">
      <c r="A2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","#",3))+1,1)&amp;"-"&amp;LEFT(Educator!B285, 3)&amp;"-"&amp;LEFT(Educator!A285, 3)&amp;"-"&amp;IF(ISNUMBER(Educator!D285),"G"&amp;Educator!D285,Educator!D285)&amp;"-"&amp;"2027"</f>
        <v>CID-FLH----2027</v>
      </c>
      <c r="B280" s="49" t="b">
        <f>IF(Educator!A285&gt;0,"topscorewriting.instructure.com")</f>
        <v>0</v>
      </c>
      <c r="C280" s="49" t="str">
        <f>Users!A280</f>
        <v>UID-FLH---2027</v>
      </c>
      <c r="D280" s="49" t="s">
        <v>103</v>
      </c>
      <c r="G280" s="49" t="b">
        <f>IF(Educator!B285&gt;0,"active")</f>
        <v>0</v>
      </c>
    </row>
    <row r="281" spans="1:7" x14ac:dyDescent="0.2">
      <c r="A2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","#",3))+1,1)&amp;"-"&amp;LEFT(Educator!B286, 3)&amp;"-"&amp;LEFT(Educator!A286, 3)&amp;"-"&amp;IF(ISNUMBER(Educator!D286),"G"&amp;Educator!D286,Educator!D286)&amp;"-"&amp;"2027"</f>
        <v>CID-FLH----2027</v>
      </c>
      <c r="B281" s="49" t="b">
        <f>IF(Educator!A286&gt;0,"topscorewriting.instructure.com")</f>
        <v>0</v>
      </c>
      <c r="C281" s="49" t="str">
        <f>Users!A281</f>
        <v>UID-FLH---2027</v>
      </c>
      <c r="D281" s="49" t="s">
        <v>103</v>
      </c>
      <c r="G281" s="49" t="b">
        <f>IF(Educator!B286&gt;0,"active")</f>
        <v>0</v>
      </c>
    </row>
    <row r="282" spans="1:7" x14ac:dyDescent="0.2">
      <c r="A2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","#",3))+1,1)&amp;"-"&amp;LEFT(Educator!B287, 3)&amp;"-"&amp;LEFT(Educator!A287, 3)&amp;"-"&amp;IF(ISNUMBER(Educator!D287),"G"&amp;Educator!D287,Educator!D287)&amp;"-"&amp;"2027"</f>
        <v>CID-FLH----2027</v>
      </c>
      <c r="B282" s="49" t="b">
        <f>IF(Educator!A287&gt;0,"topscorewriting.instructure.com")</f>
        <v>0</v>
      </c>
      <c r="C282" s="49" t="str">
        <f>Users!A282</f>
        <v>UID-FLH---2027</v>
      </c>
      <c r="D282" s="49" t="s">
        <v>103</v>
      </c>
      <c r="G282" s="49" t="b">
        <f>IF(Educator!B287&gt;0,"active")</f>
        <v>0</v>
      </c>
    </row>
    <row r="283" spans="1:7" x14ac:dyDescent="0.2">
      <c r="A2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","#",3))+1,1)&amp;"-"&amp;LEFT(Educator!B288, 3)&amp;"-"&amp;LEFT(Educator!A288, 3)&amp;"-"&amp;IF(ISNUMBER(Educator!D288),"G"&amp;Educator!D288,Educator!D288)&amp;"-"&amp;"2027"</f>
        <v>CID-FLH----2027</v>
      </c>
      <c r="B283" s="49" t="b">
        <f>IF(Educator!A288&gt;0,"topscorewriting.instructure.com")</f>
        <v>0</v>
      </c>
      <c r="C283" s="49" t="str">
        <f>Users!A283</f>
        <v>UID-FLH---2027</v>
      </c>
      <c r="D283" s="49" t="s">
        <v>103</v>
      </c>
      <c r="G283" s="49" t="b">
        <f>IF(Educator!B288&gt;0,"active")</f>
        <v>0</v>
      </c>
    </row>
    <row r="284" spans="1:7" x14ac:dyDescent="0.2">
      <c r="A2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","#",3))+1,1)&amp;"-"&amp;LEFT(Educator!B289, 3)&amp;"-"&amp;LEFT(Educator!A289, 3)&amp;"-"&amp;IF(ISNUMBER(Educator!D289),"G"&amp;Educator!D289,Educator!D289)&amp;"-"&amp;"2027"</f>
        <v>CID-FLH----2027</v>
      </c>
      <c r="B284" s="49" t="b">
        <f>IF(Educator!A289&gt;0,"topscorewriting.instructure.com")</f>
        <v>0</v>
      </c>
      <c r="C284" s="49" t="str">
        <f>Users!A284</f>
        <v>UID-FLH---2027</v>
      </c>
      <c r="D284" s="49" t="s">
        <v>103</v>
      </c>
      <c r="G284" s="49" t="b">
        <f>IF(Educator!B289&gt;0,"active")</f>
        <v>0</v>
      </c>
    </row>
    <row r="285" spans="1:7" x14ac:dyDescent="0.2">
      <c r="A2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","#",3))+1,1)&amp;"-"&amp;LEFT(Educator!B290, 3)&amp;"-"&amp;LEFT(Educator!A290, 3)&amp;"-"&amp;IF(ISNUMBER(Educator!D290),"G"&amp;Educator!D290,Educator!D290)&amp;"-"&amp;"2027"</f>
        <v>CID-FLH----2027</v>
      </c>
      <c r="B285" s="49" t="b">
        <f>IF(Educator!A290&gt;0,"topscorewriting.instructure.com")</f>
        <v>0</v>
      </c>
      <c r="C285" s="49" t="str">
        <f>Users!A285</f>
        <v>UID-FLH---2027</v>
      </c>
      <c r="D285" s="49" t="s">
        <v>103</v>
      </c>
      <c r="G285" s="49" t="b">
        <f>IF(Educator!B290&gt;0,"active")</f>
        <v>0</v>
      </c>
    </row>
    <row r="286" spans="1:7" x14ac:dyDescent="0.2">
      <c r="A2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","#",3))+1,1)&amp;"-"&amp;LEFT(Educator!B291, 3)&amp;"-"&amp;LEFT(Educator!A291, 3)&amp;"-"&amp;IF(ISNUMBER(Educator!D291),"G"&amp;Educator!D291,Educator!D291)&amp;"-"&amp;"2027"</f>
        <v>CID-FLH----2027</v>
      </c>
      <c r="B286" s="49" t="b">
        <f>IF(Educator!A291&gt;0,"topscorewriting.instructure.com")</f>
        <v>0</v>
      </c>
      <c r="C286" s="49" t="str">
        <f>Users!A286</f>
        <v>UID-FLH---2027</v>
      </c>
      <c r="D286" s="49" t="s">
        <v>103</v>
      </c>
      <c r="G286" s="49" t="b">
        <f>IF(Educator!B291&gt;0,"active")</f>
        <v>0</v>
      </c>
    </row>
    <row r="287" spans="1:7" x14ac:dyDescent="0.2">
      <c r="A2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","#",3))+1,1)&amp;"-"&amp;LEFT(Educator!B292, 3)&amp;"-"&amp;LEFT(Educator!A292, 3)&amp;"-"&amp;IF(ISNUMBER(Educator!D292),"G"&amp;Educator!D292,Educator!D292)&amp;"-"&amp;"2027"</f>
        <v>CID-FLH----2027</v>
      </c>
      <c r="B287" s="49" t="b">
        <f>IF(Educator!A292&gt;0,"topscorewriting.instructure.com")</f>
        <v>0</v>
      </c>
      <c r="C287" s="49" t="str">
        <f>Users!A287</f>
        <v>UID-FLH---2027</v>
      </c>
      <c r="D287" s="49" t="s">
        <v>103</v>
      </c>
      <c r="G287" s="49" t="b">
        <f>IF(Educator!B292&gt;0,"active")</f>
        <v>0</v>
      </c>
    </row>
    <row r="288" spans="1:7" x14ac:dyDescent="0.2">
      <c r="A2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","#",3))+1,1)&amp;"-"&amp;LEFT(Educator!B293, 3)&amp;"-"&amp;LEFT(Educator!A293, 3)&amp;"-"&amp;IF(ISNUMBER(Educator!D293),"G"&amp;Educator!D293,Educator!D293)&amp;"-"&amp;"2027"</f>
        <v>CID-FLH----2027</v>
      </c>
      <c r="B288" s="49" t="b">
        <f>IF(Educator!A293&gt;0,"topscorewriting.instructure.com")</f>
        <v>0</v>
      </c>
      <c r="C288" s="49" t="str">
        <f>Users!A288</f>
        <v>UID-FLH---2027</v>
      </c>
      <c r="D288" s="49" t="s">
        <v>103</v>
      </c>
      <c r="G288" s="49" t="b">
        <f>IF(Educator!B293&gt;0,"active")</f>
        <v>0</v>
      </c>
    </row>
    <row r="289" spans="1:7" x14ac:dyDescent="0.2">
      <c r="A2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","#",3))+1,1)&amp;"-"&amp;LEFT(Educator!B294, 3)&amp;"-"&amp;LEFT(Educator!A294, 3)&amp;"-"&amp;IF(ISNUMBER(Educator!D294),"G"&amp;Educator!D294,Educator!D294)&amp;"-"&amp;"2027"</f>
        <v>CID-FLH----2027</v>
      </c>
      <c r="B289" s="49" t="b">
        <f>IF(Educator!A294&gt;0,"topscorewriting.instructure.com")</f>
        <v>0</v>
      </c>
      <c r="C289" s="49" t="str">
        <f>Users!A289</f>
        <v>UID-FLH---2027</v>
      </c>
      <c r="D289" s="49" t="s">
        <v>103</v>
      </c>
      <c r="G289" s="49" t="b">
        <f>IF(Educator!B294&gt;0,"active")</f>
        <v>0</v>
      </c>
    </row>
    <row r="290" spans="1:7" x14ac:dyDescent="0.2">
      <c r="A2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","#",3))+1,1)&amp;"-"&amp;LEFT(Educator!B295, 3)&amp;"-"&amp;LEFT(Educator!A295, 3)&amp;"-"&amp;IF(ISNUMBER(Educator!D295),"G"&amp;Educator!D295,Educator!D295)&amp;"-"&amp;"2027"</f>
        <v>CID-FLH----2027</v>
      </c>
      <c r="B290" s="49" t="b">
        <f>IF(Educator!A295&gt;0,"topscorewriting.instructure.com")</f>
        <v>0</v>
      </c>
      <c r="C290" s="49" t="str">
        <f>Users!A290</f>
        <v>UID-FLH---2027</v>
      </c>
      <c r="D290" s="49" t="s">
        <v>103</v>
      </c>
      <c r="G290" s="49" t="b">
        <f>IF(Educator!B295&gt;0,"active")</f>
        <v>0</v>
      </c>
    </row>
    <row r="291" spans="1:7" x14ac:dyDescent="0.2">
      <c r="A2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","#",3))+1,1)&amp;"-"&amp;LEFT(Educator!B296, 3)&amp;"-"&amp;LEFT(Educator!A296, 3)&amp;"-"&amp;IF(ISNUMBER(Educator!D296),"G"&amp;Educator!D296,Educator!D296)&amp;"-"&amp;"2027"</f>
        <v>CID-FLH----2027</v>
      </c>
      <c r="B291" s="49" t="b">
        <f>IF(Educator!A296&gt;0,"topscorewriting.instructure.com")</f>
        <v>0</v>
      </c>
      <c r="C291" s="49" t="str">
        <f>Users!A291</f>
        <v>UID-FLH---2027</v>
      </c>
      <c r="D291" s="49" t="s">
        <v>103</v>
      </c>
      <c r="G291" s="49" t="b">
        <f>IF(Educator!B296&gt;0,"active")</f>
        <v>0</v>
      </c>
    </row>
    <row r="292" spans="1:7" x14ac:dyDescent="0.2">
      <c r="A2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","#",3))+1,1)&amp;"-"&amp;LEFT(Educator!B297, 3)&amp;"-"&amp;LEFT(Educator!A297, 3)&amp;"-"&amp;IF(ISNUMBER(Educator!D297),"G"&amp;Educator!D297,Educator!D297)&amp;"-"&amp;"2027"</f>
        <v>CID-FLH----2027</v>
      </c>
      <c r="B292" s="49" t="b">
        <f>IF(Educator!A297&gt;0,"topscorewriting.instructure.com")</f>
        <v>0</v>
      </c>
      <c r="C292" s="49" t="str">
        <f>Users!A292</f>
        <v>UID-FLH---2027</v>
      </c>
      <c r="D292" s="49" t="s">
        <v>103</v>
      </c>
      <c r="G292" s="49" t="b">
        <f>IF(Educator!B297&gt;0,"active")</f>
        <v>0</v>
      </c>
    </row>
    <row r="293" spans="1:7" x14ac:dyDescent="0.2">
      <c r="A2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","#",3))+1,1)&amp;"-"&amp;LEFT(Educator!B298, 3)&amp;"-"&amp;LEFT(Educator!A298, 3)&amp;"-"&amp;IF(ISNUMBER(Educator!D298),"G"&amp;Educator!D298,Educator!D298)&amp;"-"&amp;"2027"</f>
        <v>CID-FLH----2027</v>
      </c>
      <c r="B293" s="49" t="b">
        <f>IF(Educator!A298&gt;0,"topscorewriting.instructure.com")</f>
        <v>0</v>
      </c>
      <c r="C293" s="49" t="str">
        <f>Users!A293</f>
        <v>UID-FLH---2027</v>
      </c>
      <c r="D293" s="49" t="s">
        <v>103</v>
      </c>
      <c r="G293" s="49" t="b">
        <f>IF(Educator!B298&gt;0,"active")</f>
        <v>0</v>
      </c>
    </row>
    <row r="294" spans="1:7" x14ac:dyDescent="0.2">
      <c r="A2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","#",3))+1,1)&amp;"-"&amp;LEFT(Educator!B299, 3)&amp;"-"&amp;LEFT(Educator!A299, 3)&amp;"-"&amp;IF(ISNUMBER(Educator!D299),"G"&amp;Educator!D299,Educator!D299)&amp;"-"&amp;"2027"</f>
        <v>CID-FLH----2027</v>
      </c>
      <c r="B294" s="49" t="b">
        <f>IF(Educator!A299&gt;0,"topscorewriting.instructure.com")</f>
        <v>0</v>
      </c>
      <c r="C294" s="49" t="str">
        <f>Users!A294</f>
        <v>UID-FLH---2027</v>
      </c>
      <c r="D294" s="49" t="s">
        <v>103</v>
      </c>
      <c r="G294" s="49" t="b">
        <f>IF(Educator!B299&gt;0,"active")</f>
        <v>0</v>
      </c>
    </row>
    <row r="295" spans="1:7" x14ac:dyDescent="0.2">
      <c r="A2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","#",3))+1,1)&amp;"-"&amp;LEFT(Educator!B300, 3)&amp;"-"&amp;LEFT(Educator!A300, 3)&amp;"-"&amp;IF(ISNUMBER(Educator!D300),"G"&amp;Educator!D300,Educator!D300)&amp;"-"&amp;"2027"</f>
        <v>CID-FLH----2027</v>
      </c>
      <c r="B295" s="49" t="b">
        <f>IF(Educator!A300&gt;0,"topscorewriting.instructure.com")</f>
        <v>0</v>
      </c>
      <c r="C295" s="49" t="str">
        <f>Users!A295</f>
        <v>UID-FLH---2027</v>
      </c>
      <c r="D295" s="49" t="s">
        <v>103</v>
      </c>
      <c r="G295" s="49" t="b">
        <f>IF(Educator!B300&gt;0,"active")</f>
        <v>0</v>
      </c>
    </row>
    <row r="296" spans="1:7" x14ac:dyDescent="0.2">
      <c r="A2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","#",3))+1,1)&amp;"-"&amp;LEFT(Educator!B301, 3)&amp;"-"&amp;LEFT(Educator!A301, 3)&amp;"-"&amp;IF(ISNUMBER(Educator!D301),"G"&amp;Educator!D301,Educator!D301)&amp;"-"&amp;"2027"</f>
        <v>CID-FLH----2027</v>
      </c>
      <c r="B296" s="49" t="b">
        <f>IF(Educator!A301&gt;0,"topscorewriting.instructure.com")</f>
        <v>0</v>
      </c>
      <c r="C296" s="49" t="str">
        <f>Users!A296</f>
        <v>UID-FLH---2027</v>
      </c>
      <c r="D296" s="49" t="s">
        <v>103</v>
      </c>
      <c r="G296" s="49" t="b">
        <f>IF(Educator!B301&gt;0,"active")</f>
        <v>0</v>
      </c>
    </row>
    <row r="297" spans="1:7" x14ac:dyDescent="0.2">
      <c r="A2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","#",3))+1,1)&amp;"-"&amp;LEFT(Educator!B302, 3)&amp;"-"&amp;LEFT(Educator!A302, 3)&amp;"-"&amp;IF(ISNUMBER(Educator!D302),"G"&amp;Educator!D302,Educator!D302)&amp;"-"&amp;"2027"</f>
        <v>CID-FLH----2027</v>
      </c>
      <c r="B297" s="49" t="b">
        <f>IF(Educator!A302&gt;0,"topscorewriting.instructure.com")</f>
        <v>0</v>
      </c>
      <c r="C297" s="49" t="str">
        <f>Users!A297</f>
        <v>UID-FLH---2027</v>
      </c>
      <c r="D297" s="49" t="s">
        <v>103</v>
      </c>
      <c r="G297" s="49" t="b">
        <f>IF(Educator!B302&gt;0,"active")</f>
        <v>0</v>
      </c>
    </row>
    <row r="298" spans="1:7" x14ac:dyDescent="0.2">
      <c r="A2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","#",3))+1,1)&amp;"-"&amp;LEFT(Educator!B303, 3)&amp;"-"&amp;LEFT(Educator!A303, 3)&amp;"-"&amp;IF(ISNUMBER(Educator!D303),"G"&amp;Educator!D303,Educator!D303)&amp;"-"&amp;"2027"</f>
        <v>CID-FLH----2027</v>
      </c>
      <c r="B298" s="49" t="b">
        <f>IF(Educator!A303&gt;0,"topscorewriting.instructure.com")</f>
        <v>0</v>
      </c>
      <c r="C298" s="49" t="str">
        <f>Users!A298</f>
        <v>UID-FLH---2027</v>
      </c>
      <c r="D298" s="49" t="s">
        <v>103</v>
      </c>
      <c r="G298" s="49" t="b">
        <f>IF(Educator!B303&gt;0,"active")</f>
        <v>0</v>
      </c>
    </row>
    <row r="299" spans="1:7" x14ac:dyDescent="0.2">
      <c r="A2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","#",3))+1,1)&amp;"-"&amp;LEFT(Educator!B304, 3)&amp;"-"&amp;LEFT(Educator!A304, 3)&amp;"-"&amp;IF(ISNUMBER(Educator!D304),"G"&amp;Educator!D304,Educator!D304)&amp;"-"&amp;"2027"</f>
        <v>CID-FLH----2027</v>
      </c>
      <c r="B299" s="49" t="b">
        <f>IF(Educator!A304&gt;0,"topscorewriting.instructure.com")</f>
        <v>0</v>
      </c>
      <c r="C299" s="49" t="str">
        <f>Users!A299</f>
        <v>UID-FLH---2027</v>
      </c>
      <c r="D299" s="49" t="s">
        <v>103</v>
      </c>
      <c r="G299" s="49" t="b">
        <f>IF(Educator!B304&gt;0,"active")</f>
        <v>0</v>
      </c>
    </row>
    <row r="300" spans="1:7" x14ac:dyDescent="0.2">
      <c r="A3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","#",3))+1,1)&amp;"-"&amp;LEFT(Educator!B305, 3)&amp;"-"&amp;LEFT(Educator!A305, 3)&amp;"-"&amp;IF(ISNUMBER(Educator!D305),"G"&amp;Educator!D305,Educator!D305)&amp;"-"&amp;"2027"</f>
        <v>CID-FLH----2027</v>
      </c>
      <c r="B300" s="49" t="b">
        <f>IF(Educator!A305&gt;0,"topscorewriting.instructure.com")</f>
        <v>0</v>
      </c>
      <c r="C300" s="49" t="str">
        <f>Users!A300</f>
        <v>UID-FLH---2027</v>
      </c>
      <c r="D300" s="49" t="s">
        <v>103</v>
      </c>
      <c r="G300" s="49" t="b">
        <f>IF(Educator!B305&gt;0,"active")</f>
        <v>0</v>
      </c>
    </row>
    <row r="301" spans="1:7" x14ac:dyDescent="0.2">
      <c r="A3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","#",3))+1,1)&amp;"-"&amp;LEFT(Educator!B306, 3)&amp;"-"&amp;LEFT(Educator!A306, 3)&amp;"-"&amp;IF(ISNUMBER(Educator!D306),"G"&amp;Educator!D306,Educator!D306)&amp;"-"&amp;"2027"</f>
        <v>CID-FLH----2027</v>
      </c>
      <c r="B301" s="49" t="b">
        <f>IF(Educator!A306&gt;0,"topscorewriting.instructure.com")</f>
        <v>0</v>
      </c>
      <c r="C301" s="49" t="str">
        <f>Users!A301</f>
        <v>UID-FLH---2027</v>
      </c>
      <c r="D301" s="49" t="s">
        <v>103</v>
      </c>
      <c r="G301" s="49" t="b">
        <f>IF(Educator!B306&gt;0,"active")</f>
        <v>0</v>
      </c>
    </row>
    <row r="302" spans="1:7" x14ac:dyDescent="0.2">
      <c r="A3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","#",3))+1,1)&amp;"-"&amp;LEFT(Educator!B307, 3)&amp;"-"&amp;LEFT(Educator!A307, 3)&amp;"-"&amp;IF(ISNUMBER(Educator!D307),"G"&amp;Educator!D307,Educator!D307)&amp;"-"&amp;"2027"</f>
        <v>CID-FLH----2027</v>
      </c>
      <c r="B302" s="49" t="b">
        <f>IF(Educator!A307&gt;0,"topscorewriting.instructure.com")</f>
        <v>0</v>
      </c>
      <c r="C302" s="49" t="str">
        <f>Users!A302</f>
        <v>UID-FLH---2027</v>
      </c>
      <c r="D302" s="49" t="s">
        <v>103</v>
      </c>
      <c r="G302" s="49" t="b">
        <f>IF(Educator!B307&gt;0,"active")</f>
        <v>0</v>
      </c>
    </row>
    <row r="303" spans="1:7" x14ac:dyDescent="0.2">
      <c r="A3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","#",3))+1,1)&amp;"-"&amp;LEFT(Educator!B308, 3)&amp;"-"&amp;LEFT(Educator!A308, 3)&amp;"-"&amp;IF(ISNUMBER(Educator!D308),"G"&amp;Educator!D308,Educator!D308)&amp;"-"&amp;"2027"</f>
        <v>CID-FLH----2027</v>
      </c>
      <c r="B303" s="49" t="b">
        <f>IF(Educator!A308&gt;0,"topscorewriting.instructure.com")</f>
        <v>0</v>
      </c>
      <c r="C303" s="49" t="str">
        <f>Users!A303</f>
        <v>UID-FLH---2027</v>
      </c>
      <c r="D303" s="49" t="s">
        <v>103</v>
      </c>
      <c r="G303" s="49" t="b">
        <f>IF(Educator!B308&gt;0,"active")</f>
        <v>0</v>
      </c>
    </row>
    <row r="304" spans="1:7" x14ac:dyDescent="0.2">
      <c r="A3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","#",3))+1,1)&amp;"-"&amp;LEFT(Educator!B309, 3)&amp;"-"&amp;LEFT(Educator!A309, 3)&amp;"-"&amp;IF(ISNUMBER(Educator!D309),"G"&amp;Educator!D309,Educator!D309)&amp;"-"&amp;"2027"</f>
        <v>CID-FLH----2027</v>
      </c>
      <c r="B304" s="49" t="b">
        <f>IF(Educator!A309&gt;0,"topscorewriting.instructure.com")</f>
        <v>0</v>
      </c>
      <c r="C304" s="49" t="str">
        <f>Users!A304</f>
        <v>UID-FLH---2027</v>
      </c>
      <c r="D304" s="49" t="s">
        <v>103</v>
      </c>
      <c r="G304" s="49" t="b">
        <f>IF(Educator!B309&gt;0,"active")</f>
        <v>0</v>
      </c>
    </row>
    <row r="305" spans="1:7" x14ac:dyDescent="0.2">
      <c r="A3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","#",3))+1,1)&amp;"-"&amp;LEFT(Educator!B310, 3)&amp;"-"&amp;LEFT(Educator!A310, 3)&amp;"-"&amp;IF(ISNUMBER(Educator!D310),"G"&amp;Educator!D310,Educator!D310)&amp;"-"&amp;"2027"</f>
        <v>CID-FLH----2027</v>
      </c>
      <c r="B305" s="49" t="b">
        <f>IF(Educator!A310&gt;0,"topscorewriting.instructure.com")</f>
        <v>0</v>
      </c>
      <c r="C305" s="49" t="str">
        <f>Users!A305</f>
        <v>UID-FLH---2027</v>
      </c>
      <c r="D305" s="49" t="s">
        <v>103</v>
      </c>
      <c r="G305" s="49" t="b">
        <f>IF(Educator!B310&gt;0,"active")</f>
        <v>0</v>
      </c>
    </row>
    <row r="306" spans="1:7" x14ac:dyDescent="0.2">
      <c r="A3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","#",3))+1,1)&amp;"-"&amp;LEFT(Educator!B311, 3)&amp;"-"&amp;LEFT(Educator!A311, 3)&amp;"-"&amp;IF(ISNUMBER(Educator!D311),"G"&amp;Educator!D311,Educator!D311)&amp;"-"&amp;"2027"</f>
        <v>CID-FLH----2027</v>
      </c>
      <c r="B306" s="49" t="b">
        <f>IF(Educator!A311&gt;0,"topscorewriting.instructure.com")</f>
        <v>0</v>
      </c>
      <c r="C306" s="49" t="str">
        <f>Users!A306</f>
        <v>UID-FLH---2027</v>
      </c>
      <c r="D306" s="49" t="s">
        <v>103</v>
      </c>
      <c r="G306" s="49" t="b">
        <f>IF(Educator!B311&gt;0,"active")</f>
        <v>0</v>
      </c>
    </row>
    <row r="307" spans="1:7" x14ac:dyDescent="0.2">
      <c r="A3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","#",3))+1,1)&amp;"-"&amp;LEFT(Educator!B312, 3)&amp;"-"&amp;LEFT(Educator!A312, 3)&amp;"-"&amp;IF(ISNUMBER(Educator!D312),"G"&amp;Educator!D312,Educator!D312)&amp;"-"&amp;"2027"</f>
        <v>CID-FLH----2027</v>
      </c>
      <c r="B307" s="49" t="b">
        <f>IF(Educator!A312&gt;0,"topscorewriting.instructure.com")</f>
        <v>0</v>
      </c>
      <c r="C307" s="49" t="str">
        <f>Users!A307</f>
        <v>UID-FLH---2027</v>
      </c>
      <c r="D307" s="49" t="s">
        <v>103</v>
      </c>
      <c r="G307" s="49" t="b">
        <f>IF(Educator!B312&gt;0,"active")</f>
        <v>0</v>
      </c>
    </row>
    <row r="308" spans="1:7" x14ac:dyDescent="0.2">
      <c r="A3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","#",3))+1,1)&amp;"-"&amp;LEFT(Educator!B313, 3)&amp;"-"&amp;LEFT(Educator!A313, 3)&amp;"-"&amp;IF(ISNUMBER(Educator!D313),"G"&amp;Educator!D313,Educator!D313)&amp;"-"&amp;"2027"</f>
        <v>CID-FLH----2027</v>
      </c>
      <c r="B308" s="49" t="b">
        <f>IF(Educator!A313&gt;0,"topscorewriting.instructure.com")</f>
        <v>0</v>
      </c>
      <c r="C308" s="49" t="str">
        <f>Users!A308</f>
        <v>UID-FLH---2027</v>
      </c>
      <c r="D308" s="49" t="s">
        <v>103</v>
      </c>
      <c r="G308" s="49" t="b">
        <f>IF(Educator!B313&gt;0,"active")</f>
        <v>0</v>
      </c>
    </row>
    <row r="309" spans="1:7" x14ac:dyDescent="0.2">
      <c r="A3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","#",3))+1,1)&amp;"-"&amp;LEFT(Educator!B314, 3)&amp;"-"&amp;LEFT(Educator!A314, 3)&amp;"-"&amp;IF(ISNUMBER(Educator!D314),"G"&amp;Educator!D314,Educator!D314)&amp;"-"&amp;"2027"</f>
        <v>CID-FLH----2027</v>
      </c>
      <c r="B309" s="49" t="b">
        <f>IF(Educator!A314&gt;0,"topscorewriting.instructure.com")</f>
        <v>0</v>
      </c>
      <c r="C309" s="49" t="str">
        <f>Users!A309</f>
        <v>UID-FLH---2027</v>
      </c>
      <c r="D309" s="49" t="s">
        <v>103</v>
      </c>
      <c r="G309" s="49" t="b">
        <f>IF(Educator!B314&gt;0,"active")</f>
        <v>0</v>
      </c>
    </row>
    <row r="310" spans="1:7" x14ac:dyDescent="0.2">
      <c r="A3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","#",3))+1,1)&amp;"-"&amp;LEFT(Educator!B315, 3)&amp;"-"&amp;LEFT(Educator!A315, 3)&amp;"-"&amp;IF(ISNUMBER(Educator!D315),"G"&amp;Educator!D315,Educator!D315)&amp;"-"&amp;"2027"</f>
        <v>CID-FLH----2027</v>
      </c>
      <c r="B310" s="49" t="b">
        <f>IF(Educator!A315&gt;0,"topscorewriting.instructure.com")</f>
        <v>0</v>
      </c>
      <c r="C310" s="49" t="str">
        <f>Users!A310</f>
        <v>UID-FLH---2027</v>
      </c>
      <c r="D310" s="49" t="s">
        <v>103</v>
      </c>
      <c r="G310" s="49" t="b">
        <f>IF(Educator!B315&gt;0,"active")</f>
        <v>0</v>
      </c>
    </row>
    <row r="311" spans="1:7" x14ac:dyDescent="0.2">
      <c r="A3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","#",3))+1,1)&amp;"-"&amp;LEFT(Educator!B316, 3)&amp;"-"&amp;LEFT(Educator!A316, 3)&amp;"-"&amp;IF(ISNUMBER(Educator!D316),"G"&amp;Educator!D316,Educator!D316)&amp;"-"&amp;"2027"</f>
        <v>CID-FLH----2027</v>
      </c>
      <c r="B311" s="49" t="b">
        <f>IF(Educator!A316&gt;0,"topscorewriting.instructure.com")</f>
        <v>0</v>
      </c>
      <c r="C311" s="49" t="str">
        <f>Users!A311</f>
        <v>UID-FLH---2027</v>
      </c>
      <c r="D311" s="49" t="s">
        <v>103</v>
      </c>
      <c r="G311" s="49" t="b">
        <f>IF(Educator!B316&gt;0,"active")</f>
        <v>0</v>
      </c>
    </row>
    <row r="312" spans="1:7" x14ac:dyDescent="0.2">
      <c r="A3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","#",3))+1,1)&amp;"-"&amp;LEFT(Educator!B317, 3)&amp;"-"&amp;LEFT(Educator!A317, 3)&amp;"-"&amp;IF(ISNUMBER(Educator!D317),"G"&amp;Educator!D317,Educator!D317)&amp;"-"&amp;"2027"</f>
        <v>CID-FLH----2027</v>
      </c>
      <c r="B312" s="49" t="b">
        <f>IF(Educator!A317&gt;0,"topscorewriting.instructure.com")</f>
        <v>0</v>
      </c>
      <c r="C312" s="49" t="str">
        <f>Users!A312</f>
        <v>UID-FLH---2027</v>
      </c>
      <c r="D312" s="49" t="s">
        <v>103</v>
      </c>
      <c r="G312" s="49" t="b">
        <f>IF(Educator!B317&gt;0,"active")</f>
        <v>0</v>
      </c>
    </row>
    <row r="313" spans="1:7" x14ac:dyDescent="0.2">
      <c r="A3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","#",3))+1,1)&amp;"-"&amp;LEFT(Educator!B318, 3)&amp;"-"&amp;LEFT(Educator!A318, 3)&amp;"-"&amp;IF(ISNUMBER(Educator!D318),"G"&amp;Educator!D318,Educator!D318)&amp;"-"&amp;"2027"</f>
        <v>CID-FLH----2027</v>
      </c>
      <c r="B313" s="49" t="b">
        <f>IF(Educator!A318&gt;0,"topscorewriting.instructure.com")</f>
        <v>0</v>
      </c>
      <c r="C313" s="49" t="str">
        <f>Users!A313</f>
        <v>UID-FLH---2027</v>
      </c>
      <c r="D313" s="49" t="s">
        <v>103</v>
      </c>
      <c r="G313" s="49" t="b">
        <f>IF(Educator!B318&gt;0,"active")</f>
        <v>0</v>
      </c>
    </row>
    <row r="314" spans="1:7" x14ac:dyDescent="0.2">
      <c r="A3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","#",3))+1,1)&amp;"-"&amp;LEFT(Educator!B319, 3)&amp;"-"&amp;LEFT(Educator!A319, 3)&amp;"-"&amp;IF(ISNUMBER(Educator!D319),"G"&amp;Educator!D319,Educator!D319)&amp;"-"&amp;"2027"</f>
        <v>CID-FLH----2027</v>
      </c>
      <c r="B314" s="49" t="b">
        <f>IF(Educator!A319&gt;0,"topscorewriting.instructure.com")</f>
        <v>0</v>
      </c>
      <c r="C314" s="49" t="str">
        <f>Users!A314</f>
        <v>UID-FLH---2027</v>
      </c>
      <c r="D314" s="49" t="s">
        <v>103</v>
      </c>
      <c r="G314" s="49" t="b">
        <f>IF(Educator!B319&gt;0,"active")</f>
        <v>0</v>
      </c>
    </row>
    <row r="315" spans="1:7" x14ac:dyDescent="0.2">
      <c r="A3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","#",3))+1,1)&amp;"-"&amp;LEFT(Educator!B320, 3)&amp;"-"&amp;LEFT(Educator!A320, 3)&amp;"-"&amp;IF(ISNUMBER(Educator!D320),"G"&amp;Educator!D320,Educator!D320)&amp;"-"&amp;"2027"</f>
        <v>CID-FLH----2027</v>
      </c>
      <c r="B315" s="49" t="b">
        <f>IF(Educator!A320&gt;0,"topscorewriting.instructure.com")</f>
        <v>0</v>
      </c>
      <c r="C315" s="49" t="str">
        <f>Users!A315</f>
        <v>UID-FLH---2027</v>
      </c>
      <c r="D315" s="49" t="s">
        <v>103</v>
      </c>
      <c r="G315" s="49" t="b">
        <f>IF(Educator!B320&gt;0,"active")</f>
        <v>0</v>
      </c>
    </row>
    <row r="316" spans="1:7" x14ac:dyDescent="0.2">
      <c r="A3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","#",3))+1,1)&amp;"-"&amp;LEFT(Educator!B321, 3)&amp;"-"&amp;LEFT(Educator!A321, 3)&amp;"-"&amp;IF(ISNUMBER(Educator!D321),"G"&amp;Educator!D321,Educator!D321)&amp;"-"&amp;"2027"</f>
        <v>CID-FLH----2027</v>
      </c>
      <c r="B316" s="49" t="b">
        <f>IF(Educator!A321&gt;0,"topscorewriting.instructure.com")</f>
        <v>0</v>
      </c>
      <c r="C316" s="49" t="str">
        <f>Users!A316</f>
        <v>UID-FLH---2027</v>
      </c>
      <c r="D316" s="49" t="s">
        <v>103</v>
      </c>
      <c r="G316" s="49" t="b">
        <f>IF(Educator!B321&gt;0,"active")</f>
        <v>0</v>
      </c>
    </row>
    <row r="317" spans="1:7" x14ac:dyDescent="0.2">
      <c r="A3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","#",3))+1,1)&amp;"-"&amp;LEFT(Educator!B322, 3)&amp;"-"&amp;LEFT(Educator!A322, 3)&amp;"-"&amp;IF(ISNUMBER(Educator!D322),"G"&amp;Educator!D322,Educator!D322)&amp;"-"&amp;"2027"</f>
        <v>CID-FLH----2027</v>
      </c>
      <c r="B317" s="49" t="b">
        <f>IF(Educator!A322&gt;0,"topscorewriting.instructure.com")</f>
        <v>0</v>
      </c>
      <c r="C317" s="49" t="str">
        <f>Users!A317</f>
        <v>UID-FLH---2027</v>
      </c>
      <c r="D317" s="49" t="s">
        <v>103</v>
      </c>
      <c r="G317" s="49" t="b">
        <f>IF(Educator!B322&gt;0,"active")</f>
        <v>0</v>
      </c>
    </row>
    <row r="318" spans="1:7" x14ac:dyDescent="0.2">
      <c r="A3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","#",3))+1,1)&amp;"-"&amp;LEFT(Educator!B323, 3)&amp;"-"&amp;LEFT(Educator!A323, 3)&amp;"-"&amp;IF(ISNUMBER(Educator!D323),"G"&amp;Educator!D323,Educator!D323)&amp;"-"&amp;"2027"</f>
        <v>CID-FLH----2027</v>
      </c>
      <c r="B318" s="49" t="b">
        <f>IF(Educator!A323&gt;0,"topscorewriting.instructure.com")</f>
        <v>0</v>
      </c>
      <c r="C318" s="49" t="str">
        <f>Users!A318</f>
        <v>UID-FLH---2027</v>
      </c>
      <c r="D318" s="49" t="s">
        <v>103</v>
      </c>
      <c r="G318" s="49" t="b">
        <f>IF(Educator!B323&gt;0,"active")</f>
        <v>0</v>
      </c>
    </row>
    <row r="319" spans="1:7" x14ac:dyDescent="0.2">
      <c r="A3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","#",3))+1,1)&amp;"-"&amp;LEFT(Educator!B324, 3)&amp;"-"&amp;LEFT(Educator!A324, 3)&amp;"-"&amp;IF(ISNUMBER(Educator!D324),"G"&amp;Educator!D324,Educator!D324)&amp;"-"&amp;"2027"</f>
        <v>CID-FLH----2027</v>
      </c>
      <c r="B319" s="49" t="b">
        <f>IF(Educator!A324&gt;0,"topscorewriting.instructure.com")</f>
        <v>0</v>
      </c>
      <c r="C319" s="49" t="str">
        <f>Users!A319</f>
        <v>UID-FLH---2027</v>
      </c>
      <c r="D319" s="49" t="s">
        <v>103</v>
      </c>
      <c r="G319" s="49" t="b">
        <f>IF(Educator!B324&gt;0,"active")</f>
        <v>0</v>
      </c>
    </row>
    <row r="320" spans="1:7" x14ac:dyDescent="0.2">
      <c r="A3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","#",3))+1,1)&amp;"-"&amp;LEFT(Educator!B325, 3)&amp;"-"&amp;LEFT(Educator!A325, 3)&amp;"-"&amp;IF(ISNUMBER(Educator!D325),"G"&amp;Educator!D325,Educator!D325)&amp;"-"&amp;"2027"</f>
        <v>CID-FLH----2027</v>
      </c>
      <c r="B320" s="49" t="b">
        <f>IF(Educator!A325&gt;0,"topscorewriting.instructure.com")</f>
        <v>0</v>
      </c>
      <c r="C320" s="49" t="str">
        <f>Users!A320</f>
        <v>UID-FLH---2027</v>
      </c>
      <c r="D320" s="49" t="s">
        <v>103</v>
      </c>
      <c r="G320" s="49" t="b">
        <f>IF(Educator!B325&gt;0,"active")</f>
        <v>0</v>
      </c>
    </row>
    <row r="321" spans="1:7" x14ac:dyDescent="0.2">
      <c r="A3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","#",3))+1,1)&amp;"-"&amp;LEFT(Educator!B326, 3)&amp;"-"&amp;LEFT(Educator!A326, 3)&amp;"-"&amp;IF(ISNUMBER(Educator!D326),"G"&amp;Educator!D326,Educator!D326)&amp;"-"&amp;"2027"</f>
        <v>CID-FLH----2027</v>
      </c>
      <c r="B321" s="49" t="b">
        <f>IF(Educator!A326&gt;0,"topscorewriting.instructure.com")</f>
        <v>0</v>
      </c>
      <c r="C321" s="49" t="str">
        <f>Users!A321</f>
        <v>UID-FLH---2027</v>
      </c>
      <c r="D321" s="49" t="s">
        <v>103</v>
      </c>
      <c r="G321" s="49" t="b">
        <f>IF(Educator!B326&gt;0,"active")</f>
        <v>0</v>
      </c>
    </row>
    <row r="322" spans="1:7" x14ac:dyDescent="0.2">
      <c r="A3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","#",3))+1,1)&amp;"-"&amp;LEFT(Educator!B327, 3)&amp;"-"&amp;LEFT(Educator!A327, 3)&amp;"-"&amp;IF(ISNUMBER(Educator!D327),"G"&amp;Educator!D327,Educator!D327)&amp;"-"&amp;"2027"</f>
        <v>CID-FLH----2027</v>
      </c>
      <c r="B322" s="49" t="b">
        <f>IF(Educator!A327&gt;0,"topscorewriting.instructure.com")</f>
        <v>0</v>
      </c>
      <c r="C322" s="49" t="str">
        <f>Users!A322</f>
        <v>UID-FLH---2027</v>
      </c>
      <c r="D322" s="49" t="s">
        <v>103</v>
      </c>
      <c r="G322" s="49" t="b">
        <f>IF(Educator!B327&gt;0,"active")</f>
        <v>0</v>
      </c>
    </row>
    <row r="323" spans="1:7" x14ac:dyDescent="0.2">
      <c r="A3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","#",3))+1,1)&amp;"-"&amp;LEFT(Educator!B328, 3)&amp;"-"&amp;LEFT(Educator!A328, 3)&amp;"-"&amp;IF(ISNUMBER(Educator!D328),"G"&amp;Educator!D328,Educator!D328)&amp;"-"&amp;"2027"</f>
        <v>CID-FLH----2027</v>
      </c>
      <c r="B323" s="49" t="b">
        <f>IF(Educator!A328&gt;0,"topscorewriting.instructure.com")</f>
        <v>0</v>
      </c>
      <c r="C323" s="49" t="str">
        <f>Users!A323</f>
        <v>UID-FLH---2027</v>
      </c>
      <c r="D323" s="49" t="s">
        <v>103</v>
      </c>
      <c r="G323" s="49" t="b">
        <f>IF(Educator!B328&gt;0,"active")</f>
        <v>0</v>
      </c>
    </row>
    <row r="324" spans="1:7" x14ac:dyDescent="0.2">
      <c r="A3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","#",3))+1,1)&amp;"-"&amp;LEFT(Educator!B329, 3)&amp;"-"&amp;LEFT(Educator!A329, 3)&amp;"-"&amp;IF(ISNUMBER(Educator!D329),"G"&amp;Educator!D329,Educator!D329)&amp;"-"&amp;"2027"</f>
        <v>CID-FLH----2027</v>
      </c>
      <c r="B324" s="49" t="b">
        <f>IF(Educator!A329&gt;0,"topscorewriting.instructure.com")</f>
        <v>0</v>
      </c>
      <c r="C324" s="49" t="str">
        <f>Users!A324</f>
        <v>UID-FLH---2027</v>
      </c>
      <c r="D324" s="49" t="s">
        <v>103</v>
      </c>
      <c r="G324" s="49" t="b">
        <f>IF(Educator!B329&gt;0,"active")</f>
        <v>0</v>
      </c>
    </row>
    <row r="325" spans="1:7" x14ac:dyDescent="0.2">
      <c r="A3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","#",3))+1,1)&amp;"-"&amp;LEFT(Educator!B330, 3)&amp;"-"&amp;LEFT(Educator!A330, 3)&amp;"-"&amp;IF(ISNUMBER(Educator!D330),"G"&amp;Educator!D330,Educator!D330)&amp;"-"&amp;"2027"</f>
        <v>CID-FLH----2027</v>
      </c>
      <c r="B325" s="49" t="b">
        <f>IF(Educator!A330&gt;0,"topscorewriting.instructure.com")</f>
        <v>0</v>
      </c>
      <c r="C325" s="49" t="str">
        <f>Users!A325</f>
        <v>UID-FLH---2027</v>
      </c>
      <c r="D325" s="49" t="s">
        <v>103</v>
      </c>
      <c r="G325" s="49" t="b">
        <f>IF(Educator!B330&gt;0,"active")</f>
        <v>0</v>
      </c>
    </row>
    <row r="326" spans="1:7" x14ac:dyDescent="0.2">
      <c r="A3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","#",3))+1,1)&amp;"-"&amp;LEFT(Educator!B331, 3)&amp;"-"&amp;LEFT(Educator!A331, 3)&amp;"-"&amp;IF(ISNUMBER(Educator!D331),"G"&amp;Educator!D331,Educator!D331)&amp;"-"&amp;"2027"</f>
        <v>CID-FLH----2027</v>
      </c>
      <c r="B326" s="49" t="b">
        <f>IF(Educator!A331&gt;0,"topscorewriting.instructure.com")</f>
        <v>0</v>
      </c>
      <c r="C326" s="49" t="str">
        <f>Users!A326</f>
        <v>UID-FLH---2027</v>
      </c>
      <c r="D326" s="49" t="s">
        <v>103</v>
      </c>
      <c r="G326" s="49" t="b">
        <f>IF(Educator!B331&gt;0,"active")</f>
        <v>0</v>
      </c>
    </row>
    <row r="327" spans="1:7" x14ac:dyDescent="0.2">
      <c r="A3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","#",3))+1,1)&amp;"-"&amp;LEFT(Educator!B332, 3)&amp;"-"&amp;LEFT(Educator!A332, 3)&amp;"-"&amp;IF(ISNUMBER(Educator!D332),"G"&amp;Educator!D332,Educator!D332)&amp;"-"&amp;"2027"</f>
        <v>CID-FLH----2027</v>
      </c>
      <c r="B327" s="49" t="b">
        <f>IF(Educator!A332&gt;0,"topscorewriting.instructure.com")</f>
        <v>0</v>
      </c>
      <c r="C327" s="49" t="str">
        <f>Users!A327</f>
        <v>UID-FLH---2027</v>
      </c>
      <c r="D327" s="49" t="s">
        <v>103</v>
      </c>
      <c r="G327" s="49" t="b">
        <f>IF(Educator!B332&gt;0,"active")</f>
        <v>0</v>
      </c>
    </row>
    <row r="328" spans="1:7" x14ac:dyDescent="0.2">
      <c r="A3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","#",3))+1,1)&amp;"-"&amp;LEFT(Educator!B333, 3)&amp;"-"&amp;LEFT(Educator!A333, 3)&amp;"-"&amp;IF(ISNUMBER(Educator!D333),"G"&amp;Educator!D333,Educator!D333)&amp;"-"&amp;"2027"</f>
        <v>CID-FLH----2027</v>
      </c>
      <c r="B328" s="49" t="b">
        <f>IF(Educator!A333&gt;0,"topscorewriting.instructure.com")</f>
        <v>0</v>
      </c>
      <c r="C328" s="49" t="str">
        <f>Users!A328</f>
        <v>UID-FLH---2027</v>
      </c>
      <c r="D328" s="49" t="s">
        <v>103</v>
      </c>
      <c r="G328" s="49" t="b">
        <f>IF(Educator!B333&gt;0,"active")</f>
        <v>0</v>
      </c>
    </row>
    <row r="329" spans="1:7" x14ac:dyDescent="0.2">
      <c r="A3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","#",3))+1,1)&amp;"-"&amp;LEFT(Educator!B334, 3)&amp;"-"&amp;LEFT(Educator!A334, 3)&amp;"-"&amp;IF(ISNUMBER(Educator!D334),"G"&amp;Educator!D334,Educator!D334)&amp;"-"&amp;"2027"</f>
        <v>CID-FLH----2027</v>
      </c>
      <c r="B329" s="49" t="b">
        <f>IF(Educator!A334&gt;0,"topscorewriting.instructure.com")</f>
        <v>0</v>
      </c>
      <c r="C329" s="49" t="str">
        <f>Users!A329</f>
        <v>UID-FLH---2027</v>
      </c>
      <c r="D329" s="49" t="s">
        <v>103</v>
      </c>
      <c r="G329" s="49" t="b">
        <f>IF(Educator!B334&gt;0,"active")</f>
        <v>0</v>
      </c>
    </row>
    <row r="330" spans="1:7" x14ac:dyDescent="0.2">
      <c r="A3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","#",3))+1,1)&amp;"-"&amp;LEFT(Educator!B335, 3)&amp;"-"&amp;LEFT(Educator!A335, 3)&amp;"-"&amp;IF(ISNUMBER(Educator!D335),"G"&amp;Educator!D335,Educator!D335)&amp;"-"&amp;"2027"</f>
        <v>CID-FLH----2027</v>
      </c>
      <c r="B330" s="49" t="b">
        <f>IF(Educator!A335&gt;0,"topscorewriting.instructure.com")</f>
        <v>0</v>
      </c>
      <c r="C330" s="49" t="str">
        <f>Users!A330</f>
        <v>UID-FLH---2027</v>
      </c>
      <c r="D330" s="49" t="s">
        <v>103</v>
      </c>
      <c r="G330" s="49" t="b">
        <f>IF(Educator!B335&gt;0,"active")</f>
        <v>0</v>
      </c>
    </row>
    <row r="331" spans="1:7" x14ac:dyDescent="0.2">
      <c r="A3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","#",3))+1,1)&amp;"-"&amp;LEFT(Educator!B336, 3)&amp;"-"&amp;LEFT(Educator!A336, 3)&amp;"-"&amp;IF(ISNUMBER(Educator!D336),"G"&amp;Educator!D336,Educator!D336)&amp;"-"&amp;"2027"</f>
        <v>CID-FLH----2027</v>
      </c>
      <c r="B331" s="49" t="b">
        <f>IF(Educator!A336&gt;0,"topscorewriting.instructure.com")</f>
        <v>0</v>
      </c>
      <c r="C331" s="49" t="str">
        <f>Users!A331</f>
        <v>UID-FLH---2027</v>
      </c>
      <c r="D331" s="49" t="s">
        <v>103</v>
      </c>
      <c r="G331" s="49" t="b">
        <f>IF(Educator!B336&gt;0,"active")</f>
        <v>0</v>
      </c>
    </row>
    <row r="332" spans="1:7" x14ac:dyDescent="0.2">
      <c r="A3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","#",3))+1,1)&amp;"-"&amp;LEFT(Educator!B337, 3)&amp;"-"&amp;LEFT(Educator!A337, 3)&amp;"-"&amp;IF(ISNUMBER(Educator!D337),"G"&amp;Educator!D337,Educator!D337)&amp;"-"&amp;"2027"</f>
        <v>CID-FLH----2027</v>
      </c>
      <c r="B332" s="49" t="b">
        <f>IF(Educator!A337&gt;0,"topscorewriting.instructure.com")</f>
        <v>0</v>
      </c>
      <c r="C332" s="49" t="str">
        <f>Users!A332</f>
        <v>UID-FLH---2027</v>
      </c>
      <c r="D332" s="49" t="s">
        <v>103</v>
      </c>
      <c r="G332" s="49" t="b">
        <f>IF(Educator!B337&gt;0,"active")</f>
        <v>0</v>
      </c>
    </row>
    <row r="333" spans="1:7" x14ac:dyDescent="0.2">
      <c r="A3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","#",3))+1,1)&amp;"-"&amp;LEFT(Educator!B338, 3)&amp;"-"&amp;LEFT(Educator!A338, 3)&amp;"-"&amp;IF(ISNUMBER(Educator!D338),"G"&amp;Educator!D338,Educator!D338)&amp;"-"&amp;"2027"</f>
        <v>CID-FLH----2027</v>
      </c>
      <c r="B333" s="49" t="b">
        <f>IF(Educator!A338&gt;0,"topscorewriting.instructure.com")</f>
        <v>0</v>
      </c>
      <c r="C333" s="49" t="str">
        <f>Users!A333</f>
        <v>UID-FLH---2027</v>
      </c>
      <c r="D333" s="49" t="s">
        <v>103</v>
      </c>
      <c r="G333" s="49" t="b">
        <f>IF(Educator!B338&gt;0,"active")</f>
        <v>0</v>
      </c>
    </row>
    <row r="334" spans="1:7" x14ac:dyDescent="0.2">
      <c r="A3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","#",3))+1,1)&amp;"-"&amp;LEFT(Educator!B339, 3)&amp;"-"&amp;LEFT(Educator!A339, 3)&amp;"-"&amp;IF(ISNUMBER(Educator!D339),"G"&amp;Educator!D339,Educator!D339)&amp;"-"&amp;"2027"</f>
        <v>CID-FLH----2027</v>
      </c>
      <c r="B334" s="49" t="b">
        <f>IF(Educator!A339&gt;0,"topscorewriting.instructure.com")</f>
        <v>0</v>
      </c>
      <c r="C334" s="49" t="str">
        <f>Users!A334</f>
        <v>UID-FLH---2027</v>
      </c>
      <c r="D334" s="49" t="s">
        <v>103</v>
      </c>
      <c r="G334" s="49" t="b">
        <f>IF(Educator!B339&gt;0,"active")</f>
        <v>0</v>
      </c>
    </row>
    <row r="335" spans="1:7" x14ac:dyDescent="0.2">
      <c r="A3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","#",3))+1,1)&amp;"-"&amp;LEFT(Educator!B340, 3)&amp;"-"&amp;LEFT(Educator!A340, 3)&amp;"-"&amp;IF(ISNUMBER(Educator!D340),"G"&amp;Educator!D340,Educator!D340)&amp;"-"&amp;"2027"</f>
        <v>CID-FLH----2027</v>
      </c>
      <c r="B335" s="49" t="b">
        <f>IF(Educator!A340&gt;0,"topscorewriting.instructure.com")</f>
        <v>0</v>
      </c>
      <c r="C335" s="49" t="str">
        <f>Users!A335</f>
        <v>UID-FLH---2027</v>
      </c>
      <c r="D335" s="49" t="s">
        <v>103</v>
      </c>
      <c r="G335" s="49" t="b">
        <f>IF(Educator!B340&gt;0,"active")</f>
        <v>0</v>
      </c>
    </row>
    <row r="336" spans="1:7" x14ac:dyDescent="0.2">
      <c r="A3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","#",3))+1,1)&amp;"-"&amp;LEFT(Educator!B341, 3)&amp;"-"&amp;LEFT(Educator!A341, 3)&amp;"-"&amp;IF(ISNUMBER(Educator!D341),"G"&amp;Educator!D341,Educator!D341)&amp;"-"&amp;"2027"</f>
        <v>CID-FLH----2027</v>
      </c>
      <c r="B336" s="49" t="b">
        <f>IF(Educator!A341&gt;0,"topscorewriting.instructure.com")</f>
        <v>0</v>
      </c>
      <c r="C336" s="49" t="str">
        <f>Users!A336</f>
        <v>UID-FLH---2027</v>
      </c>
      <c r="D336" s="49" t="s">
        <v>103</v>
      </c>
      <c r="G336" s="49" t="b">
        <f>IF(Educator!B341&gt;0,"active")</f>
        <v>0</v>
      </c>
    </row>
    <row r="337" spans="1:7" x14ac:dyDescent="0.2">
      <c r="A3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","#",3))+1,1)&amp;"-"&amp;LEFT(Educator!B342, 3)&amp;"-"&amp;LEFT(Educator!A342, 3)&amp;"-"&amp;IF(ISNUMBER(Educator!D342),"G"&amp;Educator!D342,Educator!D342)&amp;"-"&amp;"2027"</f>
        <v>CID-FLH----2027</v>
      </c>
      <c r="B337" s="49" t="b">
        <f>IF(Educator!A342&gt;0,"topscorewriting.instructure.com")</f>
        <v>0</v>
      </c>
      <c r="C337" s="49" t="str">
        <f>Users!A337</f>
        <v>UID-FLH---2027</v>
      </c>
      <c r="D337" s="49" t="s">
        <v>103</v>
      </c>
      <c r="G337" s="49" t="b">
        <f>IF(Educator!B342&gt;0,"active")</f>
        <v>0</v>
      </c>
    </row>
    <row r="338" spans="1:7" x14ac:dyDescent="0.2">
      <c r="A3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","#",3))+1,1)&amp;"-"&amp;LEFT(Educator!B343, 3)&amp;"-"&amp;LEFT(Educator!A343, 3)&amp;"-"&amp;IF(ISNUMBER(Educator!D343),"G"&amp;Educator!D343,Educator!D343)&amp;"-"&amp;"2027"</f>
        <v>CID-FLH----2027</v>
      </c>
      <c r="B338" s="49" t="b">
        <f>IF(Educator!A343&gt;0,"topscorewriting.instructure.com")</f>
        <v>0</v>
      </c>
      <c r="C338" s="49" t="str">
        <f>Users!A338</f>
        <v>UID-FLH---2027</v>
      </c>
      <c r="D338" s="49" t="s">
        <v>103</v>
      </c>
      <c r="G338" s="49" t="b">
        <f>IF(Educator!B343&gt;0,"active")</f>
        <v>0</v>
      </c>
    </row>
    <row r="339" spans="1:7" x14ac:dyDescent="0.2">
      <c r="A3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","#",3))+1,1)&amp;"-"&amp;LEFT(Educator!B344, 3)&amp;"-"&amp;LEFT(Educator!A344, 3)&amp;"-"&amp;IF(ISNUMBER(Educator!D344),"G"&amp;Educator!D344,Educator!D344)&amp;"-"&amp;"2027"</f>
        <v>CID-FLH----2027</v>
      </c>
      <c r="B339" s="49" t="b">
        <f>IF(Educator!A344&gt;0,"topscorewriting.instructure.com")</f>
        <v>0</v>
      </c>
      <c r="C339" s="49" t="str">
        <f>Users!A339</f>
        <v>UID-FLH---2027</v>
      </c>
      <c r="D339" s="49" t="s">
        <v>103</v>
      </c>
      <c r="G339" s="49" t="b">
        <f>IF(Educator!B344&gt;0,"active")</f>
        <v>0</v>
      </c>
    </row>
    <row r="340" spans="1:7" x14ac:dyDescent="0.2">
      <c r="A3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","#",3))+1,1)&amp;"-"&amp;LEFT(Educator!B345, 3)&amp;"-"&amp;LEFT(Educator!A345, 3)&amp;"-"&amp;IF(ISNUMBER(Educator!D345),"G"&amp;Educator!D345,Educator!D345)&amp;"-"&amp;"2027"</f>
        <v>CID-FLH----2027</v>
      </c>
      <c r="B340" s="49" t="b">
        <f>IF(Educator!A345&gt;0,"topscorewriting.instructure.com")</f>
        <v>0</v>
      </c>
      <c r="C340" s="49" t="str">
        <f>Users!A340</f>
        <v>UID-FLH---2027</v>
      </c>
      <c r="D340" s="49" t="s">
        <v>103</v>
      </c>
      <c r="G340" s="49" t="b">
        <f>IF(Educator!B345&gt;0,"active")</f>
        <v>0</v>
      </c>
    </row>
    <row r="341" spans="1:7" x14ac:dyDescent="0.2">
      <c r="A3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","#",3))+1,1)&amp;"-"&amp;LEFT(Educator!B346, 3)&amp;"-"&amp;LEFT(Educator!A346, 3)&amp;"-"&amp;IF(ISNUMBER(Educator!D346),"G"&amp;Educator!D346,Educator!D346)&amp;"-"&amp;"2027"</f>
        <v>CID-FLH----2027</v>
      </c>
      <c r="B341" s="49" t="b">
        <f>IF(Educator!A346&gt;0,"topscorewriting.instructure.com")</f>
        <v>0</v>
      </c>
      <c r="C341" s="49" t="str">
        <f>Users!A341</f>
        <v>UID-FLH---2027</v>
      </c>
      <c r="D341" s="49" t="s">
        <v>103</v>
      </c>
      <c r="G341" s="49" t="b">
        <f>IF(Educator!B346&gt;0,"active")</f>
        <v>0</v>
      </c>
    </row>
    <row r="342" spans="1:7" x14ac:dyDescent="0.2">
      <c r="A3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","#",3))+1,1)&amp;"-"&amp;LEFT(Educator!B347, 3)&amp;"-"&amp;LEFT(Educator!A347, 3)&amp;"-"&amp;IF(ISNUMBER(Educator!D347),"G"&amp;Educator!D347,Educator!D347)&amp;"-"&amp;"2027"</f>
        <v>CID-FLH----2027</v>
      </c>
      <c r="B342" s="49" t="b">
        <f>IF(Educator!A347&gt;0,"topscorewriting.instructure.com")</f>
        <v>0</v>
      </c>
      <c r="C342" s="49" t="str">
        <f>Users!A342</f>
        <v>UID-FLH---2027</v>
      </c>
      <c r="D342" s="49" t="s">
        <v>103</v>
      </c>
      <c r="G342" s="49" t="b">
        <f>IF(Educator!B347&gt;0,"active")</f>
        <v>0</v>
      </c>
    </row>
    <row r="343" spans="1:7" x14ac:dyDescent="0.2">
      <c r="A3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","#",3))+1,1)&amp;"-"&amp;LEFT(Educator!B348, 3)&amp;"-"&amp;LEFT(Educator!A348, 3)&amp;"-"&amp;IF(ISNUMBER(Educator!D348),"G"&amp;Educator!D348,Educator!D348)&amp;"-"&amp;"2027"</f>
        <v>CID-FLH----2027</v>
      </c>
      <c r="B343" s="49" t="b">
        <f>IF(Educator!A348&gt;0,"topscorewriting.instructure.com")</f>
        <v>0</v>
      </c>
      <c r="C343" s="49" t="str">
        <f>Users!A343</f>
        <v>UID-FLH---2027</v>
      </c>
      <c r="D343" s="49" t="s">
        <v>103</v>
      </c>
      <c r="G343" s="49" t="b">
        <f>IF(Educator!B348&gt;0,"active")</f>
        <v>0</v>
      </c>
    </row>
    <row r="344" spans="1:7" x14ac:dyDescent="0.2">
      <c r="A3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","#",3))+1,1)&amp;"-"&amp;LEFT(Educator!B349, 3)&amp;"-"&amp;LEFT(Educator!A349, 3)&amp;"-"&amp;IF(ISNUMBER(Educator!D349),"G"&amp;Educator!D349,Educator!D349)&amp;"-"&amp;"2027"</f>
        <v>CID-FLH----2027</v>
      </c>
      <c r="B344" s="49" t="b">
        <f>IF(Educator!A349&gt;0,"topscorewriting.instructure.com")</f>
        <v>0</v>
      </c>
      <c r="C344" s="49" t="str">
        <f>Users!A344</f>
        <v>UID-FLH---2027</v>
      </c>
      <c r="D344" s="49" t="s">
        <v>103</v>
      </c>
      <c r="G344" s="49" t="b">
        <f>IF(Educator!B349&gt;0,"active")</f>
        <v>0</v>
      </c>
    </row>
    <row r="345" spans="1:7" x14ac:dyDescent="0.2">
      <c r="A3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","#",3))+1,1)&amp;"-"&amp;LEFT(Educator!B350, 3)&amp;"-"&amp;LEFT(Educator!A350, 3)&amp;"-"&amp;IF(ISNUMBER(Educator!D350),"G"&amp;Educator!D350,Educator!D350)&amp;"-"&amp;"2027"</f>
        <v>CID-FLH----2027</v>
      </c>
      <c r="B345" s="49" t="b">
        <f>IF(Educator!A350&gt;0,"topscorewriting.instructure.com")</f>
        <v>0</v>
      </c>
      <c r="C345" s="49" t="str">
        <f>Users!A345</f>
        <v>UID-FLH---2027</v>
      </c>
      <c r="D345" s="49" t="s">
        <v>103</v>
      </c>
      <c r="G345" s="49" t="b">
        <f>IF(Educator!B350&gt;0,"active")</f>
        <v>0</v>
      </c>
    </row>
    <row r="346" spans="1:7" x14ac:dyDescent="0.2">
      <c r="A3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","#",3))+1,1)&amp;"-"&amp;LEFT(Educator!B351, 3)&amp;"-"&amp;LEFT(Educator!A351, 3)&amp;"-"&amp;IF(ISNUMBER(Educator!D351),"G"&amp;Educator!D351,Educator!D351)&amp;"-"&amp;"2027"</f>
        <v>CID-FLH----2027</v>
      </c>
      <c r="B346" s="49" t="b">
        <f>IF(Educator!A351&gt;0,"topscorewriting.instructure.com")</f>
        <v>0</v>
      </c>
      <c r="C346" s="49" t="str">
        <f>Users!A346</f>
        <v>UID-FLH---2027</v>
      </c>
      <c r="D346" s="49" t="s">
        <v>103</v>
      </c>
      <c r="G346" s="49" t="b">
        <f>IF(Educator!B351&gt;0,"active")</f>
        <v>0</v>
      </c>
    </row>
    <row r="347" spans="1:7" x14ac:dyDescent="0.2">
      <c r="A3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","#",3))+1,1)&amp;"-"&amp;LEFT(Educator!B352, 3)&amp;"-"&amp;LEFT(Educator!A352, 3)&amp;"-"&amp;IF(ISNUMBER(Educator!D352),"G"&amp;Educator!D352,Educator!D352)&amp;"-"&amp;"2027"</f>
        <v>CID-FLH----2027</v>
      </c>
      <c r="B347" s="49" t="b">
        <f>IF(Educator!A352&gt;0,"topscorewriting.instructure.com")</f>
        <v>0</v>
      </c>
      <c r="C347" s="49" t="str">
        <f>Users!A347</f>
        <v>UID-FLH---2027</v>
      </c>
      <c r="D347" s="49" t="s">
        <v>103</v>
      </c>
      <c r="G347" s="49" t="b">
        <f>IF(Educator!B352&gt;0,"active")</f>
        <v>0</v>
      </c>
    </row>
    <row r="348" spans="1:7" x14ac:dyDescent="0.2">
      <c r="A3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","#",3))+1,1)&amp;"-"&amp;LEFT(Educator!B353, 3)&amp;"-"&amp;LEFT(Educator!A353, 3)&amp;"-"&amp;IF(ISNUMBER(Educator!D353),"G"&amp;Educator!D353,Educator!D353)&amp;"-"&amp;"2027"</f>
        <v>CID-FLH----2027</v>
      </c>
      <c r="B348" s="49" t="b">
        <f>IF(Educator!A353&gt;0,"topscorewriting.instructure.com")</f>
        <v>0</v>
      </c>
      <c r="C348" s="49" t="str">
        <f>Users!A348</f>
        <v>UID-FLH---2027</v>
      </c>
      <c r="D348" s="49" t="s">
        <v>103</v>
      </c>
      <c r="G348" s="49" t="b">
        <f>IF(Educator!B353&gt;0,"active")</f>
        <v>0</v>
      </c>
    </row>
    <row r="349" spans="1:7" x14ac:dyDescent="0.2">
      <c r="A3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","#",3))+1,1)&amp;"-"&amp;LEFT(Educator!B354, 3)&amp;"-"&amp;LEFT(Educator!A354, 3)&amp;"-"&amp;IF(ISNUMBER(Educator!D354),"G"&amp;Educator!D354,Educator!D354)&amp;"-"&amp;"2027"</f>
        <v>CID-FLH----2027</v>
      </c>
      <c r="B349" s="49" t="b">
        <f>IF(Educator!A354&gt;0,"topscorewriting.instructure.com")</f>
        <v>0</v>
      </c>
      <c r="C349" s="49" t="str">
        <f>Users!A349</f>
        <v>UID-FLH---2027</v>
      </c>
      <c r="D349" s="49" t="s">
        <v>103</v>
      </c>
      <c r="G349" s="49" t="b">
        <f>IF(Educator!B354&gt;0,"active")</f>
        <v>0</v>
      </c>
    </row>
    <row r="350" spans="1:7" x14ac:dyDescent="0.2">
      <c r="A3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","#",3))+1,1)&amp;"-"&amp;LEFT(Educator!B355, 3)&amp;"-"&amp;LEFT(Educator!A355, 3)&amp;"-"&amp;IF(ISNUMBER(Educator!D355),"G"&amp;Educator!D355,Educator!D355)&amp;"-"&amp;"2027"</f>
        <v>CID-FLH----2027</v>
      </c>
      <c r="B350" s="49" t="b">
        <f>IF(Educator!A355&gt;0,"topscorewriting.instructure.com")</f>
        <v>0</v>
      </c>
      <c r="C350" s="49" t="str">
        <f>Users!A350</f>
        <v>UID-FLH---2027</v>
      </c>
      <c r="D350" s="49" t="s">
        <v>103</v>
      </c>
      <c r="G350" s="49" t="b">
        <f>IF(Educator!B355&gt;0,"active")</f>
        <v>0</v>
      </c>
    </row>
    <row r="351" spans="1:7" x14ac:dyDescent="0.2">
      <c r="A3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","#",3))+1,1)&amp;"-"&amp;LEFT(Educator!B356, 3)&amp;"-"&amp;LEFT(Educator!A356, 3)&amp;"-"&amp;IF(ISNUMBER(Educator!D356),"G"&amp;Educator!D356,Educator!D356)&amp;"-"&amp;"2027"</f>
        <v>CID-FLH----2027</v>
      </c>
      <c r="B351" s="49" t="b">
        <f>IF(Educator!A356&gt;0,"topscorewriting.instructure.com")</f>
        <v>0</v>
      </c>
      <c r="C351" s="49" t="str">
        <f>Users!A351</f>
        <v>UID-FLH---2027</v>
      </c>
      <c r="D351" s="49" t="s">
        <v>103</v>
      </c>
      <c r="G351" s="49" t="b">
        <f>IF(Educator!B356&gt;0,"active")</f>
        <v>0</v>
      </c>
    </row>
    <row r="352" spans="1:7" x14ac:dyDescent="0.2">
      <c r="A3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","#",3))+1,1)&amp;"-"&amp;LEFT(Educator!B357, 3)&amp;"-"&amp;LEFT(Educator!A357, 3)&amp;"-"&amp;IF(ISNUMBER(Educator!D357),"G"&amp;Educator!D357,Educator!D357)&amp;"-"&amp;"2027"</f>
        <v>CID-FLH----2027</v>
      </c>
      <c r="B352" s="49" t="b">
        <f>IF(Educator!A357&gt;0,"topscorewriting.instructure.com")</f>
        <v>0</v>
      </c>
      <c r="C352" s="49" t="str">
        <f>Users!A352</f>
        <v>UID-FLH---2027</v>
      </c>
      <c r="D352" s="49" t="s">
        <v>103</v>
      </c>
      <c r="G352" s="49" t="b">
        <f>IF(Educator!B357&gt;0,"active")</f>
        <v>0</v>
      </c>
    </row>
    <row r="353" spans="1:7" x14ac:dyDescent="0.2">
      <c r="A3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","#",3))+1,1)&amp;"-"&amp;LEFT(Educator!B358, 3)&amp;"-"&amp;LEFT(Educator!A358, 3)&amp;"-"&amp;IF(ISNUMBER(Educator!D358),"G"&amp;Educator!D358,Educator!D358)&amp;"-"&amp;"2027"</f>
        <v>CID-FLH----2027</v>
      </c>
      <c r="B353" s="49" t="b">
        <f>IF(Educator!A358&gt;0,"topscorewriting.instructure.com")</f>
        <v>0</v>
      </c>
      <c r="C353" s="49" t="str">
        <f>Users!A353</f>
        <v>UID-FLH---2027</v>
      </c>
      <c r="D353" s="49" t="s">
        <v>103</v>
      </c>
      <c r="G353" s="49" t="b">
        <f>IF(Educator!B358&gt;0,"active")</f>
        <v>0</v>
      </c>
    </row>
    <row r="354" spans="1:7" x14ac:dyDescent="0.2">
      <c r="A3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","#",3))+1,1)&amp;"-"&amp;LEFT(Educator!B359, 3)&amp;"-"&amp;LEFT(Educator!A359, 3)&amp;"-"&amp;IF(ISNUMBER(Educator!D359),"G"&amp;Educator!D359,Educator!D359)&amp;"-"&amp;"2027"</f>
        <v>CID-FLH----2027</v>
      </c>
      <c r="B354" s="49" t="b">
        <f>IF(Educator!A359&gt;0,"topscorewriting.instructure.com")</f>
        <v>0</v>
      </c>
      <c r="C354" s="49" t="str">
        <f>Users!A354</f>
        <v>UID-FLH---2027</v>
      </c>
      <c r="D354" s="49" t="s">
        <v>103</v>
      </c>
      <c r="G354" s="49" t="b">
        <f>IF(Educator!B359&gt;0,"active")</f>
        <v>0</v>
      </c>
    </row>
    <row r="355" spans="1:7" x14ac:dyDescent="0.2">
      <c r="A3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","#",3))+1,1)&amp;"-"&amp;LEFT(Educator!B360, 3)&amp;"-"&amp;LEFT(Educator!A360, 3)&amp;"-"&amp;IF(ISNUMBER(Educator!D360),"G"&amp;Educator!D360,Educator!D360)&amp;"-"&amp;"2027"</f>
        <v>CID-FLH----2027</v>
      </c>
      <c r="B355" s="49" t="b">
        <f>IF(Educator!A360&gt;0,"topscorewriting.instructure.com")</f>
        <v>0</v>
      </c>
      <c r="C355" s="49" t="str">
        <f>Users!A355</f>
        <v>UID-FLH---2027</v>
      </c>
      <c r="D355" s="49" t="s">
        <v>103</v>
      </c>
      <c r="G355" s="49" t="b">
        <f>IF(Educator!B360&gt;0,"active")</f>
        <v>0</v>
      </c>
    </row>
    <row r="356" spans="1:7" x14ac:dyDescent="0.2">
      <c r="A3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","#",3))+1,1)&amp;"-"&amp;LEFT(Educator!B361, 3)&amp;"-"&amp;LEFT(Educator!A361, 3)&amp;"-"&amp;IF(ISNUMBER(Educator!D361),"G"&amp;Educator!D361,Educator!D361)&amp;"-"&amp;"2027"</f>
        <v>CID-FLH----2027</v>
      </c>
      <c r="B356" s="49" t="b">
        <f>IF(Educator!A361&gt;0,"topscorewriting.instructure.com")</f>
        <v>0</v>
      </c>
      <c r="C356" s="49" t="str">
        <f>Users!A356</f>
        <v>UID-FLH---2027</v>
      </c>
      <c r="D356" s="49" t="s">
        <v>103</v>
      </c>
      <c r="G356" s="49" t="b">
        <f>IF(Educator!B361&gt;0,"active")</f>
        <v>0</v>
      </c>
    </row>
    <row r="357" spans="1:7" x14ac:dyDescent="0.2">
      <c r="A3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","#",3))+1,1)&amp;"-"&amp;LEFT(Educator!B362, 3)&amp;"-"&amp;LEFT(Educator!A362, 3)&amp;"-"&amp;IF(ISNUMBER(Educator!D362),"G"&amp;Educator!D362,Educator!D362)&amp;"-"&amp;"2027"</f>
        <v>CID-FLH----2027</v>
      </c>
      <c r="B357" s="49" t="b">
        <f>IF(Educator!A362&gt;0,"topscorewriting.instructure.com")</f>
        <v>0</v>
      </c>
      <c r="C357" s="49" t="str">
        <f>Users!A357</f>
        <v>UID-FLH---2027</v>
      </c>
      <c r="D357" s="49" t="s">
        <v>103</v>
      </c>
      <c r="G357" s="49" t="b">
        <f>IF(Educator!B362&gt;0,"active")</f>
        <v>0</v>
      </c>
    </row>
    <row r="358" spans="1:7" x14ac:dyDescent="0.2">
      <c r="A3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","#",3))+1,1)&amp;"-"&amp;LEFT(Educator!B363, 3)&amp;"-"&amp;LEFT(Educator!A363, 3)&amp;"-"&amp;IF(ISNUMBER(Educator!D363),"G"&amp;Educator!D363,Educator!D363)&amp;"-"&amp;"2027"</f>
        <v>CID-FLH----2027</v>
      </c>
      <c r="B358" s="49" t="b">
        <f>IF(Educator!A363&gt;0,"topscorewriting.instructure.com")</f>
        <v>0</v>
      </c>
      <c r="C358" s="49" t="str">
        <f>Users!A358</f>
        <v>UID-FLH---2027</v>
      </c>
      <c r="D358" s="49" t="s">
        <v>103</v>
      </c>
      <c r="G358" s="49" t="b">
        <f>IF(Educator!B363&gt;0,"active")</f>
        <v>0</v>
      </c>
    </row>
    <row r="359" spans="1:7" x14ac:dyDescent="0.2">
      <c r="A3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","#",3))+1,1)&amp;"-"&amp;LEFT(Educator!B364, 3)&amp;"-"&amp;LEFT(Educator!A364, 3)&amp;"-"&amp;IF(ISNUMBER(Educator!D364),"G"&amp;Educator!D364,Educator!D364)&amp;"-"&amp;"2027"</f>
        <v>CID-FLH----2027</v>
      </c>
      <c r="B359" s="49" t="b">
        <f>IF(Educator!A364&gt;0,"topscorewriting.instructure.com")</f>
        <v>0</v>
      </c>
      <c r="C359" s="49" t="str">
        <f>Users!A359</f>
        <v>UID-FLH---2027</v>
      </c>
      <c r="D359" s="49" t="s">
        <v>103</v>
      </c>
      <c r="G359" s="49" t="b">
        <f>IF(Educator!B364&gt;0,"active")</f>
        <v>0</v>
      </c>
    </row>
    <row r="360" spans="1:7" x14ac:dyDescent="0.2">
      <c r="A3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","#",3))+1,1)&amp;"-"&amp;LEFT(Educator!B365, 3)&amp;"-"&amp;LEFT(Educator!A365, 3)&amp;"-"&amp;IF(ISNUMBER(Educator!D365),"G"&amp;Educator!D365,Educator!D365)&amp;"-"&amp;"2027"</f>
        <v>CID-FLH----2027</v>
      </c>
      <c r="B360" s="49" t="b">
        <f>IF(Educator!A365&gt;0,"topscorewriting.instructure.com")</f>
        <v>0</v>
      </c>
      <c r="C360" s="49" t="str">
        <f>Users!A360</f>
        <v>UID-FLH---2027</v>
      </c>
      <c r="D360" s="49" t="s">
        <v>103</v>
      </c>
      <c r="G360" s="49" t="b">
        <f>IF(Educator!B365&gt;0,"active")</f>
        <v>0</v>
      </c>
    </row>
    <row r="361" spans="1:7" x14ac:dyDescent="0.2">
      <c r="A3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","#",3))+1,1)&amp;"-"&amp;LEFT(Educator!B366, 3)&amp;"-"&amp;LEFT(Educator!A366, 3)&amp;"-"&amp;IF(ISNUMBER(Educator!D366),"G"&amp;Educator!D366,Educator!D366)&amp;"-"&amp;"2027"</f>
        <v>CID-FLH----2027</v>
      </c>
      <c r="B361" s="49" t="b">
        <f>IF(Educator!A366&gt;0,"topscorewriting.instructure.com")</f>
        <v>0</v>
      </c>
      <c r="C361" s="49" t="str">
        <f>Users!A361</f>
        <v>UID-FLH---2027</v>
      </c>
      <c r="D361" s="49" t="s">
        <v>103</v>
      </c>
      <c r="G361" s="49" t="b">
        <f>IF(Educator!B366&gt;0,"active")</f>
        <v>0</v>
      </c>
    </row>
    <row r="362" spans="1:7" x14ac:dyDescent="0.2">
      <c r="A3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","#",3))+1,1)&amp;"-"&amp;LEFT(Educator!B367, 3)&amp;"-"&amp;LEFT(Educator!A367, 3)&amp;"-"&amp;IF(ISNUMBER(Educator!D367),"G"&amp;Educator!D367,Educator!D367)&amp;"-"&amp;"2027"</f>
        <v>CID-FLH----2027</v>
      </c>
      <c r="B362" s="49" t="b">
        <f>IF(Educator!A367&gt;0,"topscorewriting.instructure.com")</f>
        <v>0</v>
      </c>
      <c r="C362" s="49" t="str">
        <f>Users!A362</f>
        <v>UID-FLH---2027</v>
      </c>
      <c r="D362" s="49" t="s">
        <v>103</v>
      </c>
      <c r="G362" s="49" t="b">
        <f>IF(Educator!B367&gt;0,"active")</f>
        <v>0</v>
      </c>
    </row>
    <row r="363" spans="1:7" x14ac:dyDescent="0.2">
      <c r="A3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","#",3))+1,1)&amp;"-"&amp;LEFT(Educator!B368, 3)&amp;"-"&amp;LEFT(Educator!A368, 3)&amp;"-"&amp;IF(ISNUMBER(Educator!D368),"G"&amp;Educator!D368,Educator!D368)&amp;"-"&amp;"2027"</f>
        <v>CID-FLH----2027</v>
      </c>
      <c r="B363" s="49" t="b">
        <f>IF(Educator!A368&gt;0,"topscorewriting.instructure.com")</f>
        <v>0</v>
      </c>
      <c r="C363" s="49" t="str">
        <f>Users!A363</f>
        <v>UID-FLH---2027</v>
      </c>
      <c r="D363" s="49" t="s">
        <v>103</v>
      </c>
      <c r="G363" s="49" t="b">
        <f>IF(Educator!B368&gt;0,"active")</f>
        <v>0</v>
      </c>
    </row>
    <row r="364" spans="1:7" x14ac:dyDescent="0.2">
      <c r="A3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","#",3))+1,1)&amp;"-"&amp;LEFT(Educator!B369, 3)&amp;"-"&amp;LEFT(Educator!A369, 3)&amp;"-"&amp;IF(ISNUMBER(Educator!D369),"G"&amp;Educator!D369,Educator!D369)&amp;"-"&amp;"2027"</f>
        <v>CID-FLH----2027</v>
      </c>
      <c r="B364" s="49" t="b">
        <f>IF(Educator!A369&gt;0,"topscorewriting.instructure.com")</f>
        <v>0</v>
      </c>
      <c r="C364" s="49" t="str">
        <f>Users!A364</f>
        <v>UID-FLH---2027</v>
      </c>
      <c r="D364" s="49" t="s">
        <v>103</v>
      </c>
      <c r="G364" s="49" t="b">
        <f>IF(Educator!B369&gt;0,"active")</f>
        <v>0</v>
      </c>
    </row>
    <row r="365" spans="1:7" x14ac:dyDescent="0.2">
      <c r="A3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","#",3))+1,1)&amp;"-"&amp;LEFT(Educator!B370, 3)&amp;"-"&amp;LEFT(Educator!A370, 3)&amp;"-"&amp;IF(ISNUMBER(Educator!D370),"G"&amp;Educator!D370,Educator!D370)&amp;"-"&amp;"2027"</f>
        <v>CID-FLH----2027</v>
      </c>
      <c r="B365" s="49" t="b">
        <f>IF(Educator!A370&gt;0,"topscorewriting.instructure.com")</f>
        <v>0</v>
      </c>
      <c r="C365" s="49" t="str">
        <f>Users!A365</f>
        <v>UID-FLH---2027</v>
      </c>
      <c r="D365" s="49" t="s">
        <v>103</v>
      </c>
      <c r="G365" s="49" t="b">
        <f>IF(Educator!B370&gt;0,"active")</f>
        <v>0</v>
      </c>
    </row>
    <row r="366" spans="1:7" x14ac:dyDescent="0.2">
      <c r="A3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","#",3))+1,1)&amp;"-"&amp;LEFT(Educator!B371, 3)&amp;"-"&amp;LEFT(Educator!A371, 3)&amp;"-"&amp;IF(ISNUMBER(Educator!D371),"G"&amp;Educator!D371,Educator!D371)&amp;"-"&amp;"2027"</f>
        <v>CID-FLH----2027</v>
      </c>
      <c r="B366" s="49" t="b">
        <f>IF(Educator!A371&gt;0,"topscorewriting.instructure.com")</f>
        <v>0</v>
      </c>
      <c r="C366" s="49" t="str">
        <f>Users!A366</f>
        <v>UID-FLH---2027</v>
      </c>
      <c r="D366" s="49" t="s">
        <v>103</v>
      </c>
      <c r="G366" s="49" t="b">
        <f>IF(Educator!B371&gt;0,"active")</f>
        <v>0</v>
      </c>
    </row>
    <row r="367" spans="1:7" x14ac:dyDescent="0.2">
      <c r="A3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","#",3))+1,1)&amp;"-"&amp;LEFT(Educator!B372, 3)&amp;"-"&amp;LEFT(Educator!A372, 3)&amp;"-"&amp;IF(ISNUMBER(Educator!D372),"G"&amp;Educator!D372,Educator!D372)&amp;"-"&amp;"2027"</f>
        <v>CID-FLH----2027</v>
      </c>
      <c r="B367" s="49" t="b">
        <f>IF(Educator!A372&gt;0,"topscorewriting.instructure.com")</f>
        <v>0</v>
      </c>
      <c r="C367" s="49" t="str">
        <f>Users!A367</f>
        <v>UID-FLH---2027</v>
      </c>
      <c r="D367" s="49" t="s">
        <v>103</v>
      </c>
      <c r="G367" s="49" t="b">
        <f>IF(Educator!B372&gt;0,"active")</f>
        <v>0</v>
      </c>
    </row>
    <row r="368" spans="1:7" x14ac:dyDescent="0.2">
      <c r="A3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","#",3))+1,1)&amp;"-"&amp;LEFT(Educator!B373, 3)&amp;"-"&amp;LEFT(Educator!A373, 3)&amp;"-"&amp;IF(ISNUMBER(Educator!D373),"G"&amp;Educator!D373,Educator!D373)&amp;"-"&amp;"2027"</f>
        <v>CID-FLH----2027</v>
      </c>
      <c r="B368" s="49" t="b">
        <f>IF(Educator!A373&gt;0,"topscorewriting.instructure.com")</f>
        <v>0</v>
      </c>
      <c r="C368" s="49" t="str">
        <f>Users!A368</f>
        <v>UID-FLH---2027</v>
      </c>
      <c r="D368" s="49" t="s">
        <v>103</v>
      </c>
      <c r="G368" s="49" t="b">
        <f>IF(Educator!B373&gt;0,"active")</f>
        <v>0</v>
      </c>
    </row>
    <row r="369" spans="1:7" x14ac:dyDescent="0.2">
      <c r="A3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","#",3))+1,1)&amp;"-"&amp;LEFT(Educator!B374, 3)&amp;"-"&amp;LEFT(Educator!A374, 3)&amp;"-"&amp;IF(ISNUMBER(Educator!D374),"G"&amp;Educator!D374,Educator!D374)&amp;"-"&amp;"2027"</f>
        <v>CID-FLH----2027</v>
      </c>
      <c r="B369" s="49" t="b">
        <f>IF(Educator!A374&gt;0,"topscorewriting.instructure.com")</f>
        <v>0</v>
      </c>
      <c r="C369" s="49" t="str">
        <f>Users!A369</f>
        <v>UID-FLH---2027</v>
      </c>
      <c r="D369" s="49" t="s">
        <v>103</v>
      </c>
      <c r="G369" s="49" t="b">
        <f>IF(Educator!B374&gt;0,"active")</f>
        <v>0</v>
      </c>
    </row>
    <row r="370" spans="1:7" x14ac:dyDescent="0.2">
      <c r="A3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","#",3))+1,1)&amp;"-"&amp;LEFT(Educator!B375, 3)&amp;"-"&amp;LEFT(Educator!A375, 3)&amp;"-"&amp;IF(ISNUMBER(Educator!D375),"G"&amp;Educator!D375,Educator!D375)&amp;"-"&amp;"2027"</f>
        <v>CID-FLH----2027</v>
      </c>
      <c r="B370" s="49" t="b">
        <f>IF(Educator!A375&gt;0,"topscorewriting.instructure.com")</f>
        <v>0</v>
      </c>
      <c r="C370" s="49" t="str">
        <f>Users!A370</f>
        <v>UID-FLH---2027</v>
      </c>
      <c r="D370" s="49" t="s">
        <v>103</v>
      </c>
      <c r="G370" s="49" t="b">
        <f>IF(Educator!B375&gt;0,"active")</f>
        <v>0</v>
      </c>
    </row>
    <row r="371" spans="1:7" x14ac:dyDescent="0.2">
      <c r="A3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","#",3))+1,1)&amp;"-"&amp;LEFT(Educator!B376, 3)&amp;"-"&amp;LEFT(Educator!A376, 3)&amp;"-"&amp;IF(ISNUMBER(Educator!D376),"G"&amp;Educator!D376,Educator!D376)&amp;"-"&amp;"2027"</f>
        <v>CID-FLH----2027</v>
      </c>
      <c r="B371" s="49" t="b">
        <f>IF(Educator!A376&gt;0,"topscorewriting.instructure.com")</f>
        <v>0</v>
      </c>
      <c r="C371" s="49" t="str">
        <f>Users!A371</f>
        <v>UID-FLH---2027</v>
      </c>
      <c r="D371" s="49" t="s">
        <v>103</v>
      </c>
      <c r="G371" s="49" t="b">
        <f>IF(Educator!B376&gt;0,"active")</f>
        <v>0</v>
      </c>
    </row>
    <row r="372" spans="1:7" x14ac:dyDescent="0.2">
      <c r="A3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","#",3))+1,1)&amp;"-"&amp;LEFT(Educator!B377, 3)&amp;"-"&amp;LEFT(Educator!A377, 3)&amp;"-"&amp;IF(ISNUMBER(Educator!D377),"G"&amp;Educator!D377,Educator!D377)&amp;"-"&amp;"2027"</f>
        <v>CID-FLH----2027</v>
      </c>
      <c r="B372" s="49" t="b">
        <f>IF(Educator!A377&gt;0,"topscorewriting.instructure.com")</f>
        <v>0</v>
      </c>
      <c r="C372" s="49" t="str">
        <f>Users!A372</f>
        <v>UID-FLH---2027</v>
      </c>
      <c r="D372" s="49" t="s">
        <v>103</v>
      </c>
      <c r="G372" s="49" t="b">
        <f>IF(Educator!B377&gt;0,"active")</f>
        <v>0</v>
      </c>
    </row>
    <row r="373" spans="1:7" x14ac:dyDescent="0.2">
      <c r="A3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","#",3))+1,1)&amp;"-"&amp;LEFT(Educator!B378, 3)&amp;"-"&amp;LEFT(Educator!A378, 3)&amp;"-"&amp;IF(ISNUMBER(Educator!D378),"G"&amp;Educator!D378,Educator!D378)&amp;"-"&amp;"2027"</f>
        <v>CID-FLH----2027</v>
      </c>
      <c r="B373" s="49" t="b">
        <f>IF(Educator!A378&gt;0,"topscorewriting.instructure.com")</f>
        <v>0</v>
      </c>
      <c r="C373" s="49" t="str">
        <f>Users!A373</f>
        <v>UID-FLH---2027</v>
      </c>
      <c r="D373" s="49" t="s">
        <v>103</v>
      </c>
      <c r="G373" s="49" t="b">
        <f>IF(Educator!B378&gt;0,"active")</f>
        <v>0</v>
      </c>
    </row>
    <row r="374" spans="1:7" x14ac:dyDescent="0.2">
      <c r="A3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","#",3))+1,1)&amp;"-"&amp;LEFT(Educator!B379, 3)&amp;"-"&amp;LEFT(Educator!A379, 3)&amp;"-"&amp;IF(ISNUMBER(Educator!D379),"G"&amp;Educator!D379,Educator!D379)&amp;"-"&amp;"2027"</f>
        <v>CID-FLH----2027</v>
      </c>
      <c r="B374" s="49" t="b">
        <f>IF(Educator!A379&gt;0,"topscorewriting.instructure.com")</f>
        <v>0</v>
      </c>
      <c r="C374" s="49" t="str">
        <f>Users!A374</f>
        <v>UID-FLH---2027</v>
      </c>
      <c r="D374" s="49" t="s">
        <v>103</v>
      </c>
      <c r="G374" s="49" t="b">
        <f>IF(Educator!B379&gt;0,"active")</f>
        <v>0</v>
      </c>
    </row>
    <row r="375" spans="1:7" x14ac:dyDescent="0.2">
      <c r="A3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","#",3))+1,1)&amp;"-"&amp;LEFT(Educator!B380, 3)&amp;"-"&amp;LEFT(Educator!A380, 3)&amp;"-"&amp;IF(ISNUMBER(Educator!D380),"G"&amp;Educator!D380,Educator!D380)&amp;"-"&amp;"2027"</f>
        <v>CID-FLH----2027</v>
      </c>
      <c r="B375" s="49" t="b">
        <f>IF(Educator!A380&gt;0,"topscorewriting.instructure.com")</f>
        <v>0</v>
      </c>
      <c r="C375" s="49" t="str">
        <f>Users!A375</f>
        <v>UID-FLH---2027</v>
      </c>
      <c r="D375" s="49" t="s">
        <v>103</v>
      </c>
      <c r="G375" s="49" t="b">
        <f>IF(Educator!B380&gt;0,"active")</f>
        <v>0</v>
      </c>
    </row>
    <row r="376" spans="1:7" x14ac:dyDescent="0.2">
      <c r="A3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","#",3))+1,1)&amp;"-"&amp;LEFT(Educator!B381, 3)&amp;"-"&amp;LEFT(Educator!A381, 3)&amp;"-"&amp;IF(ISNUMBER(Educator!D381),"G"&amp;Educator!D381,Educator!D381)&amp;"-"&amp;"2027"</f>
        <v>CID-FLH----2027</v>
      </c>
      <c r="B376" s="49" t="b">
        <f>IF(Educator!A381&gt;0,"topscorewriting.instructure.com")</f>
        <v>0</v>
      </c>
      <c r="C376" s="49" t="str">
        <f>Users!A376</f>
        <v>UID-FLH---2027</v>
      </c>
      <c r="D376" s="49" t="s">
        <v>103</v>
      </c>
      <c r="G376" s="49" t="b">
        <f>IF(Educator!B381&gt;0,"active")</f>
        <v>0</v>
      </c>
    </row>
    <row r="377" spans="1:7" x14ac:dyDescent="0.2">
      <c r="A3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","#",3))+1,1)&amp;"-"&amp;LEFT(Educator!B382, 3)&amp;"-"&amp;LEFT(Educator!A382, 3)&amp;"-"&amp;IF(ISNUMBER(Educator!D382),"G"&amp;Educator!D382,Educator!D382)&amp;"-"&amp;"2027"</f>
        <v>CID-FLH----2027</v>
      </c>
      <c r="B377" s="49" t="b">
        <f>IF(Educator!A382&gt;0,"topscorewriting.instructure.com")</f>
        <v>0</v>
      </c>
      <c r="C377" s="49" t="str">
        <f>Users!A377</f>
        <v>UID-FLH---2027</v>
      </c>
      <c r="D377" s="49" t="s">
        <v>103</v>
      </c>
      <c r="G377" s="49" t="b">
        <f>IF(Educator!B382&gt;0,"active")</f>
        <v>0</v>
      </c>
    </row>
    <row r="378" spans="1:7" x14ac:dyDescent="0.2">
      <c r="A3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","#",3))+1,1)&amp;"-"&amp;LEFT(Educator!B383, 3)&amp;"-"&amp;LEFT(Educator!A383, 3)&amp;"-"&amp;IF(ISNUMBER(Educator!D383),"G"&amp;Educator!D383,Educator!D383)&amp;"-"&amp;"2027"</f>
        <v>CID-FLH----2027</v>
      </c>
      <c r="B378" s="49" t="b">
        <f>IF(Educator!A383&gt;0,"topscorewriting.instructure.com")</f>
        <v>0</v>
      </c>
      <c r="C378" s="49" t="str">
        <f>Users!A378</f>
        <v>UID-FLH---2027</v>
      </c>
      <c r="D378" s="49" t="s">
        <v>103</v>
      </c>
      <c r="G378" s="49" t="b">
        <f>IF(Educator!B383&gt;0,"active")</f>
        <v>0</v>
      </c>
    </row>
    <row r="379" spans="1:7" x14ac:dyDescent="0.2">
      <c r="A3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","#",3))+1,1)&amp;"-"&amp;LEFT(Educator!B384, 3)&amp;"-"&amp;LEFT(Educator!A384, 3)&amp;"-"&amp;IF(ISNUMBER(Educator!D384),"G"&amp;Educator!D384,Educator!D384)&amp;"-"&amp;"2027"</f>
        <v>CID-FLH----2027</v>
      </c>
      <c r="B379" s="49" t="b">
        <f>IF(Educator!A384&gt;0,"topscorewriting.instructure.com")</f>
        <v>0</v>
      </c>
      <c r="C379" s="49" t="str">
        <f>Users!A379</f>
        <v>UID-FLH---2027</v>
      </c>
      <c r="D379" s="49" t="s">
        <v>103</v>
      </c>
      <c r="G379" s="49" t="b">
        <f>IF(Educator!B384&gt;0,"active")</f>
        <v>0</v>
      </c>
    </row>
    <row r="380" spans="1:7" x14ac:dyDescent="0.2">
      <c r="A3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","#",3))+1,1)&amp;"-"&amp;LEFT(Educator!B385, 3)&amp;"-"&amp;LEFT(Educator!A385, 3)&amp;"-"&amp;IF(ISNUMBER(Educator!D385),"G"&amp;Educator!D385,Educator!D385)&amp;"-"&amp;"2027"</f>
        <v>CID-FLH----2027</v>
      </c>
      <c r="B380" s="49" t="b">
        <f>IF(Educator!A385&gt;0,"topscorewriting.instructure.com")</f>
        <v>0</v>
      </c>
      <c r="C380" s="49" t="str">
        <f>Users!A380</f>
        <v>UID-FLH---2027</v>
      </c>
      <c r="D380" s="49" t="s">
        <v>103</v>
      </c>
      <c r="G380" s="49" t="b">
        <f>IF(Educator!B385&gt;0,"active")</f>
        <v>0</v>
      </c>
    </row>
    <row r="381" spans="1:7" x14ac:dyDescent="0.2">
      <c r="A3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","#",3))+1,1)&amp;"-"&amp;LEFT(Educator!B386, 3)&amp;"-"&amp;LEFT(Educator!A386, 3)&amp;"-"&amp;IF(ISNUMBER(Educator!D386),"G"&amp;Educator!D386,Educator!D386)&amp;"-"&amp;"2027"</f>
        <v>CID-FLH----2027</v>
      </c>
      <c r="B381" s="49" t="b">
        <f>IF(Educator!A386&gt;0,"topscorewriting.instructure.com")</f>
        <v>0</v>
      </c>
      <c r="C381" s="49" t="str">
        <f>Users!A381</f>
        <v>UID-FLH---2027</v>
      </c>
      <c r="D381" s="49" t="s">
        <v>103</v>
      </c>
      <c r="G381" s="49" t="b">
        <f>IF(Educator!B386&gt;0,"active")</f>
        <v>0</v>
      </c>
    </row>
    <row r="382" spans="1:7" x14ac:dyDescent="0.2">
      <c r="A3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","#",3))+1,1)&amp;"-"&amp;LEFT(Educator!B387, 3)&amp;"-"&amp;LEFT(Educator!A387, 3)&amp;"-"&amp;IF(ISNUMBER(Educator!D387),"G"&amp;Educator!D387,Educator!D387)&amp;"-"&amp;"2027"</f>
        <v>CID-FLH----2027</v>
      </c>
      <c r="B382" s="49" t="b">
        <f>IF(Educator!A387&gt;0,"topscorewriting.instructure.com")</f>
        <v>0</v>
      </c>
      <c r="C382" s="49" t="str">
        <f>Users!A382</f>
        <v>UID-FLH---2027</v>
      </c>
      <c r="D382" s="49" t="s">
        <v>103</v>
      </c>
      <c r="G382" s="49" t="b">
        <f>IF(Educator!B387&gt;0,"active")</f>
        <v>0</v>
      </c>
    </row>
    <row r="383" spans="1:7" x14ac:dyDescent="0.2">
      <c r="A3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","#",3))+1,1)&amp;"-"&amp;LEFT(Educator!B388, 3)&amp;"-"&amp;LEFT(Educator!A388, 3)&amp;"-"&amp;IF(ISNUMBER(Educator!D388),"G"&amp;Educator!D388,Educator!D388)&amp;"-"&amp;"2027"</f>
        <v>CID-FLH----2027</v>
      </c>
      <c r="B383" s="49" t="b">
        <f>IF(Educator!A388&gt;0,"topscorewriting.instructure.com")</f>
        <v>0</v>
      </c>
      <c r="C383" s="49" t="str">
        <f>Users!A383</f>
        <v>UID-FLH---2027</v>
      </c>
      <c r="D383" s="49" t="s">
        <v>103</v>
      </c>
      <c r="G383" s="49" t="b">
        <f>IF(Educator!B388&gt;0,"active")</f>
        <v>0</v>
      </c>
    </row>
    <row r="384" spans="1:7" x14ac:dyDescent="0.2">
      <c r="A3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","#",3))+1,1)&amp;"-"&amp;LEFT(Educator!B389, 3)&amp;"-"&amp;LEFT(Educator!A389, 3)&amp;"-"&amp;IF(ISNUMBER(Educator!D389),"G"&amp;Educator!D389,Educator!D389)&amp;"-"&amp;"2027"</f>
        <v>CID-FLH----2027</v>
      </c>
      <c r="B384" s="49" t="b">
        <f>IF(Educator!A389&gt;0,"topscorewriting.instructure.com")</f>
        <v>0</v>
      </c>
      <c r="C384" s="49" t="str">
        <f>Users!A384</f>
        <v>UID-FLH---2027</v>
      </c>
      <c r="D384" s="49" t="s">
        <v>103</v>
      </c>
      <c r="G384" s="49" t="b">
        <f>IF(Educator!B389&gt;0,"active")</f>
        <v>0</v>
      </c>
    </row>
    <row r="385" spans="1:7" x14ac:dyDescent="0.2">
      <c r="A3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","#",3))+1,1)&amp;"-"&amp;LEFT(Educator!B390, 3)&amp;"-"&amp;LEFT(Educator!A390, 3)&amp;"-"&amp;IF(ISNUMBER(Educator!D390),"G"&amp;Educator!D390,Educator!D390)&amp;"-"&amp;"2027"</f>
        <v>CID-FLH----2027</v>
      </c>
      <c r="B385" s="49" t="b">
        <f>IF(Educator!A390&gt;0,"topscorewriting.instructure.com")</f>
        <v>0</v>
      </c>
      <c r="C385" s="49" t="str">
        <f>Users!A385</f>
        <v>UID-FLH---2027</v>
      </c>
      <c r="D385" s="49" t="s">
        <v>103</v>
      </c>
      <c r="G385" s="49" t="b">
        <f>IF(Educator!B390&gt;0,"active")</f>
        <v>0</v>
      </c>
    </row>
    <row r="386" spans="1:7" x14ac:dyDescent="0.2">
      <c r="A3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","#",3))+1,1)&amp;"-"&amp;LEFT(Educator!B391, 3)&amp;"-"&amp;LEFT(Educator!A391, 3)&amp;"-"&amp;IF(ISNUMBER(Educator!D391),"G"&amp;Educator!D391,Educator!D391)&amp;"-"&amp;"2027"</f>
        <v>CID-FLH----2027</v>
      </c>
      <c r="B386" s="49" t="b">
        <f>IF(Educator!A391&gt;0,"topscorewriting.instructure.com")</f>
        <v>0</v>
      </c>
      <c r="C386" s="49" t="str">
        <f>Users!A386</f>
        <v>UID-FLH---2027</v>
      </c>
      <c r="D386" s="49" t="s">
        <v>103</v>
      </c>
      <c r="G386" s="49" t="b">
        <f>IF(Educator!B391&gt;0,"active")</f>
        <v>0</v>
      </c>
    </row>
    <row r="387" spans="1:7" x14ac:dyDescent="0.2">
      <c r="A3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","#",3))+1,1)&amp;"-"&amp;LEFT(Educator!B392, 3)&amp;"-"&amp;LEFT(Educator!A392, 3)&amp;"-"&amp;IF(ISNUMBER(Educator!D392),"G"&amp;Educator!D392,Educator!D392)&amp;"-"&amp;"2027"</f>
        <v>CID-FLH----2027</v>
      </c>
      <c r="B387" s="49" t="b">
        <f>IF(Educator!A392&gt;0,"topscorewriting.instructure.com")</f>
        <v>0</v>
      </c>
      <c r="C387" s="49" t="str">
        <f>Users!A387</f>
        <v>UID-FLH---2027</v>
      </c>
      <c r="D387" s="49" t="s">
        <v>103</v>
      </c>
      <c r="G387" s="49" t="b">
        <f>IF(Educator!B392&gt;0,"active")</f>
        <v>0</v>
      </c>
    </row>
    <row r="388" spans="1:7" x14ac:dyDescent="0.2">
      <c r="A3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","#",3))+1,1)&amp;"-"&amp;LEFT(Educator!B393, 3)&amp;"-"&amp;LEFT(Educator!A393, 3)&amp;"-"&amp;IF(ISNUMBER(Educator!D393),"G"&amp;Educator!D393,Educator!D393)&amp;"-"&amp;"2027"</f>
        <v>CID-FLH----2027</v>
      </c>
      <c r="B388" s="49" t="b">
        <f>IF(Educator!A393&gt;0,"topscorewriting.instructure.com")</f>
        <v>0</v>
      </c>
      <c r="C388" s="49" t="str">
        <f>Users!A388</f>
        <v>UID-FLH---2027</v>
      </c>
      <c r="D388" s="49" t="s">
        <v>103</v>
      </c>
      <c r="G388" s="49" t="b">
        <f>IF(Educator!B393&gt;0,"active")</f>
        <v>0</v>
      </c>
    </row>
    <row r="389" spans="1:7" x14ac:dyDescent="0.2">
      <c r="A3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","#",3))+1,1)&amp;"-"&amp;LEFT(Educator!B394, 3)&amp;"-"&amp;LEFT(Educator!A394, 3)&amp;"-"&amp;IF(ISNUMBER(Educator!D394),"G"&amp;Educator!D394,Educator!D394)&amp;"-"&amp;"2027"</f>
        <v>CID-FLH----2027</v>
      </c>
      <c r="B389" s="49" t="b">
        <f>IF(Educator!A394&gt;0,"topscorewriting.instructure.com")</f>
        <v>0</v>
      </c>
      <c r="C389" s="49" t="str">
        <f>Users!A389</f>
        <v>UID-FLH---2027</v>
      </c>
      <c r="D389" s="49" t="s">
        <v>103</v>
      </c>
      <c r="G389" s="49" t="b">
        <f>IF(Educator!B394&gt;0,"active")</f>
        <v>0</v>
      </c>
    </row>
    <row r="390" spans="1:7" x14ac:dyDescent="0.2">
      <c r="A3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","#",3))+1,1)&amp;"-"&amp;LEFT(Educator!B395, 3)&amp;"-"&amp;LEFT(Educator!A395, 3)&amp;"-"&amp;IF(ISNUMBER(Educator!D395),"G"&amp;Educator!D395,Educator!D395)&amp;"-"&amp;"2027"</f>
        <v>CID-FLH----2027</v>
      </c>
      <c r="B390" s="49" t="b">
        <f>IF(Educator!A395&gt;0,"topscorewriting.instructure.com")</f>
        <v>0</v>
      </c>
      <c r="C390" s="49" t="str">
        <f>Users!A390</f>
        <v>UID-FLH---2027</v>
      </c>
      <c r="D390" s="49" t="s">
        <v>103</v>
      </c>
      <c r="G390" s="49" t="b">
        <f>IF(Educator!B395&gt;0,"active")</f>
        <v>0</v>
      </c>
    </row>
    <row r="391" spans="1:7" x14ac:dyDescent="0.2">
      <c r="A3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","#",3))+1,1)&amp;"-"&amp;LEFT(Educator!B396, 3)&amp;"-"&amp;LEFT(Educator!A396, 3)&amp;"-"&amp;IF(ISNUMBER(Educator!D396),"G"&amp;Educator!D396,Educator!D396)&amp;"-"&amp;"2027"</f>
        <v>CID-FLH----2027</v>
      </c>
      <c r="B391" s="49" t="b">
        <f>IF(Educator!A396&gt;0,"topscorewriting.instructure.com")</f>
        <v>0</v>
      </c>
      <c r="C391" s="49" t="str">
        <f>Users!A391</f>
        <v>UID-FLH---2027</v>
      </c>
      <c r="D391" s="49" t="s">
        <v>103</v>
      </c>
      <c r="G391" s="49" t="b">
        <f>IF(Educator!B396&gt;0,"active")</f>
        <v>0</v>
      </c>
    </row>
    <row r="392" spans="1:7" x14ac:dyDescent="0.2">
      <c r="A3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","#",3))+1,1)&amp;"-"&amp;LEFT(Educator!B397, 3)&amp;"-"&amp;LEFT(Educator!A397, 3)&amp;"-"&amp;IF(ISNUMBER(Educator!D397),"G"&amp;Educator!D397,Educator!D397)&amp;"-"&amp;"2027"</f>
        <v>CID-FLH----2027</v>
      </c>
      <c r="B392" s="49" t="b">
        <f>IF(Educator!A397&gt;0,"topscorewriting.instructure.com")</f>
        <v>0</v>
      </c>
      <c r="C392" s="49" t="str">
        <f>Users!A392</f>
        <v>UID-FLH---2027</v>
      </c>
      <c r="D392" s="49" t="s">
        <v>103</v>
      </c>
      <c r="G392" s="49" t="b">
        <f>IF(Educator!B397&gt;0,"active")</f>
        <v>0</v>
      </c>
    </row>
    <row r="393" spans="1:7" x14ac:dyDescent="0.2">
      <c r="A3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","#",3))+1,1)&amp;"-"&amp;LEFT(Educator!B398, 3)&amp;"-"&amp;LEFT(Educator!A398, 3)&amp;"-"&amp;IF(ISNUMBER(Educator!D398),"G"&amp;Educator!D398,Educator!D398)&amp;"-"&amp;"2027"</f>
        <v>CID-FLH----2027</v>
      </c>
      <c r="B393" s="49" t="b">
        <f>IF(Educator!A398&gt;0,"topscorewriting.instructure.com")</f>
        <v>0</v>
      </c>
      <c r="C393" s="49" t="str">
        <f>Users!A393</f>
        <v>UID-FLH---2027</v>
      </c>
      <c r="D393" s="49" t="s">
        <v>103</v>
      </c>
      <c r="G393" s="49" t="b">
        <f>IF(Educator!B398&gt;0,"active")</f>
        <v>0</v>
      </c>
    </row>
    <row r="394" spans="1:7" x14ac:dyDescent="0.2">
      <c r="A3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","#",3))+1,1)&amp;"-"&amp;LEFT(Educator!B399, 3)&amp;"-"&amp;LEFT(Educator!A399, 3)&amp;"-"&amp;IF(ISNUMBER(Educator!D399),"G"&amp;Educator!D399,Educator!D399)&amp;"-"&amp;"2027"</f>
        <v>CID-FLH----2027</v>
      </c>
      <c r="B394" s="49" t="b">
        <f>IF(Educator!A399&gt;0,"topscorewriting.instructure.com")</f>
        <v>0</v>
      </c>
      <c r="C394" s="49" t="str">
        <f>Users!A394</f>
        <v>UID-FLH---2027</v>
      </c>
      <c r="D394" s="49" t="s">
        <v>103</v>
      </c>
      <c r="G394" s="49" t="b">
        <f>IF(Educator!B399&gt;0,"active")</f>
        <v>0</v>
      </c>
    </row>
    <row r="395" spans="1:7" x14ac:dyDescent="0.2">
      <c r="A3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","#",3))+1,1)&amp;"-"&amp;LEFT(Educator!B400, 3)&amp;"-"&amp;LEFT(Educator!A400, 3)&amp;"-"&amp;IF(ISNUMBER(Educator!D400),"G"&amp;Educator!D400,Educator!D400)&amp;"-"&amp;"2027"</f>
        <v>CID-FLH----2027</v>
      </c>
      <c r="B395" s="49" t="b">
        <f>IF(Educator!A400&gt;0,"topscorewriting.instructure.com")</f>
        <v>0</v>
      </c>
      <c r="C395" s="49" t="str">
        <f>Users!A395</f>
        <v>UID-FLH---2027</v>
      </c>
      <c r="D395" s="49" t="s">
        <v>103</v>
      </c>
      <c r="G395" s="49" t="b">
        <f>IF(Educator!B400&gt;0,"active")</f>
        <v>0</v>
      </c>
    </row>
    <row r="396" spans="1:7" x14ac:dyDescent="0.2">
      <c r="A3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","#",3))+1,1)&amp;"-"&amp;LEFT(Educator!B401, 3)&amp;"-"&amp;LEFT(Educator!A401, 3)&amp;"-"&amp;IF(ISNUMBER(Educator!D401),"G"&amp;Educator!D401,Educator!D401)&amp;"-"&amp;"2027"</f>
        <v>CID-FLH----2027</v>
      </c>
      <c r="B396" s="49" t="b">
        <f>IF(Educator!A401&gt;0,"topscorewriting.instructure.com")</f>
        <v>0</v>
      </c>
      <c r="C396" s="49" t="str">
        <f>Users!A396</f>
        <v>UID-FLH---2027</v>
      </c>
      <c r="D396" s="49" t="s">
        <v>103</v>
      </c>
      <c r="G396" s="49" t="b">
        <f>IF(Educator!B401&gt;0,"active")</f>
        <v>0</v>
      </c>
    </row>
    <row r="397" spans="1:7" x14ac:dyDescent="0.2">
      <c r="A3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","#",3))+1,1)&amp;"-"&amp;LEFT(Educator!B402, 3)&amp;"-"&amp;LEFT(Educator!A402, 3)&amp;"-"&amp;IF(ISNUMBER(Educator!D402),"G"&amp;Educator!D402,Educator!D402)&amp;"-"&amp;"2027"</f>
        <v>CID-FLH----2027</v>
      </c>
      <c r="B397" s="49" t="b">
        <f>IF(Educator!A402&gt;0,"topscorewriting.instructure.com")</f>
        <v>0</v>
      </c>
      <c r="C397" s="49" t="str">
        <f>Users!A397</f>
        <v>UID-FLH---2027</v>
      </c>
      <c r="D397" s="49" t="s">
        <v>103</v>
      </c>
      <c r="G397" s="49" t="b">
        <f>IF(Educator!B402&gt;0,"active")</f>
        <v>0</v>
      </c>
    </row>
    <row r="398" spans="1:7" x14ac:dyDescent="0.2">
      <c r="A3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","#",3))+1,1)&amp;"-"&amp;LEFT(Educator!B403, 3)&amp;"-"&amp;LEFT(Educator!A403, 3)&amp;"-"&amp;IF(ISNUMBER(Educator!D403),"G"&amp;Educator!D403,Educator!D403)&amp;"-"&amp;"2027"</f>
        <v>CID-FLH----2027</v>
      </c>
      <c r="B398" s="49" t="b">
        <f>IF(Educator!A403&gt;0,"topscorewriting.instructure.com")</f>
        <v>0</v>
      </c>
      <c r="C398" s="49" t="str">
        <f>Users!A398</f>
        <v>UID-FLH---2027</v>
      </c>
      <c r="D398" s="49" t="s">
        <v>103</v>
      </c>
      <c r="G398" s="49" t="b">
        <f>IF(Educator!B403&gt;0,"active")</f>
        <v>0</v>
      </c>
    </row>
    <row r="399" spans="1:7" x14ac:dyDescent="0.2">
      <c r="A3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","#",3))+1,1)&amp;"-"&amp;LEFT(Educator!B404, 3)&amp;"-"&amp;LEFT(Educator!A404, 3)&amp;"-"&amp;IF(ISNUMBER(Educator!D404),"G"&amp;Educator!D404,Educator!D404)&amp;"-"&amp;"2027"</f>
        <v>CID-FLH----2027</v>
      </c>
      <c r="B399" s="49" t="b">
        <f>IF(Educator!A404&gt;0,"topscorewriting.instructure.com")</f>
        <v>0</v>
      </c>
      <c r="C399" s="49" t="str">
        <f>Users!A399</f>
        <v>UID-FLH---2027</v>
      </c>
      <c r="D399" s="49" t="s">
        <v>103</v>
      </c>
      <c r="G399" s="49" t="b">
        <f>IF(Educator!B404&gt;0,"active")</f>
        <v>0</v>
      </c>
    </row>
    <row r="400" spans="1:7" x14ac:dyDescent="0.2">
      <c r="A4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","#",3))+1,1)&amp;"-"&amp;LEFT(Educator!B405, 3)&amp;"-"&amp;LEFT(Educator!A405, 3)&amp;"-"&amp;IF(ISNUMBER(Educator!D405),"G"&amp;Educator!D405,Educator!D405)&amp;"-"&amp;"2027"</f>
        <v>CID-FLH----2027</v>
      </c>
      <c r="B400" s="49" t="b">
        <f>IF(Educator!A405&gt;0,"topscorewriting.instructure.com")</f>
        <v>0</v>
      </c>
      <c r="C400" s="49" t="str">
        <f>Users!A400</f>
        <v>UID-FLH---2027</v>
      </c>
      <c r="D400" s="49" t="s">
        <v>103</v>
      </c>
      <c r="G400" s="49" t="b">
        <f>IF(Educator!B405&gt;0,"active")</f>
        <v>0</v>
      </c>
    </row>
    <row r="401" spans="1:7" x14ac:dyDescent="0.2">
      <c r="A4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","#",3))+1,1)&amp;"-"&amp;LEFT(Educator!B406, 3)&amp;"-"&amp;LEFT(Educator!A406, 3)&amp;"-"&amp;IF(ISNUMBER(Educator!D406),"G"&amp;Educator!D406,Educator!D406)&amp;"-"&amp;"2027"</f>
        <v>CID-FLH----2027</v>
      </c>
      <c r="B401" s="49" t="b">
        <f>IF(Educator!A406&gt;0,"topscorewriting.instructure.com")</f>
        <v>0</v>
      </c>
      <c r="C401" s="49" t="str">
        <f>Users!A401</f>
        <v>UID-FLH---2027</v>
      </c>
      <c r="D401" s="49" t="s">
        <v>103</v>
      </c>
      <c r="G401" s="49" t="b">
        <f>IF(Educator!B406&gt;0,"active")</f>
        <v>0</v>
      </c>
    </row>
    <row r="402" spans="1:7" x14ac:dyDescent="0.2">
      <c r="A4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","#",3))+1,1)&amp;"-"&amp;LEFT(Educator!B407, 3)&amp;"-"&amp;LEFT(Educator!A407, 3)&amp;"-"&amp;IF(ISNUMBER(Educator!D407),"G"&amp;Educator!D407,Educator!D407)&amp;"-"&amp;"2027"</f>
        <v>CID-FLH----2027</v>
      </c>
      <c r="B402" s="49" t="b">
        <f>IF(Educator!A407&gt;0,"topscorewriting.instructure.com")</f>
        <v>0</v>
      </c>
      <c r="C402" s="49" t="str">
        <f>Users!A402</f>
        <v>UID-FLH---2027</v>
      </c>
      <c r="D402" s="49" t="s">
        <v>103</v>
      </c>
      <c r="G402" s="49" t="b">
        <f>IF(Educator!B407&gt;0,"active")</f>
        <v>0</v>
      </c>
    </row>
    <row r="403" spans="1:7" x14ac:dyDescent="0.2">
      <c r="A4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","#",3))+1,1)&amp;"-"&amp;LEFT(Educator!B408, 3)&amp;"-"&amp;LEFT(Educator!A408, 3)&amp;"-"&amp;IF(ISNUMBER(Educator!D408),"G"&amp;Educator!D408,Educator!D408)&amp;"-"&amp;"2027"</f>
        <v>CID-FLH----2027</v>
      </c>
      <c r="B403" s="49" t="b">
        <f>IF(Educator!A408&gt;0,"topscorewriting.instructure.com")</f>
        <v>0</v>
      </c>
      <c r="C403" s="49" t="str">
        <f>Users!A403</f>
        <v>UID-FLH---2027</v>
      </c>
      <c r="D403" s="49" t="s">
        <v>103</v>
      </c>
      <c r="G403" s="49" t="b">
        <f>IF(Educator!B408&gt;0,"active")</f>
        <v>0</v>
      </c>
    </row>
    <row r="404" spans="1:7" x14ac:dyDescent="0.2">
      <c r="A4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","#",3))+1,1)&amp;"-"&amp;LEFT(Educator!B409, 3)&amp;"-"&amp;LEFT(Educator!A409, 3)&amp;"-"&amp;IF(ISNUMBER(Educator!D409),"G"&amp;Educator!D409,Educator!D409)&amp;"-"&amp;"2027"</f>
        <v>CID-FLH----2027</v>
      </c>
      <c r="B404" s="49" t="b">
        <f>IF(Educator!A409&gt;0,"topscorewriting.instructure.com")</f>
        <v>0</v>
      </c>
      <c r="C404" s="49" t="str">
        <f>Users!A404</f>
        <v>UID-FLH---2027</v>
      </c>
      <c r="D404" s="49" t="s">
        <v>103</v>
      </c>
      <c r="G404" s="49" t="b">
        <f>IF(Educator!B409&gt;0,"active")</f>
        <v>0</v>
      </c>
    </row>
    <row r="405" spans="1:7" x14ac:dyDescent="0.2">
      <c r="A4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","#",3))+1,1)&amp;"-"&amp;LEFT(Educator!B410, 3)&amp;"-"&amp;LEFT(Educator!A410, 3)&amp;"-"&amp;IF(ISNUMBER(Educator!D410),"G"&amp;Educator!D410,Educator!D410)&amp;"-"&amp;"2027"</f>
        <v>CID-FLH----2027</v>
      </c>
      <c r="B405" s="49" t="b">
        <f>IF(Educator!A410&gt;0,"topscorewriting.instructure.com")</f>
        <v>0</v>
      </c>
      <c r="C405" s="49" t="str">
        <f>Users!A405</f>
        <v>UID-FLH---2027</v>
      </c>
      <c r="D405" s="49" t="s">
        <v>103</v>
      </c>
      <c r="G405" s="49" t="b">
        <f>IF(Educator!B410&gt;0,"active")</f>
        <v>0</v>
      </c>
    </row>
    <row r="406" spans="1:7" x14ac:dyDescent="0.2">
      <c r="A4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","#",3))+1,1)&amp;"-"&amp;LEFT(Educator!B411, 3)&amp;"-"&amp;LEFT(Educator!A411, 3)&amp;"-"&amp;IF(ISNUMBER(Educator!D411),"G"&amp;Educator!D411,Educator!D411)&amp;"-"&amp;"2027"</f>
        <v>CID-FLH----2027</v>
      </c>
      <c r="B406" s="49" t="b">
        <f>IF(Educator!A411&gt;0,"topscorewriting.instructure.com")</f>
        <v>0</v>
      </c>
      <c r="C406" s="49" t="str">
        <f>Users!A406</f>
        <v>UID-FLH---2027</v>
      </c>
      <c r="D406" s="49" t="s">
        <v>103</v>
      </c>
      <c r="G406" s="49" t="b">
        <f>IF(Educator!B411&gt;0,"active")</f>
        <v>0</v>
      </c>
    </row>
    <row r="407" spans="1:7" x14ac:dyDescent="0.2">
      <c r="A4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","#",3))+1,1)&amp;"-"&amp;LEFT(Educator!B412, 3)&amp;"-"&amp;LEFT(Educator!A412, 3)&amp;"-"&amp;IF(ISNUMBER(Educator!D412),"G"&amp;Educator!D412,Educator!D412)&amp;"-"&amp;"2027"</f>
        <v>CID-FLH----2027</v>
      </c>
      <c r="B407" s="49" t="b">
        <f>IF(Educator!A412&gt;0,"topscorewriting.instructure.com")</f>
        <v>0</v>
      </c>
      <c r="C407" s="49" t="str">
        <f>Users!A407</f>
        <v>UID-FLH---2027</v>
      </c>
      <c r="D407" s="49" t="s">
        <v>103</v>
      </c>
      <c r="G407" s="49" t="b">
        <f>IF(Educator!B412&gt;0,"active")</f>
        <v>0</v>
      </c>
    </row>
    <row r="408" spans="1:7" x14ac:dyDescent="0.2">
      <c r="A4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","#",3))+1,1)&amp;"-"&amp;LEFT(Educator!B413, 3)&amp;"-"&amp;LEFT(Educator!A413, 3)&amp;"-"&amp;IF(ISNUMBER(Educator!D413),"G"&amp;Educator!D413,Educator!D413)&amp;"-"&amp;"2027"</f>
        <v>CID-FLH----2027</v>
      </c>
      <c r="B408" s="49" t="b">
        <f>IF(Educator!A413&gt;0,"topscorewriting.instructure.com")</f>
        <v>0</v>
      </c>
      <c r="C408" s="49" t="str">
        <f>Users!A408</f>
        <v>UID-FLH---2027</v>
      </c>
      <c r="D408" s="49" t="s">
        <v>103</v>
      </c>
      <c r="G408" s="49" t="b">
        <f>IF(Educator!B413&gt;0,"active")</f>
        <v>0</v>
      </c>
    </row>
    <row r="409" spans="1:7" x14ac:dyDescent="0.2">
      <c r="A4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","#",3))+1,1)&amp;"-"&amp;LEFT(Educator!B414, 3)&amp;"-"&amp;LEFT(Educator!A414, 3)&amp;"-"&amp;IF(ISNUMBER(Educator!D414),"G"&amp;Educator!D414,Educator!D414)&amp;"-"&amp;"2027"</f>
        <v>CID-FLH----2027</v>
      </c>
      <c r="B409" s="49" t="b">
        <f>IF(Educator!A414&gt;0,"topscorewriting.instructure.com")</f>
        <v>0</v>
      </c>
      <c r="C409" s="49" t="str">
        <f>Users!A409</f>
        <v>UID-FLH---2027</v>
      </c>
      <c r="D409" s="49" t="s">
        <v>103</v>
      </c>
      <c r="G409" s="49" t="b">
        <f>IF(Educator!B414&gt;0,"active")</f>
        <v>0</v>
      </c>
    </row>
    <row r="410" spans="1:7" x14ac:dyDescent="0.2">
      <c r="A4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","#",3))+1,1)&amp;"-"&amp;LEFT(Educator!B415, 3)&amp;"-"&amp;LEFT(Educator!A415, 3)&amp;"-"&amp;IF(ISNUMBER(Educator!D415),"G"&amp;Educator!D415,Educator!D415)&amp;"-"&amp;"2027"</f>
        <v>CID-FLH----2027</v>
      </c>
      <c r="B410" s="49" t="b">
        <f>IF(Educator!A415&gt;0,"topscorewriting.instructure.com")</f>
        <v>0</v>
      </c>
      <c r="C410" s="49" t="str">
        <f>Users!A410</f>
        <v>UID-FLH---2027</v>
      </c>
      <c r="D410" s="49" t="s">
        <v>103</v>
      </c>
      <c r="G410" s="49" t="b">
        <f>IF(Educator!B415&gt;0,"active")</f>
        <v>0</v>
      </c>
    </row>
    <row r="411" spans="1:7" x14ac:dyDescent="0.2">
      <c r="A4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","#",3))+1,1)&amp;"-"&amp;LEFT(Educator!B416, 3)&amp;"-"&amp;LEFT(Educator!A416, 3)&amp;"-"&amp;IF(ISNUMBER(Educator!D416),"G"&amp;Educator!D416,Educator!D416)&amp;"-"&amp;"2027"</f>
        <v>CID-FLH----2027</v>
      </c>
      <c r="B411" s="49" t="b">
        <f>IF(Educator!A416&gt;0,"topscorewriting.instructure.com")</f>
        <v>0</v>
      </c>
      <c r="C411" s="49" t="str">
        <f>Users!A411</f>
        <v>UID-FLH---2027</v>
      </c>
      <c r="D411" s="49" t="s">
        <v>103</v>
      </c>
      <c r="G411" s="49" t="b">
        <f>IF(Educator!B416&gt;0,"active")</f>
        <v>0</v>
      </c>
    </row>
    <row r="412" spans="1:7" x14ac:dyDescent="0.2">
      <c r="A4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","#",3))+1,1)&amp;"-"&amp;LEFT(Educator!B417, 3)&amp;"-"&amp;LEFT(Educator!A417, 3)&amp;"-"&amp;IF(ISNUMBER(Educator!D417),"G"&amp;Educator!D417,Educator!D417)&amp;"-"&amp;"2027"</f>
        <v>CID-FLH----2027</v>
      </c>
      <c r="B412" s="49" t="b">
        <f>IF(Educator!A417&gt;0,"topscorewriting.instructure.com")</f>
        <v>0</v>
      </c>
      <c r="C412" s="49" t="str">
        <f>Users!A412</f>
        <v>UID-FLH---2027</v>
      </c>
      <c r="D412" s="49" t="s">
        <v>103</v>
      </c>
      <c r="G412" s="49" t="b">
        <f>IF(Educator!B417&gt;0,"active")</f>
        <v>0</v>
      </c>
    </row>
    <row r="413" spans="1:7" x14ac:dyDescent="0.2">
      <c r="A4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","#",3))+1,1)&amp;"-"&amp;LEFT(Educator!B418, 3)&amp;"-"&amp;LEFT(Educator!A418, 3)&amp;"-"&amp;IF(ISNUMBER(Educator!D418),"G"&amp;Educator!D418,Educator!D418)&amp;"-"&amp;"2027"</f>
        <v>CID-FLH----2027</v>
      </c>
      <c r="B413" s="49" t="b">
        <f>IF(Educator!A418&gt;0,"topscorewriting.instructure.com")</f>
        <v>0</v>
      </c>
      <c r="C413" s="49" t="str">
        <f>Users!A413</f>
        <v>UID-FLH---2027</v>
      </c>
      <c r="D413" s="49" t="s">
        <v>103</v>
      </c>
      <c r="G413" s="49" t="b">
        <f>IF(Educator!B418&gt;0,"active")</f>
        <v>0</v>
      </c>
    </row>
    <row r="414" spans="1:7" x14ac:dyDescent="0.2">
      <c r="A4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","#",3))+1,1)&amp;"-"&amp;LEFT(Educator!B419, 3)&amp;"-"&amp;LEFT(Educator!A419, 3)&amp;"-"&amp;IF(ISNUMBER(Educator!D419),"G"&amp;Educator!D419,Educator!D419)&amp;"-"&amp;"2027"</f>
        <v>CID-FLH----2027</v>
      </c>
      <c r="B414" s="49" t="b">
        <f>IF(Educator!A419&gt;0,"topscorewriting.instructure.com")</f>
        <v>0</v>
      </c>
      <c r="C414" s="49" t="str">
        <f>Users!A414</f>
        <v>UID-FLH---2027</v>
      </c>
      <c r="D414" s="49" t="s">
        <v>103</v>
      </c>
      <c r="G414" s="49" t="b">
        <f>IF(Educator!B419&gt;0,"active")</f>
        <v>0</v>
      </c>
    </row>
    <row r="415" spans="1:7" x14ac:dyDescent="0.2">
      <c r="A4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","#",3))+1,1)&amp;"-"&amp;LEFT(Educator!B420, 3)&amp;"-"&amp;LEFT(Educator!A420, 3)&amp;"-"&amp;IF(ISNUMBER(Educator!D420),"G"&amp;Educator!D420,Educator!D420)&amp;"-"&amp;"2027"</f>
        <v>CID-FLH----2027</v>
      </c>
      <c r="B415" s="49" t="b">
        <f>IF(Educator!A420&gt;0,"topscorewriting.instructure.com")</f>
        <v>0</v>
      </c>
      <c r="C415" s="49" t="str">
        <f>Users!A415</f>
        <v>UID-FLH---2027</v>
      </c>
      <c r="D415" s="49" t="s">
        <v>103</v>
      </c>
      <c r="G415" s="49" t="b">
        <f>IF(Educator!B420&gt;0,"active")</f>
        <v>0</v>
      </c>
    </row>
    <row r="416" spans="1:7" x14ac:dyDescent="0.2">
      <c r="A4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","#",3))+1,1)&amp;"-"&amp;LEFT(Educator!B421, 3)&amp;"-"&amp;LEFT(Educator!A421, 3)&amp;"-"&amp;IF(ISNUMBER(Educator!D421),"G"&amp;Educator!D421,Educator!D421)&amp;"-"&amp;"2027"</f>
        <v>CID-FLH----2027</v>
      </c>
      <c r="B416" s="49" t="b">
        <f>IF(Educator!A421&gt;0,"topscorewriting.instructure.com")</f>
        <v>0</v>
      </c>
      <c r="C416" s="49" t="str">
        <f>Users!A416</f>
        <v>UID-FLH---2027</v>
      </c>
      <c r="D416" s="49" t="s">
        <v>103</v>
      </c>
      <c r="G416" s="49" t="b">
        <f>IF(Educator!B421&gt;0,"active")</f>
        <v>0</v>
      </c>
    </row>
    <row r="417" spans="1:7" x14ac:dyDescent="0.2">
      <c r="A4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","#",3))+1,1)&amp;"-"&amp;LEFT(Educator!B422, 3)&amp;"-"&amp;LEFT(Educator!A422, 3)&amp;"-"&amp;IF(ISNUMBER(Educator!D422),"G"&amp;Educator!D422,Educator!D422)&amp;"-"&amp;"2027"</f>
        <v>CID-FLH----2027</v>
      </c>
      <c r="B417" s="49" t="b">
        <f>IF(Educator!A422&gt;0,"topscorewriting.instructure.com")</f>
        <v>0</v>
      </c>
      <c r="C417" s="49" t="str">
        <f>Users!A417</f>
        <v>UID-FLH---2027</v>
      </c>
      <c r="D417" s="49" t="s">
        <v>103</v>
      </c>
      <c r="G417" s="49" t="b">
        <f>IF(Educator!B422&gt;0,"active")</f>
        <v>0</v>
      </c>
    </row>
    <row r="418" spans="1:7" x14ac:dyDescent="0.2">
      <c r="A4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","#",3))+1,1)&amp;"-"&amp;LEFT(Educator!B423, 3)&amp;"-"&amp;LEFT(Educator!A423, 3)&amp;"-"&amp;IF(ISNUMBER(Educator!D423),"G"&amp;Educator!D423,Educator!D423)&amp;"-"&amp;"2027"</f>
        <v>CID-FLH----2027</v>
      </c>
      <c r="B418" s="49" t="b">
        <f>IF(Educator!A423&gt;0,"topscorewriting.instructure.com")</f>
        <v>0</v>
      </c>
      <c r="C418" s="49" t="str">
        <f>Users!A418</f>
        <v>UID-FLH---2027</v>
      </c>
      <c r="D418" s="49" t="s">
        <v>103</v>
      </c>
      <c r="G418" s="49" t="b">
        <f>IF(Educator!B423&gt;0,"active")</f>
        <v>0</v>
      </c>
    </row>
    <row r="419" spans="1:7" x14ac:dyDescent="0.2">
      <c r="A4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","#",3))+1,1)&amp;"-"&amp;LEFT(Educator!B424, 3)&amp;"-"&amp;LEFT(Educator!A424, 3)&amp;"-"&amp;IF(ISNUMBER(Educator!D424),"G"&amp;Educator!D424,Educator!D424)&amp;"-"&amp;"2027"</f>
        <v>CID-FLH----2027</v>
      </c>
      <c r="B419" s="49" t="b">
        <f>IF(Educator!A424&gt;0,"topscorewriting.instructure.com")</f>
        <v>0</v>
      </c>
      <c r="C419" s="49" t="str">
        <f>Users!A419</f>
        <v>UID-FLH---2027</v>
      </c>
      <c r="D419" s="49" t="s">
        <v>103</v>
      </c>
      <c r="G419" s="49" t="b">
        <f>IF(Educator!B424&gt;0,"active")</f>
        <v>0</v>
      </c>
    </row>
    <row r="420" spans="1:7" x14ac:dyDescent="0.2">
      <c r="A4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","#",3))+1,1)&amp;"-"&amp;LEFT(Educator!B425, 3)&amp;"-"&amp;LEFT(Educator!A425, 3)&amp;"-"&amp;IF(ISNUMBER(Educator!D425),"G"&amp;Educator!D425,Educator!D425)&amp;"-"&amp;"2027"</f>
        <v>CID-FLH----2027</v>
      </c>
      <c r="B420" s="49" t="b">
        <f>IF(Educator!A425&gt;0,"topscorewriting.instructure.com")</f>
        <v>0</v>
      </c>
      <c r="C420" s="49" t="str">
        <f>Users!A420</f>
        <v>UID-FLH---2027</v>
      </c>
      <c r="D420" s="49" t="s">
        <v>103</v>
      </c>
      <c r="G420" s="49" t="b">
        <f>IF(Educator!B425&gt;0,"active")</f>
        <v>0</v>
      </c>
    </row>
    <row r="421" spans="1:7" x14ac:dyDescent="0.2">
      <c r="A4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","#",3))+1,1)&amp;"-"&amp;LEFT(Educator!B426, 3)&amp;"-"&amp;LEFT(Educator!A426, 3)&amp;"-"&amp;IF(ISNUMBER(Educator!D426),"G"&amp;Educator!D426,Educator!D426)&amp;"-"&amp;"2027"</f>
        <v>CID-FLH----2027</v>
      </c>
      <c r="B421" s="49" t="b">
        <f>IF(Educator!A426&gt;0,"topscorewriting.instructure.com")</f>
        <v>0</v>
      </c>
      <c r="C421" s="49" t="str">
        <f>Users!A421</f>
        <v>UID-FLH---2027</v>
      </c>
      <c r="D421" s="49" t="s">
        <v>103</v>
      </c>
      <c r="G421" s="49" t="b">
        <f>IF(Educator!B426&gt;0,"active")</f>
        <v>0</v>
      </c>
    </row>
    <row r="422" spans="1:7" x14ac:dyDescent="0.2">
      <c r="A4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","#",3))+1,1)&amp;"-"&amp;LEFT(Educator!B427, 3)&amp;"-"&amp;LEFT(Educator!A427, 3)&amp;"-"&amp;IF(ISNUMBER(Educator!D427),"G"&amp;Educator!D427,Educator!D427)&amp;"-"&amp;"2027"</f>
        <v>CID-FLH----2027</v>
      </c>
      <c r="B422" s="49" t="b">
        <f>IF(Educator!A427&gt;0,"topscorewriting.instructure.com")</f>
        <v>0</v>
      </c>
      <c r="C422" s="49" t="str">
        <f>Users!A422</f>
        <v>UID-FLH---2027</v>
      </c>
      <c r="D422" s="49" t="s">
        <v>103</v>
      </c>
      <c r="G422" s="49" t="b">
        <f>IF(Educator!B427&gt;0,"active")</f>
        <v>0</v>
      </c>
    </row>
    <row r="423" spans="1:7" x14ac:dyDescent="0.2">
      <c r="A4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","#",3))+1,1)&amp;"-"&amp;LEFT(Educator!B428, 3)&amp;"-"&amp;LEFT(Educator!A428, 3)&amp;"-"&amp;IF(ISNUMBER(Educator!D428),"G"&amp;Educator!D428,Educator!D428)&amp;"-"&amp;"2027"</f>
        <v>CID-FLH----2027</v>
      </c>
      <c r="B423" s="49" t="b">
        <f>IF(Educator!A428&gt;0,"topscorewriting.instructure.com")</f>
        <v>0</v>
      </c>
      <c r="C423" s="49" t="str">
        <f>Users!A423</f>
        <v>UID-FLH---2027</v>
      </c>
      <c r="D423" s="49" t="s">
        <v>103</v>
      </c>
      <c r="G423" s="49" t="b">
        <f>IF(Educator!B428&gt;0,"active")</f>
        <v>0</v>
      </c>
    </row>
    <row r="424" spans="1:7" x14ac:dyDescent="0.2">
      <c r="A4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","#",3))+1,1)&amp;"-"&amp;LEFT(Educator!B429, 3)&amp;"-"&amp;LEFT(Educator!A429, 3)&amp;"-"&amp;IF(ISNUMBER(Educator!D429),"G"&amp;Educator!D429,Educator!D429)&amp;"-"&amp;"2027"</f>
        <v>CID-FLH----2027</v>
      </c>
      <c r="B424" s="49" t="b">
        <f>IF(Educator!A429&gt;0,"topscorewriting.instructure.com")</f>
        <v>0</v>
      </c>
      <c r="C424" s="49" t="str">
        <f>Users!A424</f>
        <v>UID-FLH---2027</v>
      </c>
      <c r="D424" s="49" t="s">
        <v>103</v>
      </c>
      <c r="G424" s="49" t="b">
        <f>IF(Educator!B429&gt;0,"active")</f>
        <v>0</v>
      </c>
    </row>
    <row r="425" spans="1:7" x14ac:dyDescent="0.2">
      <c r="A4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","#",3))+1,1)&amp;"-"&amp;LEFT(Educator!B430, 3)&amp;"-"&amp;LEFT(Educator!A430, 3)&amp;"-"&amp;IF(ISNUMBER(Educator!D430),"G"&amp;Educator!D430,Educator!D430)&amp;"-"&amp;"2027"</f>
        <v>CID-FLH----2027</v>
      </c>
      <c r="B425" s="49" t="b">
        <f>IF(Educator!A430&gt;0,"topscorewriting.instructure.com")</f>
        <v>0</v>
      </c>
      <c r="C425" s="49" t="str">
        <f>Users!A425</f>
        <v>UID-FLH---2027</v>
      </c>
      <c r="D425" s="49" t="s">
        <v>103</v>
      </c>
      <c r="G425" s="49" t="b">
        <f>IF(Educator!B430&gt;0,"active")</f>
        <v>0</v>
      </c>
    </row>
    <row r="426" spans="1:7" x14ac:dyDescent="0.2">
      <c r="A4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","#",3))+1,1)&amp;"-"&amp;LEFT(Educator!B431, 3)&amp;"-"&amp;LEFT(Educator!A431, 3)&amp;"-"&amp;IF(ISNUMBER(Educator!D431),"G"&amp;Educator!D431,Educator!D431)&amp;"-"&amp;"2027"</f>
        <v>CID-FLH----2027</v>
      </c>
      <c r="B426" s="49" t="b">
        <f>IF(Educator!A431&gt;0,"topscorewriting.instructure.com")</f>
        <v>0</v>
      </c>
      <c r="C426" s="49" t="str">
        <f>Users!A426</f>
        <v>UID-FLH---2027</v>
      </c>
      <c r="D426" s="49" t="s">
        <v>103</v>
      </c>
      <c r="G426" s="49" t="b">
        <f>IF(Educator!B431&gt;0,"active")</f>
        <v>0</v>
      </c>
    </row>
    <row r="427" spans="1:7" x14ac:dyDescent="0.2">
      <c r="A4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","#",3))+1,1)&amp;"-"&amp;LEFT(Educator!B432, 3)&amp;"-"&amp;LEFT(Educator!A432, 3)&amp;"-"&amp;IF(ISNUMBER(Educator!D432),"G"&amp;Educator!D432,Educator!D432)&amp;"-"&amp;"2027"</f>
        <v>CID-FLH----2027</v>
      </c>
      <c r="B427" s="49" t="b">
        <f>IF(Educator!A432&gt;0,"topscorewriting.instructure.com")</f>
        <v>0</v>
      </c>
      <c r="C427" s="49" t="str">
        <f>Users!A427</f>
        <v>UID-FLH---2027</v>
      </c>
      <c r="D427" s="49" t="s">
        <v>103</v>
      </c>
      <c r="G427" s="49" t="b">
        <f>IF(Educator!B432&gt;0,"active")</f>
        <v>0</v>
      </c>
    </row>
    <row r="428" spans="1:7" x14ac:dyDescent="0.2">
      <c r="A4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","#",3))+1,1)&amp;"-"&amp;LEFT(Educator!B433, 3)&amp;"-"&amp;LEFT(Educator!A433, 3)&amp;"-"&amp;IF(ISNUMBER(Educator!D433),"G"&amp;Educator!D433,Educator!D433)&amp;"-"&amp;"2027"</f>
        <v>CID-FLH----2027</v>
      </c>
      <c r="B428" s="49" t="b">
        <f>IF(Educator!A433&gt;0,"topscorewriting.instructure.com")</f>
        <v>0</v>
      </c>
      <c r="C428" s="49" t="str">
        <f>Users!A428</f>
        <v>UID-FLH---2027</v>
      </c>
      <c r="D428" s="49" t="s">
        <v>103</v>
      </c>
      <c r="G428" s="49" t="b">
        <f>IF(Educator!B433&gt;0,"active")</f>
        <v>0</v>
      </c>
    </row>
    <row r="429" spans="1:7" x14ac:dyDescent="0.2">
      <c r="A4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","#",3))+1,1)&amp;"-"&amp;LEFT(Educator!B434, 3)&amp;"-"&amp;LEFT(Educator!A434, 3)&amp;"-"&amp;IF(ISNUMBER(Educator!D434),"G"&amp;Educator!D434,Educator!D434)&amp;"-"&amp;"2027"</f>
        <v>CID-FLH----2027</v>
      </c>
      <c r="B429" s="49" t="b">
        <f>IF(Educator!A434&gt;0,"topscorewriting.instructure.com")</f>
        <v>0</v>
      </c>
      <c r="C429" s="49" t="str">
        <f>Users!A429</f>
        <v>UID-FLH---2027</v>
      </c>
      <c r="D429" s="49" t="s">
        <v>103</v>
      </c>
      <c r="G429" s="49" t="b">
        <f>IF(Educator!B434&gt;0,"active")</f>
        <v>0</v>
      </c>
    </row>
    <row r="430" spans="1:7" x14ac:dyDescent="0.2">
      <c r="A4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","#",3))+1,1)&amp;"-"&amp;LEFT(Educator!B435, 3)&amp;"-"&amp;LEFT(Educator!A435, 3)&amp;"-"&amp;IF(ISNUMBER(Educator!D435),"G"&amp;Educator!D435,Educator!D435)&amp;"-"&amp;"2027"</f>
        <v>CID-FLH----2027</v>
      </c>
      <c r="B430" s="49" t="b">
        <f>IF(Educator!A435&gt;0,"topscorewriting.instructure.com")</f>
        <v>0</v>
      </c>
      <c r="C430" s="49" t="str">
        <f>Users!A430</f>
        <v>UID-FLH---2027</v>
      </c>
      <c r="D430" s="49" t="s">
        <v>103</v>
      </c>
      <c r="G430" s="49" t="b">
        <f>IF(Educator!B435&gt;0,"active")</f>
        <v>0</v>
      </c>
    </row>
    <row r="431" spans="1:7" x14ac:dyDescent="0.2">
      <c r="A4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","#",3))+1,1)&amp;"-"&amp;LEFT(Educator!B436, 3)&amp;"-"&amp;LEFT(Educator!A436, 3)&amp;"-"&amp;IF(ISNUMBER(Educator!D436),"G"&amp;Educator!D436,Educator!D436)&amp;"-"&amp;"2027"</f>
        <v>CID-FLH----2027</v>
      </c>
      <c r="B431" s="49" t="b">
        <f>IF(Educator!A436&gt;0,"topscorewriting.instructure.com")</f>
        <v>0</v>
      </c>
      <c r="C431" s="49" t="str">
        <f>Users!A431</f>
        <v>UID-FLH---2027</v>
      </c>
      <c r="D431" s="49" t="s">
        <v>103</v>
      </c>
      <c r="G431" s="49" t="b">
        <f>IF(Educator!B436&gt;0,"active")</f>
        <v>0</v>
      </c>
    </row>
    <row r="432" spans="1:7" x14ac:dyDescent="0.2">
      <c r="A4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","#",3))+1,1)&amp;"-"&amp;LEFT(Educator!B437, 3)&amp;"-"&amp;LEFT(Educator!A437, 3)&amp;"-"&amp;IF(ISNUMBER(Educator!D437),"G"&amp;Educator!D437,Educator!D437)&amp;"-"&amp;"2027"</f>
        <v>CID-FLH----2027</v>
      </c>
      <c r="B432" s="49" t="b">
        <f>IF(Educator!A437&gt;0,"topscorewriting.instructure.com")</f>
        <v>0</v>
      </c>
      <c r="C432" s="49" t="str">
        <f>Users!A432</f>
        <v>UID-FLH---2027</v>
      </c>
      <c r="D432" s="49" t="s">
        <v>103</v>
      </c>
      <c r="G432" s="49" t="b">
        <f>IF(Educator!B437&gt;0,"active")</f>
        <v>0</v>
      </c>
    </row>
    <row r="433" spans="1:7" x14ac:dyDescent="0.2">
      <c r="A4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","#",3))+1,1)&amp;"-"&amp;LEFT(Educator!B438, 3)&amp;"-"&amp;LEFT(Educator!A438, 3)&amp;"-"&amp;IF(ISNUMBER(Educator!D438),"G"&amp;Educator!D438,Educator!D438)&amp;"-"&amp;"2027"</f>
        <v>CID-FLH----2027</v>
      </c>
      <c r="B433" s="49" t="b">
        <f>IF(Educator!A438&gt;0,"topscorewriting.instructure.com")</f>
        <v>0</v>
      </c>
      <c r="C433" s="49" t="str">
        <f>Users!A433</f>
        <v>UID-FLH---2027</v>
      </c>
      <c r="D433" s="49" t="s">
        <v>103</v>
      </c>
      <c r="G433" s="49" t="b">
        <f>IF(Educator!B438&gt;0,"active")</f>
        <v>0</v>
      </c>
    </row>
    <row r="434" spans="1:7" x14ac:dyDescent="0.2">
      <c r="A4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","#",3))+1,1)&amp;"-"&amp;LEFT(Educator!B439, 3)&amp;"-"&amp;LEFT(Educator!A439, 3)&amp;"-"&amp;IF(ISNUMBER(Educator!D439),"G"&amp;Educator!D439,Educator!D439)&amp;"-"&amp;"2027"</f>
        <v>CID-FLH----2027</v>
      </c>
      <c r="B434" s="49" t="b">
        <f>IF(Educator!A439&gt;0,"topscorewriting.instructure.com")</f>
        <v>0</v>
      </c>
      <c r="C434" s="49" t="str">
        <f>Users!A434</f>
        <v>UID-FLH---2027</v>
      </c>
      <c r="D434" s="49" t="s">
        <v>103</v>
      </c>
      <c r="G434" s="49" t="b">
        <f>IF(Educator!B439&gt;0,"active")</f>
        <v>0</v>
      </c>
    </row>
    <row r="435" spans="1:7" x14ac:dyDescent="0.2">
      <c r="A4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","#",3))+1,1)&amp;"-"&amp;LEFT(Educator!B440, 3)&amp;"-"&amp;LEFT(Educator!A440, 3)&amp;"-"&amp;IF(ISNUMBER(Educator!D440),"G"&amp;Educator!D440,Educator!D440)&amp;"-"&amp;"2027"</f>
        <v>CID-FLH----2027</v>
      </c>
      <c r="B435" s="49" t="b">
        <f>IF(Educator!A440&gt;0,"topscorewriting.instructure.com")</f>
        <v>0</v>
      </c>
      <c r="C435" s="49" t="str">
        <f>Users!A435</f>
        <v>UID-FLH---2027</v>
      </c>
      <c r="D435" s="49" t="s">
        <v>103</v>
      </c>
      <c r="G435" s="49" t="b">
        <f>IF(Educator!B440&gt;0,"active")</f>
        <v>0</v>
      </c>
    </row>
    <row r="436" spans="1:7" x14ac:dyDescent="0.2">
      <c r="A4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","#",3))+1,1)&amp;"-"&amp;LEFT(Educator!B441, 3)&amp;"-"&amp;LEFT(Educator!A441, 3)&amp;"-"&amp;IF(ISNUMBER(Educator!D441),"G"&amp;Educator!D441,Educator!D441)&amp;"-"&amp;"2027"</f>
        <v>CID-FLH----2027</v>
      </c>
      <c r="B436" s="49" t="b">
        <f>IF(Educator!A441&gt;0,"topscorewriting.instructure.com")</f>
        <v>0</v>
      </c>
      <c r="C436" s="49" t="str">
        <f>Users!A436</f>
        <v>UID-FLH---2027</v>
      </c>
      <c r="D436" s="49" t="s">
        <v>103</v>
      </c>
      <c r="G436" s="49" t="b">
        <f>IF(Educator!B441&gt;0,"active")</f>
        <v>0</v>
      </c>
    </row>
    <row r="437" spans="1:7" x14ac:dyDescent="0.2">
      <c r="A4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","#",3))+1,1)&amp;"-"&amp;LEFT(Educator!B442, 3)&amp;"-"&amp;LEFT(Educator!A442, 3)&amp;"-"&amp;IF(ISNUMBER(Educator!D442),"G"&amp;Educator!D442,Educator!D442)&amp;"-"&amp;"2027"</f>
        <v>CID-FLH----2027</v>
      </c>
      <c r="B437" s="49" t="b">
        <f>IF(Educator!A442&gt;0,"topscorewriting.instructure.com")</f>
        <v>0</v>
      </c>
      <c r="C437" s="49" t="str">
        <f>Users!A437</f>
        <v>UID-FLH---2027</v>
      </c>
      <c r="D437" s="49" t="s">
        <v>103</v>
      </c>
      <c r="G437" s="49" t="b">
        <f>IF(Educator!B442&gt;0,"active")</f>
        <v>0</v>
      </c>
    </row>
    <row r="438" spans="1:7" x14ac:dyDescent="0.2">
      <c r="A4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","#",3))+1,1)&amp;"-"&amp;LEFT(Educator!B443, 3)&amp;"-"&amp;LEFT(Educator!A443, 3)&amp;"-"&amp;IF(ISNUMBER(Educator!D443),"G"&amp;Educator!D443,Educator!D443)&amp;"-"&amp;"2027"</f>
        <v>CID-FLH----2027</v>
      </c>
      <c r="B438" s="49" t="b">
        <f>IF(Educator!A443&gt;0,"topscorewriting.instructure.com")</f>
        <v>0</v>
      </c>
      <c r="C438" s="49" t="str">
        <f>Users!A438</f>
        <v>UID-FLH---2027</v>
      </c>
      <c r="D438" s="49" t="s">
        <v>103</v>
      </c>
      <c r="G438" s="49" t="b">
        <f>IF(Educator!B443&gt;0,"active")</f>
        <v>0</v>
      </c>
    </row>
    <row r="439" spans="1:7" x14ac:dyDescent="0.2">
      <c r="A4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","#",3))+1,1)&amp;"-"&amp;LEFT(Educator!B444, 3)&amp;"-"&amp;LEFT(Educator!A444, 3)&amp;"-"&amp;IF(ISNUMBER(Educator!D444),"G"&amp;Educator!D444,Educator!D444)&amp;"-"&amp;"2027"</f>
        <v>CID-FLH----2027</v>
      </c>
      <c r="B439" s="49" t="b">
        <f>IF(Educator!A444&gt;0,"topscorewriting.instructure.com")</f>
        <v>0</v>
      </c>
      <c r="C439" s="49" t="str">
        <f>Users!A439</f>
        <v>UID-FLH---2027</v>
      </c>
      <c r="D439" s="49" t="s">
        <v>103</v>
      </c>
      <c r="G439" s="49" t="b">
        <f>IF(Educator!B444&gt;0,"active")</f>
        <v>0</v>
      </c>
    </row>
    <row r="440" spans="1:7" x14ac:dyDescent="0.2">
      <c r="A4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","#",3))+1,1)&amp;"-"&amp;LEFT(Educator!B445, 3)&amp;"-"&amp;LEFT(Educator!A445, 3)&amp;"-"&amp;IF(ISNUMBER(Educator!D445),"G"&amp;Educator!D445,Educator!D445)&amp;"-"&amp;"2027"</f>
        <v>CID-FLH----2027</v>
      </c>
      <c r="B440" s="49" t="b">
        <f>IF(Educator!A445&gt;0,"topscorewriting.instructure.com")</f>
        <v>0</v>
      </c>
      <c r="C440" s="49" t="str">
        <f>Users!A440</f>
        <v>UID-FLH---2027</v>
      </c>
      <c r="D440" s="49" t="s">
        <v>103</v>
      </c>
      <c r="G440" s="49" t="b">
        <f>IF(Educator!B445&gt;0,"active")</f>
        <v>0</v>
      </c>
    </row>
    <row r="441" spans="1:7" x14ac:dyDescent="0.2">
      <c r="A4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","#",3))+1,1)&amp;"-"&amp;LEFT(Educator!B446, 3)&amp;"-"&amp;LEFT(Educator!A446, 3)&amp;"-"&amp;IF(ISNUMBER(Educator!D446),"G"&amp;Educator!D446,Educator!D446)&amp;"-"&amp;"2027"</f>
        <v>CID-FLH----2027</v>
      </c>
      <c r="B441" s="49" t="b">
        <f>IF(Educator!A446&gt;0,"topscorewriting.instructure.com")</f>
        <v>0</v>
      </c>
      <c r="C441" s="49" t="str">
        <f>Users!A441</f>
        <v>UID-FLH---2027</v>
      </c>
      <c r="D441" s="49" t="s">
        <v>103</v>
      </c>
      <c r="G441" s="49" t="b">
        <f>IF(Educator!B446&gt;0,"active")</f>
        <v>0</v>
      </c>
    </row>
    <row r="442" spans="1:7" x14ac:dyDescent="0.2">
      <c r="A4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","#",3))+1,1)&amp;"-"&amp;LEFT(Educator!B447, 3)&amp;"-"&amp;LEFT(Educator!A447, 3)&amp;"-"&amp;IF(ISNUMBER(Educator!D447),"G"&amp;Educator!D447,Educator!D447)&amp;"-"&amp;"2027"</f>
        <v>CID-FLH----2027</v>
      </c>
      <c r="B442" s="49" t="b">
        <f>IF(Educator!A447&gt;0,"topscorewriting.instructure.com")</f>
        <v>0</v>
      </c>
      <c r="C442" s="49" t="str">
        <f>Users!A442</f>
        <v>UID-FLH---2027</v>
      </c>
      <c r="D442" s="49" t="s">
        <v>103</v>
      </c>
      <c r="G442" s="49" t="b">
        <f>IF(Educator!B447&gt;0,"active")</f>
        <v>0</v>
      </c>
    </row>
    <row r="443" spans="1:7" x14ac:dyDescent="0.2">
      <c r="A4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","#",3))+1,1)&amp;"-"&amp;LEFT(Educator!B448, 3)&amp;"-"&amp;LEFT(Educator!A448, 3)&amp;"-"&amp;IF(ISNUMBER(Educator!D448),"G"&amp;Educator!D448,Educator!D448)&amp;"-"&amp;"2027"</f>
        <v>CID-FLH----2027</v>
      </c>
      <c r="B443" s="49" t="b">
        <f>IF(Educator!A448&gt;0,"topscorewriting.instructure.com")</f>
        <v>0</v>
      </c>
      <c r="C443" s="49" t="str">
        <f>Users!A443</f>
        <v>UID-FLH---2027</v>
      </c>
      <c r="D443" s="49" t="s">
        <v>103</v>
      </c>
      <c r="G443" s="49" t="b">
        <f>IF(Educator!B448&gt;0,"active")</f>
        <v>0</v>
      </c>
    </row>
    <row r="444" spans="1:7" x14ac:dyDescent="0.2">
      <c r="A4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","#",3))+1,1)&amp;"-"&amp;LEFT(Educator!B449, 3)&amp;"-"&amp;LEFT(Educator!A449, 3)&amp;"-"&amp;IF(ISNUMBER(Educator!D449),"G"&amp;Educator!D449,Educator!D449)&amp;"-"&amp;"2027"</f>
        <v>CID-FLH----2027</v>
      </c>
      <c r="B444" s="49" t="b">
        <f>IF(Educator!A449&gt;0,"topscorewriting.instructure.com")</f>
        <v>0</v>
      </c>
      <c r="C444" s="49" t="str">
        <f>Users!A444</f>
        <v>UID-FLH---2027</v>
      </c>
      <c r="D444" s="49" t="s">
        <v>103</v>
      </c>
      <c r="G444" s="49" t="b">
        <f>IF(Educator!B449&gt;0,"active")</f>
        <v>0</v>
      </c>
    </row>
    <row r="445" spans="1:7" x14ac:dyDescent="0.2">
      <c r="A4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","#",3))+1,1)&amp;"-"&amp;LEFT(Educator!B450, 3)&amp;"-"&amp;LEFT(Educator!A450, 3)&amp;"-"&amp;IF(ISNUMBER(Educator!D450),"G"&amp;Educator!D450,Educator!D450)&amp;"-"&amp;"2027"</f>
        <v>CID-FLH----2027</v>
      </c>
      <c r="B445" s="49" t="b">
        <f>IF(Educator!A450&gt;0,"topscorewriting.instructure.com")</f>
        <v>0</v>
      </c>
      <c r="C445" s="49" t="str">
        <f>Users!A445</f>
        <v>UID-FLH---2027</v>
      </c>
      <c r="D445" s="49" t="s">
        <v>103</v>
      </c>
      <c r="G445" s="49" t="b">
        <f>IF(Educator!B450&gt;0,"active")</f>
        <v>0</v>
      </c>
    </row>
    <row r="446" spans="1:7" x14ac:dyDescent="0.2">
      <c r="A4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","#",3))+1,1)&amp;"-"&amp;LEFT(Educator!B451, 3)&amp;"-"&amp;LEFT(Educator!A451, 3)&amp;"-"&amp;IF(ISNUMBER(Educator!D451),"G"&amp;Educator!D451,Educator!D451)&amp;"-"&amp;"2027"</f>
        <v>CID-FLH----2027</v>
      </c>
      <c r="B446" s="49" t="b">
        <f>IF(Educator!A451&gt;0,"topscorewriting.instructure.com")</f>
        <v>0</v>
      </c>
      <c r="C446" s="49" t="str">
        <f>Users!A446</f>
        <v>UID-FLH---2027</v>
      </c>
      <c r="D446" s="49" t="s">
        <v>103</v>
      </c>
      <c r="G446" s="49" t="b">
        <f>IF(Educator!B451&gt;0,"active")</f>
        <v>0</v>
      </c>
    </row>
    <row r="447" spans="1:7" x14ac:dyDescent="0.2">
      <c r="A4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","#",3))+1,1)&amp;"-"&amp;LEFT(Educator!B452, 3)&amp;"-"&amp;LEFT(Educator!A452, 3)&amp;"-"&amp;IF(ISNUMBER(Educator!D452),"G"&amp;Educator!D452,Educator!D452)&amp;"-"&amp;"2027"</f>
        <v>CID-FLH----2027</v>
      </c>
      <c r="B447" s="49" t="b">
        <f>IF(Educator!A452&gt;0,"topscorewriting.instructure.com")</f>
        <v>0</v>
      </c>
      <c r="C447" s="49" t="str">
        <f>Users!A447</f>
        <v>UID-FLH---2027</v>
      </c>
      <c r="D447" s="49" t="s">
        <v>103</v>
      </c>
      <c r="G447" s="49" t="b">
        <f>IF(Educator!B452&gt;0,"active")</f>
        <v>0</v>
      </c>
    </row>
    <row r="448" spans="1:7" x14ac:dyDescent="0.2">
      <c r="A4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","#",3))+1,1)&amp;"-"&amp;LEFT(Educator!B453, 3)&amp;"-"&amp;LEFT(Educator!A453, 3)&amp;"-"&amp;IF(ISNUMBER(Educator!D453),"G"&amp;Educator!D453,Educator!D453)&amp;"-"&amp;"2027"</f>
        <v>CID-FLH----2027</v>
      </c>
      <c r="B448" s="49" t="b">
        <f>IF(Educator!A453&gt;0,"topscorewriting.instructure.com")</f>
        <v>0</v>
      </c>
      <c r="C448" s="49" t="str">
        <f>Users!A448</f>
        <v>UID-FLH---2027</v>
      </c>
      <c r="D448" s="49" t="s">
        <v>103</v>
      </c>
      <c r="G448" s="49" t="b">
        <f>IF(Educator!B453&gt;0,"active")</f>
        <v>0</v>
      </c>
    </row>
    <row r="449" spans="1:7" x14ac:dyDescent="0.2">
      <c r="A4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","#",3))+1,1)&amp;"-"&amp;LEFT(Educator!B454, 3)&amp;"-"&amp;LEFT(Educator!A454, 3)&amp;"-"&amp;IF(ISNUMBER(Educator!D454),"G"&amp;Educator!D454,Educator!D454)&amp;"-"&amp;"2027"</f>
        <v>CID-FLH----2027</v>
      </c>
      <c r="B449" s="49" t="b">
        <f>IF(Educator!A454&gt;0,"topscorewriting.instructure.com")</f>
        <v>0</v>
      </c>
      <c r="C449" s="49" t="str">
        <f>Users!A449</f>
        <v>UID-FLH---2027</v>
      </c>
      <c r="D449" s="49" t="s">
        <v>103</v>
      </c>
      <c r="G449" s="49" t="b">
        <f>IF(Educator!B454&gt;0,"active")</f>
        <v>0</v>
      </c>
    </row>
    <row r="450" spans="1:7" x14ac:dyDescent="0.2">
      <c r="A4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","#",3))+1,1)&amp;"-"&amp;LEFT(Educator!B455, 3)&amp;"-"&amp;LEFT(Educator!A455, 3)&amp;"-"&amp;IF(ISNUMBER(Educator!D455),"G"&amp;Educator!D455,Educator!D455)&amp;"-"&amp;"2027"</f>
        <v>CID-FLH----2027</v>
      </c>
      <c r="B450" s="49" t="b">
        <f>IF(Educator!A455&gt;0,"topscorewriting.instructure.com")</f>
        <v>0</v>
      </c>
      <c r="C450" s="49" t="str">
        <f>Users!A450</f>
        <v>UID-FLH---2027</v>
      </c>
      <c r="D450" s="49" t="s">
        <v>103</v>
      </c>
      <c r="G450" s="49" t="b">
        <f>IF(Educator!B455&gt;0,"active")</f>
        <v>0</v>
      </c>
    </row>
    <row r="451" spans="1:7" x14ac:dyDescent="0.2">
      <c r="A4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","#",3))+1,1)&amp;"-"&amp;LEFT(Educator!B456, 3)&amp;"-"&amp;LEFT(Educator!A456, 3)&amp;"-"&amp;IF(ISNUMBER(Educator!D456),"G"&amp;Educator!D456,Educator!D456)&amp;"-"&amp;"2027"</f>
        <v>CID-FLH----2027</v>
      </c>
      <c r="B451" s="49" t="b">
        <f>IF(Educator!A456&gt;0,"topscorewriting.instructure.com")</f>
        <v>0</v>
      </c>
      <c r="C451" s="49" t="str">
        <f>Users!A451</f>
        <v>UID-FLH---2027</v>
      </c>
      <c r="D451" s="49" t="s">
        <v>103</v>
      </c>
      <c r="G451" s="49" t="b">
        <f>IF(Educator!B456&gt;0,"active")</f>
        <v>0</v>
      </c>
    </row>
    <row r="452" spans="1:7" x14ac:dyDescent="0.2">
      <c r="A4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","#",3))+1,1)&amp;"-"&amp;LEFT(Educator!B457, 3)&amp;"-"&amp;LEFT(Educator!A457, 3)&amp;"-"&amp;IF(ISNUMBER(Educator!D457),"G"&amp;Educator!D457,Educator!D457)&amp;"-"&amp;"2027"</f>
        <v>CID-FLH----2027</v>
      </c>
      <c r="B452" s="49" t="b">
        <f>IF(Educator!A457&gt;0,"topscorewriting.instructure.com")</f>
        <v>0</v>
      </c>
      <c r="C452" s="49" t="str">
        <f>Users!A452</f>
        <v>UID-FLH---2027</v>
      </c>
      <c r="D452" s="49" t="s">
        <v>103</v>
      </c>
      <c r="G452" s="49" t="b">
        <f>IF(Educator!B457&gt;0,"active")</f>
        <v>0</v>
      </c>
    </row>
    <row r="453" spans="1:7" x14ac:dyDescent="0.2">
      <c r="A4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","#",3))+1,1)&amp;"-"&amp;LEFT(Educator!B458, 3)&amp;"-"&amp;LEFT(Educator!A458, 3)&amp;"-"&amp;IF(ISNUMBER(Educator!D458),"G"&amp;Educator!D458,Educator!D458)&amp;"-"&amp;"2027"</f>
        <v>CID-FLH----2027</v>
      </c>
      <c r="B453" s="49" t="b">
        <f>IF(Educator!A458&gt;0,"topscorewriting.instructure.com")</f>
        <v>0</v>
      </c>
      <c r="C453" s="49" t="str">
        <f>Users!A453</f>
        <v>UID-FLH---2027</v>
      </c>
      <c r="D453" s="49" t="s">
        <v>103</v>
      </c>
      <c r="G453" s="49" t="b">
        <f>IF(Educator!B458&gt;0,"active")</f>
        <v>0</v>
      </c>
    </row>
    <row r="454" spans="1:7" x14ac:dyDescent="0.2">
      <c r="A4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","#",3))+1,1)&amp;"-"&amp;LEFT(Educator!B459, 3)&amp;"-"&amp;LEFT(Educator!A459, 3)&amp;"-"&amp;IF(ISNUMBER(Educator!D459),"G"&amp;Educator!D459,Educator!D459)&amp;"-"&amp;"2027"</f>
        <v>CID-FLH----2027</v>
      </c>
      <c r="B454" s="49" t="b">
        <f>IF(Educator!A459&gt;0,"topscorewriting.instructure.com")</f>
        <v>0</v>
      </c>
      <c r="C454" s="49" t="str">
        <f>Users!A454</f>
        <v>UID-FLH---2027</v>
      </c>
      <c r="D454" s="49" t="s">
        <v>103</v>
      </c>
      <c r="G454" s="49" t="b">
        <f>IF(Educator!B459&gt;0,"active")</f>
        <v>0</v>
      </c>
    </row>
    <row r="455" spans="1:7" x14ac:dyDescent="0.2">
      <c r="A4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","#",3))+1,1)&amp;"-"&amp;LEFT(Educator!B460, 3)&amp;"-"&amp;LEFT(Educator!A460, 3)&amp;"-"&amp;IF(ISNUMBER(Educator!D460),"G"&amp;Educator!D460,Educator!D460)&amp;"-"&amp;"2027"</f>
        <v>CID-FLH----2027</v>
      </c>
      <c r="B455" s="49" t="b">
        <f>IF(Educator!A460&gt;0,"topscorewriting.instructure.com")</f>
        <v>0</v>
      </c>
      <c r="C455" s="49" t="str">
        <f>Users!A455</f>
        <v>UID-FLH---2027</v>
      </c>
      <c r="D455" s="49" t="s">
        <v>103</v>
      </c>
      <c r="G455" s="49" t="b">
        <f>IF(Educator!B460&gt;0,"active")</f>
        <v>0</v>
      </c>
    </row>
    <row r="456" spans="1:7" x14ac:dyDescent="0.2">
      <c r="A4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","#",3))+1,1)&amp;"-"&amp;LEFT(Educator!B461, 3)&amp;"-"&amp;LEFT(Educator!A461, 3)&amp;"-"&amp;IF(ISNUMBER(Educator!D461),"G"&amp;Educator!D461,Educator!D461)&amp;"-"&amp;"2027"</f>
        <v>CID-FLH----2027</v>
      </c>
      <c r="B456" s="49" t="b">
        <f>IF(Educator!A461&gt;0,"topscorewriting.instructure.com")</f>
        <v>0</v>
      </c>
      <c r="C456" s="49" t="str">
        <f>Users!A456</f>
        <v>UID-FLH---2027</v>
      </c>
      <c r="D456" s="49" t="s">
        <v>103</v>
      </c>
      <c r="G456" s="49" t="b">
        <f>IF(Educator!B461&gt;0,"active")</f>
        <v>0</v>
      </c>
    </row>
    <row r="457" spans="1:7" x14ac:dyDescent="0.2">
      <c r="A4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","#",3))+1,1)&amp;"-"&amp;LEFT(Educator!B462, 3)&amp;"-"&amp;LEFT(Educator!A462, 3)&amp;"-"&amp;IF(ISNUMBER(Educator!D462),"G"&amp;Educator!D462,Educator!D462)&amp;"-"&amp;"2027"</f>
        <v>CID-FLH----2027</v>
      </c>
      <c r="B457" s="49" t="b">
        <f>IF(Educator!A462&gt;0,"topscorewriting.instructure.com")</f>
        <v>0</v>
      </c>
      <c r="C457" s="49" t="str">
        <f>Users!A457</f>
        <v>UID-FLH---2027</v>
      </c>
      <c r="D457" s="49" t="s">
        <v>103</v>
      </c>
      <c r="G457" s="49" t="b">
        <f>IF(Educator!B462&gt;0,"active")</f>
        <v>0</v>
      </c>
    </row>
    <row r="458" spans="1:7" x14ac:dyDescent="0.2">
      <c r="A4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","#",3))+1,1)&amp;"-"&amp;LEFT(Educator!B463, 3)&amp;"-"&amp;LEFT(Educator!A463, 3)&amp;"-"&amp;IF(ISNUMBER(Educator!D463),"G"&amp;Educator!D463,Educator!D463)&amp;"-"&amp;"2027"</f>
        <v>CID-FLH----2027</v>
      </c>
      <c r="B458" s="49" t="b">
        <f>IF(Educator!A463&gt;0,"topscorewriting.instructure.com")</f>
        <v>0</v>
      </c>
      <c r="C458" s="49" t="str">
        <f>Users!A458</f>
        <v>UID-FLH---2027</v>
      </c>
      <c r="D458" s="49" t="s">
        <v>103</v>
      </c>
      <c r="G458" s="49" t="b">
        <f>IF(Educator!B463&gt;0,"active")</f>
        <v>0</v>
      </c>
    </row>
    <row r="459" spans="1:7" x14ac:dyDescent="0.2">
      <c r="A4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","#",3))+1,1)&amp;"-"&amp;LEFT(Educator!B464, 3)&amp;"-"&amp;LEFT(Educator!A464, 3)&amp;"-"&amp;IF(ISNUMBER(Educator!D464),"G"&amp;Educator!D464,Educator!D464)&amp;"-"&amp;"2027"</f>
        <v>CID-FLH----2027</v>
      </c>
      <c r="B459" s="49" t="b">
        <f>IF(Educator!A464&gt;0,"topscorewriting.instructure.com")</f>
        <v>0</v>
      </c>
      <c r="C459" s="49" t="str">
        <f>Users!A459</f>
        <v>UID-FLH---2027</v>
      </c>
      <c r="D459" s="49" t="s">
        <v>103</v>
      </c>
      <c r="G459" s="49" t="b">
        <f>IF(Educator!B464&gt;0,"active")</f>
        <v>0</v>
      </c>
    </row>
    <row r="460" spans="1:7" x14ac:dyDescent="0.2">
      <c r="A4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","#",3))+1,1)&amp;"-"&amp;LEFT(Educator!B465, 3)&amp;"-"&amp;LEFT(Educator!A465, 3)&amp;"-"&amp;IF(ISNUMBER(Educator!D465),"G"&amp;Educator!D465,Educator!D465)&amp;"-"&amp;"2027"</f>
        <v>CID-FLH----2027</v>
      </c>
      <c r="B460" s="49" t="b">
        <f>IF(Educator!A465&gt;0,"topscorewriting.instructure.com")</f>
        <v>0</v>
      </c>
      <c r="C460" s="49" t="str">
        <f>Users!A460</f>
        <v>UID-FLH---2027</v>
      </c>
      <c r="D460" s="49" t="s">
        <v>103</v>
      </c>
      <c r="G460" s="49" t="b">
        <f>IF(Educator!B465&gt;0,"active")</f>
        <v>0</v>
      </c>
    </row>
    <row r="461" spans="1:7" x14ac:dyDescent="0.2">
      <c r="A4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","#",3))+1,1)&amp;"-"&amp;LEFT(Educator!B466, 3)&amp;"-"&amp;LEFT(Educator!A466, 3)&amp;"-"&amp;IF(ISNUMBER(Educator!D466),"G"&amp;Educator!D466,Educator!D466)&amp;"-"&amp;"2027"</f>
        <v>CID-FLH----2027</v>
      </c>
      <c r="B461" s="49" t="b">
        <f>IF(Educator!A466&gt;0,"topscorewriting.instructure.com")</f>
        <v>0</v>
      </c>
      <c r="C461" s="49" t="str">
        <f>Users!A461</f>
        <v>UID-FLH---2027</v>
      </c>
      <c r="D461" s="49" t="s">
        <v>103</v>
      </c>
      <c r="G461" s="49" t="b">
        <f>IF(Educator!B466&gt;0,"active")</f>
        <v>0</v>
      </c>
    </row>
    <row r="462" spans="1:7" x14ac:dyDescent="0.2">
      <c r="A4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","#",3))+1,1)&amp;"-"&amp;LEFT(Educator!B467, 3)&amp;"-"&amp;LEFT(Educator!A467, 3)&amp;"-"&amp;IF(ISNUMBER(Educator!D467),"G"&amp;Educator!D467,Educator!D467)&amp;"-"&amp;"2027"</f>
        <v>CID-FLH----2027</v>
      </c>
      <c r="B462" s="49" t="b">
        <f>IF(Educator!A467&gt;0,"topscorewriting.instructure.com")</f>
        <v>0</v>
      </c>
      <c r="C462" s="49" t="str">
        <f>Users!A462</f>
        <v>UID-FLH---2027</v>
      </c>
      <c r="D462" s="49" t="s">
        <v>103</v>
      </c>
      <c r="G462" s="49" t="b">
        <f>IF(Educator!B467&gt;0,"active")</f>
        <v>0</v>
      </c>
    </row>
    <row r="463" spans="1:7" x14ac:dyDescent="0.2">
      <c r="A4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","#",3))+1,1)&amp;"-"&amp;LEFT(Educator!B468, 3)&amp;"-"&amp;LEFT(Educator!A468, 3)&amp;"-"&amp;IF(ISNUMBER(Educator!D468),"G"&amp;Educator!D468,Educator!D468)&amp;"-"&amp;"2027"</f>
        <v>CID-FLH----2027</v>
      </c>
      <c r="B463" s="49" t="b">
        <f>IF(Educator!A468&gt;0,"topscorewriting.instructure.com")</f>
        <v>0</v>
      </c>
      <c r="C463" s="49" t="str">
        <f>Users!A463</f>
        <v>UID-FLH---2027</v>
      </c>
      <c r="D463" s="49" t="s">
        <v>103</v>
      </c>
      <c r="G463" s="49" t="b">
        <f>IF(Educator!B468&gt;0,"active")</f>
        <v>0</v>
      </c>
    </row>
    <row r="464" spans="1:7" x14ac:dyDescent="0.2">
      <c r="A4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","#",3))+1,1)&amp;"-"&amp;LEFT(Educator!B469, 3)&amp;"-"&amp;LEFT(Educator!A469, 3)&amp;"-"&amp;IF(ISNUMBER(Educator!D469),"G"&amp;Educator!D469,Educator!D469)&amp;"-"&amp;"2027"</f>
        <v>CID-FLH----2027</v>
      </c>
      <c r="B464" s="49" t="b">
        <f>IF(Educator!A469&gt;0,"topscorewriting.instructure.com")</f>
        <v>0</v>
      </c>
      <c r="C464" s="49" t="str">
        <f>Users!A464</f>
        <v>UID-FLH---2027</v>
      </c>
      <c r="D464" s="49" t="s">
        <v>103</v>
      </c>
      <c r="G464" s="49" t="b">
        <f>IF(Educator!B469&gt;0,"active")</f>
        <v>0</v>
      </c>
    </row>
    <row r="465" spans="1:7" x14ac:dyDescent="0.2">
      <c r="A4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","#",3))+1,1)&amp;"-"&amp;LEFT(Educator!B470, 3)&amp;"-"&amp;LEFT(Educator!A470, 3)&amp;"-"&amp;IF(ISNUMBER(Educator!D470),"G"&amp;Educator!D470,Educator!D470)&amp;"-"&amp;"2027"</f>
        <v>CID-FLH----2027</v>
      </c>
      <c r="B465" s="49" t="b">
        <f>IF(Educator!A470&gt;0,"topscorewriting.instructure.com")</f>
        <v>0</v>
      </c>
      <c r="C465" s="49" t="str">
        <f>Users!A465</f>
        <v>UID-FLH---2027</v>
      </c>
      <c r="D465" s="49" t="s">
        <v>103</v>
      </c>
      <c r="G465" s="49" t="b">
        <f>IF(Educator!B470&gt;0,"active")</f>
        <v>0</v>
      </c>
    </row>
    <row r="466" spans="1:7" x14ac:dyDescent="0.2">
      <c r="A4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","#",3))+1,1)&amp;"-"&amp;LEFT(Educator!B471, 3)&amp;"-"&amp;LEFT(Educator!A471, 3)&amp;"-"&amp;IF(ISNUMBER(Educator!D471),"G"&amp;Educator!D471,Educator!D471)&amp;"-"&amp;"2027"</f>
        <v>CID-FLH----2027</v>
      </c>
      <c r="B466" s="49" t="b">
        <f>IF(Educator!A471&gt;0,"topscorewriting.instructure.com")</f>
        <v>0</v>
      </c>
      <c r="C466" s="49" t="str">
        <f>Users!A466</f>
        <v>UID-FLH---2027</v>
      </c>
      <c r="D466" s="49" t="s">
        <v>103</v>
      </c>
      <c r="G466" s="49" t="b">
        <f>IF(Educator!B471&gt;0,"active")</f>
        <v>0</v>
      </c>
    </row>
    <row r="467" spans="1:7" x14ac:dyDescent="0.2">
      <c r="A4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","#",3))+1,1)&amp;"-"&amp;LEFT(Educator!B472, 3)&amp;"-"&amp;LEFT(Educator!A472, 3)&amp;"-"&amp;IF(ISNUMBER(Educator!D472),"G"&amp;Educator!D472,Educator!D472)&amp;"-"&amp;"2027"</f>
        <v>CID-FLH----2027</v>
      </c>
      <c r="B467" s="49" t="b">
        <f>IF(Educator!A472&gt;0,"topscorewriting.instructure.com")</f>
        <v>0</v>
      </c>
      <c r="C467" s="49" t="str">
        <f>Users!A467</f>
        <v>UID-FLH---2027</v>
      </c>
      <c r="D467" s="49" t="s">
        <v>103</v>
      </c>
      <c r="G467" s="49" t="b">
        <f>IF(Educator!B472&gt;0,"active")</f>
        <v>0</v>
      </c>
    </row>
    <row r="468" spans="1:7" x14ac:dyDescent="0.2">
      <c r="A4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","#",3))+1,1)&amp;"-"&amp;LEFT(Educator!B473, 3)&amp;"-"&amp;LEFT(Educator!A473, 3)&amp;"-"&amp;IF(ISNUMBER(Educator!D473),"G"&amp;Educator!D473,Educator!D473)&amp;"-"&amp;"2027"</f>
        <v>CID-FLH----2027</v>
      </c>
      <c r="B468" s="49" t="b">
        <f>IF(Educator!A473&gt;0,"topscorewriting.instructure.com")</f>
        <v>0</v>
      </c>
      <c r="C468" s="49" t="str">
        <f>Users!A468</f>
        <v>UID-FLH---2027</v>
      </c>
      <c r="D468" s="49" t="s">
        <v>103</v>
      </c>
      <c r="G468" s="49" t="b">
        <f>IF(Educator!B473&gt;0,"active")</f>
        <v>0</v>
      </c>
    </row>
    <row r="469" spans="1:7" x14ac:dyDescent="0.2">
      <c r="A4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","#",3))+1,1)&amp;"-"&amp;LEFT(Educator!B474, 3)&amp;"-"&amp;LEFT(Educator!A474, 3)&amp;"-"&amp;IF(ISNUMBER(Educator!D474),"G"&amp;Educator!D474,Educator!D474)&amp;"-"&amp;"2027"</f>
        <v>CID-FLH----2027</v>
      </c>
      <c r="B469" s="49" t="b">
        <f>IF(Educator!A474&gt;0,"topscorewriting.instructure.com")</f>
        <v>0</v>
      </c>
      <c r="C469" s="49" t="str">
        <f>Users!A469</f>
        <v>UID-FLH---2027</v>
      </c>
      <c r="D469" s="49" t="s">
        <v>103</v>
      </c>
      <c r="G469" s="49" t="b">
        <f>IF(Educator!B474&gt;0,"active")</f>
        <v>0</v>
      </c>
    </row>
    <row r="470" spans="1:7" x14ac:dyDescent="0.2">
      <c r="A4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","#",3))+1,1)&amp;"-"&amp;LEFT(Educator!B475, 3)&amp;"-"&amp;LEFT(Educator!A475, 3)&amp;"-"&amp;IF(ISNUMBER(Educator!D475),"G"&amp;Educator!D475,Educator!D475)&amp;"-"&amp;"2027"</f>
        <v>CID-FLH----2027</v>
      </c>
      <c r="B470" s="49" t="b">
        <f>IF(Educator!A475&gt;0,"topscorewriting.instructure.com")</f>
        <v>0</v>
      </c>
      <c r="C470" s="49" t="str">
        <f>Users!A470</f>
        <v>UID-FLH---2027</v>
      </c>
      <c r="D470" s="49" t="s">
        <v>103</v>
      </c>
      <c r="G470" s="49" t="b">
        <f>IF(Educator!B475&gt;0,"active")</f>
        <v>0</v>
      </c>
    </row>
    <row r="471" spans="1:7" x14ac:dyDescent="0.2">
      <c r="A4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","#",3))+1,1)&amp;"-"&amp;LEFT(Educator!B476, 3)&amp;"-"&amp;LEFT(Educator!A476, 3)&amp;"-"&amp;IF(ISNUMBER(Educator!D476),"G"&amp;Educator!D476,Educator!D476)&amp;"-"&amp;"2027"</f>
        <v>CID-FLH----2027</v>
      </c>
      <c r="B471" s="49" t="b">
        <f>IF(Educator!A476&gt;0,"topscorewriting.instructure.com")</f>
        <v>0</v>
      </c>
      <c r="C471" s="49" t="str">
        <f>Users!A471</f>
        <v>UID-FLH---2027</v>
      </c>
      <c r="D471" s="49" t="s">
        <v>103</v>
      </c>
      <c r="G471" s="49" t="b">
        <f>IF(Educator!B476&gt;0,"active")</f>
        <v>0</v>
      </c>
    </row>
    <row r="472" spans="1:7" x14ac:dyDescent="0.2">
      <c r="A4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","#",3))+1,1)&amp;"-"&amp;LEFT(Educator!B477, 3)&amp;"-"&amp;LEFT(Educator!A477, 3)&amp;"-"&amp;IF(ISNUMBER(Educator!D477),"G"&amp;Educator!D477,Educator!D477)&amp;"-"&amp;"2027"</f>
        <v>CID-FLH----2027</v>
      </c>
      <c r="B472" s="49" t="b">
        <f>IF(Educator!A477&gt;0,"topscorewriting.instructure.com")</f>
        <v>0</v>
      </c>
      <c r="C472" s="49" t="str">
        <f>Users!A472</f>
        <v>UID-FLH---2027</v>
      </c>
      <c r="D472" s="49" t="s">
        <v>103</v>
      </c>
      <c r="G472" s="49" t="b">
        <f>IF(Educator!B477&gt;0,"active")</f>
        <v>0</v>
      </c>
    </row>
    <row r="473" spans="1:7" x14ac:dyDescent="0.2">
      <c r="A4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","#",3))+1,1)&amp;"-"&amp;LEFT(Educator!B478, 3)&amp;"-"&amp;LEFT(Educator!A478, 3)&amp;"-"&amp;IF(ISNUMBER(Educator!D478),"G"&amp;Educator!D478,Educator!D478)&amp;"-"&amp;"2027"</f>
        <v>CID-FLH----2027</v>
      </c>
      <c r="B473" s="49" t="b">
        <f>IF(Educator!A478&gt;0,"topscorewriting.instructure.com")</f>
        <v>0</v>
      </c>
      <c r="C473" s="49" t="str">
        <f>Users!A473</f>
        <v>UID-FLH---2027</v>
      </c>
      <c r="D473" s="49" t="s">
        <v>103</v>
      </c>
      <c r="G473" s="49" t="b">
        <f>IF(Educator!B478&gt;0,"active")</f>
        <v>0</v>
      </c>
    </row>
    <row r="474" spans="1:7" x14ac:dyDescent="0.2">
      <c r="A4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","#",3))+1,1)&amp;"-"&amp;LEFT(Educator!B479, 3)&amp;"-"&amp;LEFT(Educator!A479, 3)&amp;"-"&amp;IF(ISNUMBER(Educator!D479),"G"&amp;Educator!D479,Educator!D479)&amp;"-"&amp;"2027"</f>
        <v>CID-FLH----2027</v>
      </c>
      <c r="B474" s="49" t="b">
        <f>IF(Educator!A479&gt;0,"topscorewriting.instructure.com")</f>
        <v>0</v>
      </c>
      <c r="C474" s="49" t="str">
        <f>Users!A474</f>
        <v>UID-FLH---2027</v>
      </c>
      <c r="D474" s="49" t="s">
        <v>103</v>
      </c>
      <c r="G474" s="49" t="b">
        <f>IF(Educator!B479&gt;0,"active")</f>
        <v>0</v>
      </c>
    </row>
    <row r="475" spans="1:7" x14ac:dyDescent="0.2">
      <c r="A4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","#",3))+1,1)&amp;"-"&amp;LEFT(Educator!B480, 3)&amp;"-"&amp;LEFT(Educator!A480, 3)&amp;"-"&amp;IF(ISNUMBER(Educator!D480),"G"&amp;Educator!D480,Educator!D480)&amp;"-"&amp;"2027"</f>
        <v>CID-FLH----2027</v>
      </c>
      <c r="B475" s="49" t="b">
        <f>IF(Educator!A480&gt;0,"topscorewriting.instructure.com")</f>
        <v>0</v>
      </c>
      <c r="C475" s="49" t="str">
        <f>Users!A475</f>
        <v>UID-FLH---2027</v>
      </c>
      <c r="D475" s="49" t="s">
        <v>103</v>
      </c>
      <c r="G475" s="49" t="b">
        <f>IF(Educator!B480&gt;0,"active")</f>
        <v>0</v>
      </c>
    </row>
    <row r="476" spans="1:7" x14ac:dyDescent="0.2">
      <c r="A4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","#",3))+1,1)&amp;"-"&amp;LEFT(Educator!B481, 3)&amp;"-"&amp;LEFT(Educator!A481, 3)&amp;"-"&amp;IF(ISNUMBER(Educator!D481),"G"&amp;Educator!D481,Educator!D481)&amp;"-"&amp;"2027"</f>
        <v>CID-FLH----2027</v>
      </c>
      <c r="B476" s="49" t="b">
        <f>IF(Educator!A481&gt;0,"topscorewriting.instructure.com")</f>
        <v>0</v>
      </c>
      <c r="C476" s="49" t="str">
        <f>Users!A476</f>
        <v>UID-FLH---2027</v>
      </c>
      <c r="D476" s="49" t="s">
        <v>103</v>
      </c>
      <c r="G476" s="49" t="b">
        <f>IF(Educator!B481&gt;0,"active")</f>
        <v>0</v>
      </c>
    </row>
    <row r="477" spans="1:7" x14ac:dyDescent="0.2">
      <c r="A4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","#",3))+1,1)&amp;"-"&amp;LEFT(Educator!B482, 3)&amp;"-"&amp;LEFT(Educator!A482, 3)&amp;"-"&amp;IF(ISNUMBER(Educator!D482),"G"&amp;Educator!D482,Educator!D482)&amp;"-"&amp;"2027"</f>
        <v>CID-FLH----2027</v>
      </c>
      <c r="B477" s="49" t="b">
        <f>IF(Educator!A482&gt;0,"topscorewriting.instructure.com")</f>
        <v>0</v>
      </c>
      <c r="C477" s="49" t="str">
        <f>Users!A477</f>
        <v>UID-FLH---2027</v>
      </c>
      <c r="D477" s="49" t="s">
        <v>103</v>
      </c>
      <c r="G477" s="49" t="b">
        <f>IF(Educator!B482&gt;0,"active")</f>
        <v>0</v>
      </c>
    </row>
    <row r="478" spans="1:7" x14ac:dyDescent="0.2">
      <c r="A4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","#",3))+1,1)&amp;"-"&amp;LEFT(Educator!B483, 3)&amp;"-"&amp;LEFT(Educator!A483, 3)&amp;"-"&amp;IF(ISNUMBER(Educator!D483),"G"&amp;Educator!D483,Educator!D483)&amp;"-"&amp;"2027"</f>
        <v>CID-FLH----2027</v>
      </c>
      <c r="B478" s="49" t="b">
        <f>IF(Educator!A483&gt;0,"topscorewriting.instructure.com")</f>
        <v>0</v>
      </c>
      <c r="C478" s="49" t="str">
        <f>Users!A478</f>
        <v>UID-FLH---2027</v>
      </c>
      <c r="D478" s="49" t="s">
        <v>103</v>
      </c>
      <c r="G478" s="49" t="b">
        <f>IF(Educator!B483&gt;0,"active")</f>
        <v>0</v>
      </c>
    </row>
    <row r="479" spans="1:7" x14ac:dyDescent="0.2">
      <c r="A4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","#",3))+1,1)&amp;"-"&amp;LEFT(Educator!B484, 3)&amp;"-"&amp;LEFT(Educator!A484, 3)&amp;"-"&amp;IF(ISNUMBER(Educator!D484),"G"&amp;Educator!D484,Educator!D484)&amp;"-"&amp;"2027"</f>
        <v>CID-FLH----2027</v>
      </c>
      <c r="B479" s="49" t="b">
        <f>IF(Educator!A484&gt;0,"topscorewriting.instructure.com")</f>
        <v>0</v>
      </c>
      <c r="C479" s="49" t="str">
        <f>Users!A479</f>
        <v>UID-FLH---2027</v>
      </c>
      <c r="D479" s="49" t="s">
        <v>103</v>
      </c>
      <c r="G479" s="49" t="b">
        <f>IF(Educator!B484&gt;0,"active")</f>
        <v>0</v>
      </c>
    </row>
    <row r="480" spans="1:7" x14ac:dyDescent="0.2">
      <c r="A4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","#",3))+1,1)&amp;"-"&amp;LEFT(Educator!B485, 3)&amp;"-"&amp;LEFT(Educator!A485, 3)&amp;"-"&amp;IF(ISNUMBER(Educator!D485),"G"&amp;Educator!D485,Educator!D485)&amp;"-"&amp;"2027"</f>
        <v>CID-FLH----2027</v>
      </c>
      <c r="B480" s="49" t="b">
        <f>IF(Educator!A485&gt;0,"topscorewriting.instructure.com")</f>
        <v>0</v>
      </c>
      <c r="C480" s="49" t="str">
        <f>Users!A480</f>
        <v>UID-FLH---2027</v>
      </c>
      <c r="D480" s="49" t="s">
        <v>103</v>
      </c>
      <c r="G480" s="49" t="b">
        <f>IF(Educator!B485&gt;0,"active")</f>
        <v>0</v>
      </c>
    </row>
    <row r="481" spans="1:7" x14ac:dyDescent="0.2">
      <c r="A4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","#",3))+1,1)&amp;"-"&amp;LEFT(Educator!B486, 3)&amp;"-"&amp;LEFT(Educator!A486, 3)&amp;"-"&amp;IF(ISNUMBER(Educator!D486),"G"&amp;Educator!D486,Educator!D486)&amp;"-"&amp;"2027"</f>
        <v>CID-FLH----2027</v>
      </c>
      <c r="B481" s="49" t="b">
        <f>IF(Educator!A486&gt;0,"topscorewriting.instructure.com")</f>
        <v>0</v>
      </c>
      <c r="C481" s="49" t="str">
        <f>Users!A481</f>
        <v>UID-FLH---2027</v>
      </c>
      <c r="D481" s="49" t="s">
        <v>103</v>
      </c>
      <c r="G481" s="49" t="b">
        <f>IF(Educator!B486&gt;0,"active")</f>
        <v>0</v>
      </c>
    </row>
    <row r="482" spans="1:7" x14ac:dyDescent="0.2">
      <c r="A4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","#",3))+1,1)&amp;"-"&amp;LEFT(Educator!B487, 3)&amp;"-"&amp;LEFT(Educator!A487, 3)&amp;"-"&amp;IF(ISNUMBER(Educator!D487),"G"&amp;Educator!D487,Educator!D487)&amp;"-"&amp;"2027"</f>
        <v>CID-FLH----2027</v>
      </c>
      <c r="B482" s="49" t="b">
        <f>IF(Educator!A487&gt;0,"topscorewriting.instructure.com")</f>
        <v>0</v>
      </c>
      <c r="C482" s="49" t="str">
        <f>Users!A482</f>
        <v>UID-FLH---2027</v>
      </c>
      <c r="D482" s="49" t="s">
        <v>103</v>
      </c>
      <c r="G482" s="49" t="b">
        <f>IF(Educator!B487&gt;0,"active")</f>
        <v>0</v>
      </c>
    </row>
    <row r="483" spans="1:7" x14ac:dyDescent="0.2">
      <c r="A4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","#",3))+1,1)&amp;"-"&amp;LEFT(Educator!B488, 3)&amp;"-"&amp;LEFT(Educator!A488, 3)&amp;"-"&amp;IF(ISNUMBER(Educator!D488),"G"&amp;Educator!D488,Educator!D488)&amp;"-"&amp;"2027"</f>
        <v>CID-FLH----2027</v>
      </c>
      <c r="B483" s="49" t="b">
        <f>IF(Educator!A488&gt;0,"topscorewriting.instructure.com")</f>
        <v>0</v>
      </c>
      <c r="C483" s="49" t="str">
        <f>Users!A483</f>
        <v>UID-FLH---2027</v>
      </c>
      <c r="D483" s="49" t="s">
        <v>103</v>
      </c>
      <c r="G483" s="49" t="b">
        <f>IF(Educator!B488&gt;0,"active")</f>
        <v>0</v>
      </c>
    </row>
    <row r="484" spans="1:7" x14ac:dyDescent="0.2">
      <c r="A4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","#",3))+1,1)&amp;"-"&amp;LEFT(Educator!B489, 3)&amp;"-"&amp;LEFT(Educator!A489, 3)&amp;"-"&amp;IF(ISNUMBER(Educator!D489),"G"&amp;Educator!D489,Educator!D489)&amp;"-"&amp;"2027"</f>
        <v>CID-FLH----2027</v>
      </c>
      <c r="B484" s="49" t="b">
        <f>IF(Educator!A489&gt;0,"topscorewriting.instructure.com")</f>
        <v>0</v>
      </c>
      <c r="C484" s="49" t="str">
        <f>Users!A484</f>
        <v>UID-FLH---2027</v>
      </c>
      <c r="D484" s="49" t="s">
        <v>103</v>
      </c>
      <c r="G484" s="49" t="b">
        <f>IF(Educator!B489&gt;0,"active")</f>
        <v>0</v>
      </c>
    </row>
    <row r="485" spans="1:7" x14ac:dyDescent="0.2">
      <c r="A4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","#",3))+1,1)&amp;"-"&amp;LEFT(Educator!B490, 3)&amp;"-"&amp;LEFT(Educator!A490, 3)&amp;"-"&amp;IF(ISNUMBER(Educator!D490),"G"&amp;Educator!D490,Educator!D490)&amp;"-"&amp;"2027"</f>
        <v>CID-FLH----2027</v>
      </c>
      <c r="B485" s="49" t="b">
        <f>IF(Educator!A490&gt;0,"topscorewriting.instructure.com")</f>
        <v>0</v>
      </c>
      <c r="C485" s="49" t="str">
        <f>Users!A485</f>
        <v>UID-FLH---2027</v>
      </c>
      <c r="D485" s="49" t="s">
        <v>103</v>
      </c>
      <c r="G485" s="49" t="b">
        <f>IF(Educator!B490&gt;0,"active")</f>
        <v>0</v>
      </c>
    </row>
    <row r="486" spans="1:7" x14ac:dyDescent="0.2">
      <c r="A4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","#",3))+1,1)&amp;"-"&amp;LEFT(Educator!B491, 3)&amp;"-"&amp;LEFT(Educator!A491, 3)&amp;"-"&amp;IF(ISNUMBER(Educator!D491),"G"&amp;Educator!D491,Educator!D491)&amp;"-"&amp;"2027"</f>
        <v>CID-FLH----2027</v>
      </c>
      <c r="B486" s="49" t="b">
        <f>IF(Educator!A491&gt;0,"topscorewriting.instructure.com")</f>
        <v>0</v>
      </c>
      <c r="C486" s="49" t="str">
        <f>Users!A486</f>
        <v>UID-FLH---2027</v>
      </c>
      <c r="D486" s="49" t="s">
        <v>103</v>
      </c>
      <c r="G486" s="49" t="b">
        <f>IF(Educator!B491&gt;0,"active")</f>
        <v>0</v>
      </c>
    </row>
    <row r="487" spans="1:7" x14ac:dyDescent="0.2">
      <c r="A4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","#",3))+1,1)&amp;"-"&amp;LEFT(Educator!B492, 3)&amp;"-"&amp;LEFT(Educator!A492, 3)&amp;"-"&amp;IF(ISNUMBER(Educator!D492),"G"&amp;Educator!D492,Educator!D492)&amp;"-"&amp;"2027"</f>
        <v>CID-FLH----2027</v>
      </c>
      <c r="B487" s="49" t="b">
        <f>IF(Educator!A492&gt;0,"topscorewriting.instructure.com")</f>
        <v>0</v>
      </c>
      <c r="C487" s="49" t="str">
        <f>Users!A487</f>
        <v>UID-FLH---2027</v>
      </c>
      <c r="D487" s="49" t="s">
        <v>103</v>
      </c>
      <c r="G487" s="49" t="b">
        <f>IF(Educator!B492&gt;0,"active")</f>
        <v>0</v>
      </c>
    </row>
    <row r="488" spans="1:7" x14ac:dyDescent="0.2">
      <c r="A4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","#",3))+1,1)&amp;"-"&amp;LEFT(Educator!B493, 3)&amp;"-"&amp;LEFT(Educator!A493, 3)&amp;"-"&amp;IF(ISNUMBER(Educator!D493),"G"&amp;Educator!D493,Educator!D493)&amp;"-"&amp;"2027"</f>
        <v>CID-FLH----2027</v>
      </c>
      <c r="B488" s="49" t="b">
        <f>IF(Educator!A493&gt;0,"topscorewriting.instructure.com")</f>
        <v>0</v>
      </c>
      <c r="C488" s="49" t="str">
        <f>Users!A488</f>
        <v>UID-FLH---2027</v>
      </c>
      <c r="D488" s="49" t="s">
        <v>103</v>
      </c>
      <c r="G488" s="49" t="b">
        <f>IF(Educator!B493&gt;0,"active")</f>
        <v>0</v>
      </c>
    </row>
    <row r="489" spans="1:7" x14ac:dyDescent="0.2">
      <c r="A4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","#",3))+1,1)&amp;"-"&amp;LEFT(Educator!B494, 3)&amp;"-"&amp;LEFT(Educator!A494, 3)&amp;"-"&amp;IF(ISNUMBER(Educator!D494),"G"&amp;Educator!D494,Educator!D494)&amp;"-"&amp;"2027"</f>
        <v>CID-FLH----2027</v>
      </c>
      <c r="B489" s="49" t="b">
        <f>IF(Educator!A494&gt;0,"topscorewriting.instructure.com")</f>
        <v>0</v>
      </c>
      <c r="C489" s="49" t="str">
        <f>Users!A489</f>
        <v>UID-FLH---2027</v>
      </c>
      <c r="D489" s="49" t="s">
        <v>103</v>
      </c>
      <c r="G489" s="49" t="b">
        <f>IF(Educator!B494&gt;0,"active")</f>
        <v>0</v>
      </c>
    </row>
    <row r="490" spans="1:7" x14ac:dyDescent="0.2">
      <c r="A4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","#",3))+1,1)&amp;"-"&amp;LEFT(Educator!B495, 3)&amp;"-"&amp;LEFT(Educator!A495, 3)&amp;"-"&amp;IF(ISNUMBER(Educator!D495),"G"&amp;Educator!D495,Educator!D495)&amp;"-"&amp;"2027"</f>
        <v>CID-FLH----2027</v>
      </c>
      <c r="B490" s="49" t="b">
        <f>IF(Educator!A495&gt;0,"topscorewriting.instructure.com")</f>
        <v>0</v>
      </c>
      <c r="C490" s="49" t="str">
        <f>Users!A490</f>
        <v>UID-FLH---2027</v>
      </c>
      <c r="D490" s="49" t="s">
        <v>103</v>
      </c>
      <c r="G490" s="49" t="b">
        <f>IF(Educator!B495&gt;0,"active")</f>
        <v>0</v>
      </c>
    </row>
    <row r="491" spans="1:7" x14ac:dyDescent="0.2">
      <c r="A4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","#",3))+1,1)&amp;"-"&amp;LEFT(Educator!B496, 3)&amp;"-"&amp;LEFT(Educator!A496, 3)&amp;"-"&amp;IF(ISNUMBER(Educator!D496),"G"&amp;Educator!D496,Educator!D496)&amp;"-"&amp;"2027"</f>
        <v>CID-FLH----2027</v>
      </c>
      <c r="B491" s="49" t="b">
        <f>IF(Educator!A496&gt;0,"topscorewriting.instructure.com")</f>
        <v>0</v>
      </c>
      <c r="C491" s="49" t="str">
        <f>Users!A491</f>
        <v>UID-FLH---2027</v>
      </c>
      <c r="D491" s="49" t="s">
        <v>103</v>
      </c>
      <c r="G491" s="49" t="b">
        <f>IF(Educator!B496&gt;0,"active")</f>
        <v>0</v>
      </c>
    </row>
    <row r="492" spans="1:7" x14ac:dyDescent="0.2">
      <c r="A4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","#",3))+1,1)&amp;"-"&amp;LEFT(Educator!B497, 3)&amp;"-"&amp;LEFT(Educator!A497, 3)&amp;"-"&amp;IF(ISNUMBER(Educator!D497),"G"&amp;Educator!D497,Educator!D497)&amp;"-"&amp;"2027"</f>
        <v>CID-FLH----2027</v>
      </c>
      <c r="B492" s="49" t="b">
        <f>IF(Educator!A497&gt;0,"topscorewriting.instructure.com")</f>
        <v>0</v>
      </c>
      <c r="C492" s="49" t="str">
        <f>Users!A492</f>
        <v>UID-FLH---2027</v>
      </c>
      <c r="D492" s="49" t="s">
        <v>103</v>
      </c>
      <c r="G492" s="49" t="b">
        <f>IF(Educator!B497&gt;0,"active")</f>
        <v>0</v>
      </c>
    </row>
    <row r="493" spans="1:7" x14ac:dyDescent="0.2">
      <c r="A4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","#",3))+1,1)&amp;"-"&amp;LEFT(Educator!B498, 3)&amp;"-"&amp;LEFT(Educator!A498, 3)&amp;"-"&amp;IF(ISNUMBER(Educator!D498),"G"&amp;Educator!D498,Educator!D498)&amp;"-"&amp;"2027"</f>
        <v>CID-FLH----2027</v>
      </c>
      <c r="B493" s="49" t="b">
        <f>IF(Educator!A498&gt;0,"topscorewriting.instructure.com")</f>
        <v>0</v>
      </c>
      <c r="C493" s="49" t="str">
        <f>Users!A493</f>
        <v>UID-FLH---2027</v>
      </c>
      <c r="D493" s="49" t="s">
        <v>103</v>
      </c>
      <c r="G493" s="49" t="b">
        <f>IF(Educator!B498&gt;0,"active")</f>
        <v>0</v>
      </c>
    </row>
    <row r="494" spans="1:7" x14ac:dyDescent="0.2">
      <c r="A4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","#",3))+1,1)&amp;"-"&amp;LEFT(Educator!B499, 3)&amp;"-"&amp;LEFT(Educator!A499, 3)&amp;"-"&amp;IF(ISNUMBER(Educator!D499),"G"&amp;Educator!D499,Educator!D499)&amp;"-"&amp;"2027"</f>
        <v>CID-FLH----2027</v>
      </c>
      <c r="B494" s="49" t="b">
        <f>IF(Educator!A499&gt;0,"topscorewriting.instructure.com")</f>
        <v>0</v>
      </c>
      <c r="C494" s="49" t="str">
        <f>Users!A494</f>
        <v>UID-FLH---2027</v>
      </c>
      <c r="D494" s="49" t="s">
        <v>103</v>
      </c>
      <c r="G494" s="49" t="b">
        <f>IF(Educator!B499&gt;0,"active")</f>
        <v>0</v>
      </c>
    </row>
    <row r="495" spans="1:7" x14ac:dyDescent="0.2">
      <c r="A4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","#",3))+1,1)&amp;"-"&amp;LEFT(Educator!B500, 3)&amp;"-"&amp;LEFT(Educator!A500, 3)&amp;"-"&amp;IF(ISNUMBER(Educator!D500),"G"&amp;Educator!D500,Educator!D500)&amp;"-"&amp;"2027"</f>
        <v>CID-FLH----2027</v>
      </c>
      <c r="B495" s="49" t="b">
        <f>IF(Educator!A500&gt;0,"topscorewriting.instructure.com")</f>
        <v>0</v>
      </c>
      <c r="C495" s="49" t="str">
        <f>Users!A495</f>
        <v>UID-FLH---2027</v>
      </c>
      <c r="D495" s="49" t="s">
        <v>103</v>
      </c>
      <c r="G495" s="49" t="b">
        <f>IF(Educator!B500&gt;0,"active")</f>
        <v>0</v>
      </c>
    </row>
    <row r="496" spans="1:7" x14ac:dyDescent="0.2">
      <c r="A4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","#",3))+1,1)&amp;"-"&amp;LEFT(Educator!B501, 3)&amp;"-"&amp;LEFT(Educator!A501, 3)&amp;"-"&amp;IF(ISNUMBER(Educator!D501),"G"&amp;Educator!D501,Educator!D501)&amp;"-"&amp;"2027"</f>
        <v>CID-FLH----2027</v>
      </c>
      <c r="B496" s="49" t="b">
        <f>IF(Educator!A501&gt;0,"topscorewriting.instructure.com")</f>
        <v>0</v>
      </c>
      <c r="C496" s="49" t="str">
        <f>Users!A496</f>
        <v>UID-FLH---2027</v>
      </c>
      <c r="D496" s="49" t="s">
        <v>103</v>
      </c>
      <c r="G496" s="49" t="b">
        <f>IF(Educator!B501&gt;0,"active")</f>
        <v>0</v>
      </c>
    </row>
    <row r="497" spans="1:7" x14ac:dyDescent="0.2">
      <c r="A4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","#",3))+1,1)&amp;"-"&amp;LEFT(Educator!B502, 3)&amp;"-"&amp;LEFT(Educator!A502, 3)&amp;"-"&amp;IF(ISNUMBER(Educator!D502),"G"&amp;Educator!D502,Educator!D502)&amp;"-"&amp;"2027"</f>
        <v>CID-FLH----2027</v>
      </c>
      <c r="B497" s="49" t="b">
        <f>IF(Educator!A502&gt;0,"topscorewriting.instructure.com")</f>
        <v>0</v>
      </c>
      <c r="C497" s="49" t="str">
        <f>Users!A497</f>
        <v>UID-FLH---2027</v>
      </c>
      <c r="D497" s="49" t="s">
        <v>103</v>
      </c>
      <c r="G497" s="49" t="b">
        <f>IF(Educator!B502&gt;0,"active")</f>
        <v>0</v>
      </c>
    </row>
    <row r="498" spans="1:7" x14ac:dyDescent="0.2">
      <c r="A4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","#",3))+1,1)&amp;"-"&amp;LEFT(Educator!B503, 3)&amp;"-"&amp;LEFT(Educator!A503, 3)&amp;"-"&amp;IF(ISNUMBER(Educator!D503),"G"&amp;Educator!D503,Educator!D503)&amp;"-"&amp;"2027"</f>
        <v>CID-FLH----2027</v>
      </c>
      <c r="B498" s="49" t="b">
        <f>IF(Educator!A503&gt;0,"topscorewriting.instructure.com")</f>
        <v>0</v>
      </c>
      <c r="C498" s="49" t="str">
        <f>Users!A498</f>
        <v>UID-FLH---2027</v>
      </c>
      <c r="D498" s="49" t="s">
        <v>103</v>
      </c>
      <c r="G498" s="49" t="b">
        <f>IF(Educator!B503&gt;0,"active")</f>
        <v>0</v>
      </c>
    </row>
    <row r="499" spans="1:7" x14ac:dyDescent="0.2">
      <c r="A4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","#",3))+1,1)&amp;"-"&amp;LEFT(Educator!B504, 3)&amp;"-"&amp;LEFT(Educator!A504, 3)&amp;"-"&amp;IF(ISNUMBER(Educator!D504),"G"&amp;Educator!D504,Educator!D504)&amp;"-"&amp;"2027"</f>
        <v>CID-FLH----2027</v>
      </c>
      <c r="B499" s="49" t="b">
        <f>IF(Educator!A504&gt;0,"topscorewriting.instructure.com")</f>
        <v>0</v>
      </c>
      <c r="C499" s="49" t="str">
        <f>Users!A499</f>
        <v>UID-FLH---2027</v>
      </c>
      <c r="D499" s="49" t="s">
        <v>103</v>
      </c>
      <c r="G499" s="49" t="b">
        <f>IF(Educator!B504&gt;0,"active")</f>
        <v>0</v>
      </c>
    </row>
    <row r="500" spans="1:7" x14ac:dyDescent="0.2">
      <c r="A5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","#",3))+1,1)&amp;"-"&amp;LEFT(Educator!B505, 3)&amp;"-"&amp;LEFT(Educator!A505, 3)&amp;"-"&amp;IF(ISNUMBER(Educator!D505),"G"&amp;Educator!D505,Educator!D505)&amp;"-"&amp;"2027"</f>
        <v>CID-FLH----2027</v>
      </c>
      <c r="B500" s="49" t="b">
        <f>IF(Educator!A505&gt;0,"topscorewriting.instructure.com")</f>
        <v>0</v>
      </c>
      <c r="C500" s="49" t="str">
        <f>Users!A500</f>
        <v>UID-FLH---2027</v>
      </c>
      <c r="D500" s="49" t="s">
        <v>103</v>
      </c>
      <c r="G500" s="49" t="b">
        <f>IF(Educator!B505&gt;0,"active")</f>
        <v>0</v>
      </c>
    </row>
    <row r="501" spans="1:7" x14ac:dyDescent="0.2">
      <c r="A5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","#",3))+1,1)&amp;"-"&amp;LEFT(Educator!B506, 3)&amp;"-"&amp;LEFT(Educator!A506, 3)&amp;"-"&amp;IF(ISNUMBER(Educator!D506),"G"&amp;Educator!D506,Educator!D506)&amp;"-"&amp;"2027"</f>
        <v>CID-FLH----2027</v>
      </c>
      <c r="B501" s="49" t="b">
        <f>IF(Educator!A506&gt;0,"topscorewriting.instructure.com")</f>
        <v>0</v>
      </c>
      <c r="C501" s="49" t="str">
        <f>Users!A501</f>
        <v>UID-FLH---2027</v>
      </c>
      <c r="D501" s="49" t="s">
        <v>103</v>
      </c>
      <c r="G501" s="49" t="b">
        <f>IF(Educator!B506&gt;0,"active")</f>
        <v>0</v>
      </c>
    </row>
    <row r="502" spans="1:7" x14ac:dyDescent="0.2">
      <c r="A5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","#",3))+1,1)&amp;"-"&amp;LEFT(Educator!B507, 3)&amp;"-"&amp;LEFT(Educator!A507, 3)&amp;"-"&amp;IF(ISNUMBER(Educator!D507),"G"&amp;Educator!D507,Educator!D507)&amp;"-"&amp;"2027"</f>
        <v>CID-FLH----2027</v>
      </c>
      <c r="B502" s="49" t="b">
        <f>IF(Educator!A507&gt;0,"topscorewriting.instructure.com")</f>
        <v>0</v>
      </c>
      <c r="C502" s="49" t="str">
        <f>Users!A502</f>
        <v>UID-FLH---2027</v>
      </c>
      <c r="D502" s="49" t="s">
        <v>103</v>
      </c>
      <c r="G502" s="49" t="b">
        <f>IF(Educator!B507&gt;0,"active")</f>
        <v>0</v>
      </c>
    </row>
    <row r="503" spans="1:7" x14ac:dyDescent="0.2">
      <c r="A5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","#",3))+1,1)&amp;"-"&amp;LEFT(Educator!B508, 3)&amp;"-"&amp;LEFT(Educator!A508, 3)&amp;"-"&amp;IF(ISNUMBER(Educator!D508),"G"&amp;Educator!D508,Educator!D508)&amp;"-"&amp;"2027"</f>
        <v>CID-FLH----2027</v>
      </c>
      <c r="B503" s="49" t="b">
        <f>IF(Educator!A508&gt;0,"topscorewriting.instructure.com")</f>
        <v>0</v>
      </c>
      <c r="C503" s="49" t="str">
        <f>Users!A503</f>
        <v>UID-FLH---2027</v>
      </c>
      <c r="D503" s="49" t="s">
        <v>103</v>
      </c>
      <c r="G503" s="49" t="b">
        <f>IF(Educator!B508&gt;0,"active")</f>
        <v>0</v>
      </c>
    </row>
    <row r="504" spans="1:7" x14ac:dyDescent="0.2">
      <c r="A5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","#",3))+1,1)&amp;"-"&amp;LEFT(Educator!B509, 3)&amp;"-"&amp;LEFT(Educator!A509, 3)&amp;"-"&amp;IF(ISNUMBER(Educator!D509),"G"&amp;Educator!D509,Educator!D509)&amp;"-"&amp;"2027"</f>
        <v>CID-FLH----2027</v>
      </c>
      <c r="B504" s="49" t="b">
        <f>IF(Educator!A509&gt;0,"topscorewriting.instructure.com")</f>
        <v>0</v>
      </c>
      <c r="C504" s="49" t="str">
        <f>Users!A504</f>
        <v>UID-FLH---2027</v>
      </c>
      <c r="D504" s="49" t="s">
        <v>103</v>
      </c>
      <c r="G504" s="49" t="b">
        <f>IF(Educator!B509&gt;0,"active")</f>
        <v>0</v>
      </c>
    </row>
    <row r="505" spans="1:7" x14ac:dyDescent="0.2">
      <c r="A5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","#",3))+1,1)&amp;"-"&amp;LEFT(Educator!B510, 3)&amp;"-"&amp;LEFT(Educator!A510, 3)&amp;"-"&amp;IF(ISNUMBER(Educator!D510),"G"&amp;Educator!D510,Educator!D510)&amp;"-"&amp;"2027"</f>
        <v>CID-FLH----2027</v>
      </c>
      <c r="B505" s="49" t="b">
        <f>IF(Educator!A510&gt;0,"topscorewriting.instructure.com")</f>
        <v>0</v>
      </c>
      <c r="C505" s="49" t="str">
        <f>Users!A505</f>
        <v>UID-FLH---2027</v>
      </c>
      <c r="D505" s="49" t="s">
        <v>103</v>
      </c>
      <c r="G505" s="49" t="b">
        <f>IF(Educator!B510&gt;0,"active")</f>
        <v>0</v>
      </c>
    </row>
    <row r="506" spans="1:7" x14ac:dyDescent="0.2">
      <c r="A5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","#",3))+1,1)&amp;"-"&amp;LEFT(Educator!B511, 3)&amp;"-"&amp;LEFT(Educator!A511, 3)&amp;"-"&amp;IF(ISNUMBER(Educator!D511),"G"&amp;Educator!D511,Educator!D511)&amp;"-"&amp;"2027"</f>
        <v>CID-FLH----2027</v>
      </c>
      <c r="B506" s="49" t="b">
        <f>IF(Educator!A511&gt;0,"topscorewriting.instructure.com")</f>
        <v>0</v>
      </c>
      <c r="C506" s="49" t="str">
        <f>Users!A506</f>
        <v>UID-FLH---2027</v>
      </c>
      <c r="D506" s="49" t="s">
        <v>103</v>
      </c>
      <c r="G506" s="49" t="b">
        <f>IF(Educator!B511&gt;0,"active")</f>
        <v>0</v>
      </c>
    </row>
    <row r="507" spans="1:7" x14ac:dyDescent="0.2">
      <c r="A5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","#",3))+1,1)&amp;"-"&amp;LEFT(Educator!B512, 3)&amp;"-"&amp;LEFT(Educator!A512, 3)&amp;"-"&amp;IF(ISNUMBER(Educator!D512),"G"&amp;Educator!D512,Educator!D512)&amp;"-"&amp;"2027"</f>
        <v>CID-FLH----2027</v>
      </c>
      <c r="B507" s="49" t="b">
        <f>IF(Educator!A512&gt;0,"topscorewriting.instructure.com")</f>
        <v>0</v>
      </c>
      <c r="C507" s="49" t="str">
        <f>Users!A507</f>
        <v>UID-FLH---2027</v>
      </c>
      <c r="D507" s="49" t="s">
        <v>103</v>
      </c>
      <c r="G507" s="49" t="b">
        <f>IF(Educator!B512&gt;0,"active")</f>
        <v>0</v>
      </c>
    </row>
    <row r="508" spans="1:7" x14ac:dyDescent="0.2">
      <c r="A5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","#",3))+1,1)&amp;"-"&amp;LEFT(Educator!B513, 3)&amp;"-"&amp;LEFT(Educator!A513, 3)&amp;"-"&amp;IF(ISNUMBER(Educator!D513),"G"&amp;Educator!D513,Educator!D513)&amp;"-"&amp;"2027"</f>
        <v>CID-FLH----2027</v>
      </c>
      <c r="B508" s="49" t="b">
        <f>IF(Educator!A513&gt;0,"topscorewriting.instructure.com")</f>
        <v>0</v>
      </c>
      <c r="C508" s="49" t="str">
        <f>Users!A508</f>
        <v>UID-FLH---2027</v>
      </c>
      <c r="D508" s="49" t="s">
        <v>103</v>
      </c>
      <c r="G508" s="49" t="b">
        <f>IF(Educator!B513&gt;0,"active")</f>
        <v>0</v>
      </c>
    </row>
    <row r="509" spans="1:7" x14ac:dyDescent="0.2">
      <c r="A5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","#",3))+1,1)&amp;"-"&amp;LEFT(Educator!B514, 3)&amp;"-"&amp;LEFT(Educator!A514, 3)&amp;"-"&amp;IF(ISNUMBER(Educator!D514),"G"&amp;Educator!D514,Educator!D514)&amp;"-"&amp;"2027"</f>
        <v>CID-FLH----2027</v>
      </c>
      <c r="B509" s="49" t="b">
        <f>IF(Educator!A514&gt;0,"topscorewriting.instructure.com")</f>
        <v>0</v>
      </c>
      <c r="C509" s="49" t="str">
        <f>Users!A509</f>
        <v>UID-FLH---2027</v>
      </c>
      <c r="D509" s="49" t="s">
        <v>103</v>
      </c>
      <c r="G509" s="49" t="b">
        <f>IF(Educator!B514&gt;0,"active")</f>
        <v>0</v>
      </c>
    </row>
    <row r="510" spans="1:7" x14ac:dyDescent="0.2">
      <c r="A5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","#",3))+1,1)&amp;"-"&amp;LEFT(Educator!B515, 3)&amp;"-"&amp;LEFT(Educator!A515, 3)&amp;"-"&amp;IF(ISNUMBER(Educator!D515),"G"&amp;Educator!D515,Educator!D515)&amp;"-"&amp;"2027"</f>
        <v>CID-FLH----2027</v>
      </c>
      <c r="B510" s="49" t="b">
        <f>IF(Educator!A515&gt;0,"topscorewriting.instructure.com")</f>
        <v>0</v>
      </c>
      <c r="C510" s="49" t="str">
        <f>Users!A510</f>
        <v>UID-FLH---2027</v>
      </c>
      <c r="D510" s="49" t="s">
        <v>103</v>
      </c>
      <c r="G510" s="49" t="b">
        <f>IF(Educator!B515&gt;0,"active")</f>
        <v>0</v>
      </c>
    </row>
    <row r="511" spans="1:7" x14ac:dyDescent="0.2">
      <c r="A5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","#",3))+1,1)&amp;"-"&amp;LEFT(Educator!B516, 3)&amp;"-"&amp;LEFT(Educator!A516, 3)&amp;"-"&amp;IF(ISNUMBER(Educator!D516),"G"&amp;Educator!D516,Educator!D516)&amp;"-"&amp;"2027"</f>
        <v>CID-FLH----2027</v>
      </c>
      <c r="B511" s="49" t="b">
        <f>IF(Educator!A516&gt;0,"topscorewriting.instructure.com")</f>
        <v>0</v>
      </c>
      <c r="C511" s="49" t="str">
        <f>Users!A511</f>
        <v>UID-FLH---2027</v>
      </c>
      <c r="D511" s="49" t="s">
        <v>103</v>
      </c>
      <c r="G511" s="49" t="b">
        <f>IF(Educator!B516&gt;0,"active")</f>
        <v>0</v>
      </c>
    </row>
    <row r="512" spans="1:7" x14ac:dyDescent="0.2">
      <c r="A5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","#",3))+1,1)&amp;"-"&amp;LEFT(Educator!B517, 3)&amp;"-"&amp;LEFT(Educator!A517, 3)&amp;"-"&amp;IF(ISNUMBER(Educator!D517),"G"&amp;Educator!D517,Educator!D517)&amp;"-"&amp;"2027"</f>
        <v>CID-FLH----2027</v>
      </c>
      <c r="B512" s="49" t="b">
        <f>IF(Educator!A517&gt;0,"topscorewriting.instructure.com")</f>
        <v>0</v>
      </c>
      <c r="C512" s="49" t="str">
        <f>Users!A512</f>
        <v>UID-FLH---2027</v>
      </c>
      <c r="D512" s="49" t="s">
        <v>103</v>
      </c>
      <c r="G512" s="49" t="b">
        <f>IF(Educator!B517&gt;0,"active")</f>
        <v>0</v>
      </c>
    </row>
    <row r="513" spans="1:7" x14ac:dyDescent="0.2">
      <c r="A5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","#",3))+1,1)&amp;"-"&amp;LEFT(Educator!B518, 3)&amp;"-"&amp;LEFT(Educator!A518, 3)&amp;"-"&amp;IF(ISNUMBER(Educator!D518),"G"&amp;Educator!D518,Educator!D518)&amp;"-"&amp;"2027"</f>
        <v>CID-FLH----2027</v>
      </c>
      <c r="B513" s="49" t="b">
        <f>IF(Educator!A518&gt;0,"topscorewriting.instructure.com")</f>
        <v>0</v>
      </c>
      <c r="C513" s="49" t="str">
        <f>Users!A513</f>
        <v>UID-FLH---2027</v>
      </c>
      <c r="D513" s="49" t="s">
        <v>103</v>
      </c>
      <c r="G513" s="49" t="b">
        <f>IF(Educator!B518&gt;0,"active")</f>
        <v>0</v>
      </c>
    </row>
    <row r="514" spans="1:7" x14ac:dyDescent="0.2">
      <c r="A5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","#",3))+1,1)&amp;"-"&amp;LEFT(Educator!B519, 3)&amp;"-"&amp;LEFT(Educator!A519, 3)&amp;"-"&amp;IF(ISNUMBER(Educator!D519),"G"&amp;Educator!D519,Educator!D519)&amp;"-"&amp;"2027"</f>
        <v>CID-FLH----2027</v>
      </c>
      <c r="B514" s="49" t="b">
        <f>IF(Educator!A519&gt;0,"topscorewriting.instructure.com")</f>
        <v>0</v>
      </c>
      <c r="C514" s="49" t="str">
        <f>Users!A514</f>
        <v>UID-FLH---2027</v>
      </c>
      <c r="D514" s="49" t="s">
        <v>103</v>
      </c>
      <c r="G514" s="49" t="b">
        <f>IF(Educator!B519&gt;0,"active")</f>
        <v>0</v>
      </c>
    </row>
    <row r="515" spans="1:7" x14ac:dyDescent="0.2">
      <c r="A5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","#",3))+1,1)&amp;"-"&amp;LEFT(Educator!B520, 3)&amp;"-"&amp;LEFT(Educator!A520, 3)&amp;"-"&amp;IF(ISNUMBER(Educator!D520),"G"&amp;Educator!D520,Educator!D520)&amp;"-"&amp;"2027"</f>
        <v>CID-FLH----2027</v>
      </c>
      <c r="B515" s="49" t="b">
        <f>IF(Educator!A520&gt;0,"topscorewriting.instructure.com")</f>
        <v>0</v>
      </c>
      <c r="C515" s="49" t="str">
        <f>Users!A515</f>
        <v>UID-FLH---2027</v>
      </c>
      <c r="D515" s="49" t="s">
        <v>103</v>
      </c>
      <c r="G515" s="49" t="b">
        <f>IF(Educator!B520&gt;0,"active")</f>
        <v>0</v>
      </c>
    </row>
    <row r="516" spans="1:7" x14ac:dyDescent="0.2">
      <c r="A5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","#",3))+1,1)&amp;"-"&amp;LEFT(Educator!B521, 3)&amp;"-"&amp;LEFT(Educator!A521, 3)&amp;"-"&amp;IF(ISNUMBER(Educator!D521),"G"&amp;Educator!D521,Educator!D521)&amp;"-"&amp;"2027"</f>
        <v>CID-FLH----2027</v>
      </c>
      <c r="B516" s="49" t="b">
        <f>IF(Educator!A521&gt;0,"topscorewriting.instructure.com")</f>
        <v>0</v>
      </c>
      <c r="C516" s="49" t="str">
        <f>Users!A516</f>
        <v>UID-FLH---2027</v>
      </c>
      <c r="D516" s="49" t="s">
        <v>103</v>
      </c>
      <c r="G516" s="49" t="b">
        <f>IF(Educator!B521&gt;0,"active")</f>
        <v>0</v>
      </c>
    </row>
    <row r="517" spans="1:7" x14ac:dyDescent="0.2">
      <c r="A5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","#",3))+1,1)&amp;"-"&amp;LEFT(Educator!B522, 3)&amp;"-"&amp;LEFT(Educator!A522, 3)&amp;"-"&amp;IF(ISNUMBER(Educator!D522),"G"&amp;Educator!D522,Educator!D522)&amp;"-"&amp;"2027"</f>
        <v>CID-FLH----2027</v>
      </c>
      <c r="B517" s="49" t="b">
        <f>IF(Educator!A522&gt;0,"topscorewriting.instructure.com")</f>
        <v>0</v>
      </c>
      <c r="C517" s="49" t="str">
        <f>Users!A517</f>
        <v>UID-FLH---2027</v>
      </c>
      <c r="D517" s="49" t="s">
        <v>103</v>
      </c>
      <c r="G517" s="49" t="b">
        <f>IF(Educator!B522&gt;0,"active")</f>
        <v>0</v>
      </c>
    </row>
    <row r="518" spans="1:7" x14ac:dyDescent="0.2">
      <c r="A5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","#",3))+1,1)&amp;"-"&amp;LEFT(Educator!B523, 3)&amp;"-"&amp;LEFT(Educator!A523, 3)&amp;"-"&amp;IF(ISNUMBER(Educator!D523),"G"&amp;Educator!D523,Educator!D523)&amp;"-"&amp;"2027"</f>
        <v>CID-FLH----2027</v>
      </c>
      <c r="B518" s="49" t="b">
        <f>IF(Educator!A523&gt;0,"topscorewriting.instructure.com")</f>
        <v>0</v>
      </c>
      <c r="C518" s="49" t="str">
        <f>Users!A518</f>
        <v>UID-FLH---2027</v>
      </c>
      <c r="D518" s="49" t="s">
        <v>103</v>
      </c>
      <c r="G518" s="49" t="b">
        <f>IF(Educator!B523&gt;0,"active")</f>
        <v>0</v>
      </c>
    </row>
    <row r="519" spans="1:7" x14ac:dyDescent="0.2">
      <c r="A5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","#",3))+1,1)&amp;"-"&amp;LEFT(Educator!B524, 3)&amp;"-"&amp;LEFT(Educator!A524, 3)&amp;"-"&amp;IF(ISNUMBER(Educator!D524),"G"&amp;Educator!D524,Educator!D524)&amp;"-"&amp;"2027"</f>
        <v>CID-FLH----2027</v>
      </c>
      <c r="B519" s="49" t="b">
        <f>IF(Educator!A524&gt;0,"topscorewriting.instructure.com")</f>
        <v>0</v>
      </c>
      <c r="C519" s="49" t="str">
        <f>Users!A519</f>
        <v>UID-FLH---2027</v>
      </c>
      <c r="D519" s="49" t="s">
        <v>103</v>
      </c>
      <c r="G519" s="49" t="b">
        <f>IF(Educator!B524&gt;0,"active")</f>
        <v>0</v>
      </c>
    </row>
    <row r="520" spans="1:7" x14ac:dyDescent="0.2">
      <c r="A5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","#",3))+1,1)&amp;"-"&amp;LEFT(Educator!B525, 3)&amp;"-"&amp;LEFT(Educator!A525, 3)&amp;"-"&amp;IF(ISNUMBER(Educator!D525),"G"&amp;Educator!D525,Educator!D525)&amp;"-"&amp;"2027"</f>
        <v>CID-FLH----2027</v>
      </c>
      <c r="B520" s="49" t="b">
        <f>IF(Educator!A525&gt;0,"topscorewriting.instructure.com")</f>
        <v>0</v>
      </c>
      <c r="C520" s="49" t="str">
        <f>Users!A520</f>
        <v>UID-FLH---2027</v>
      </c>
      <c r="D520" s="49" t="s">
        <v>103</v>
      </c>
      <c r="G520" s="49" t="b">
        <f>IF(Educator!B525&gt;0,"active")</f>
        <v>0</v>
      </c>
    </row>
    <row r="521" spans="1:7" x14ac:dyDescent="0.2">
      <c r="A5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","#",3))+1,1)&amp;"-"&amp;LEFT(Educator!B526, 3)&amp;"-"&amp;LEFT(Educator!A526, 3)&amp;"-"&amp;IF(ISNUMBER(Educator!D526),"G"&amp;Educator!D526,Educator!D526)&amp;"-"&amp;"2027"</f>
        <v>CID-FLH----2027</v>
      </c>
      <c r="B521" s="49" t="b">
        <f>IF(Educator!A526&gt;0,"topscorewriting.instructure.com")</f>
        <v>0</v>
      </c>
      <c r="C521" s="49" t="str">
        <f>Users!A521</f>
        <v>UID-FLH---2027</v>
      </c>
      <c r="D521" s="49" t="s">
        <v>103</v>
      </c>
      <c r="G521" s="49" t="b">
        <f>IF(Educator!B526&gt;0,"active")</f>
        <v>0</v>
      </c>
    </row>
    <row r="522" spans="1:7" x14ac:dyDescent="0.2">
      <c r="A5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","#",3))+1,1)&amp;"-"&amp;LEFT(Educator!B527, 3)&amp;"-"&amp;LEFT(Educator!A527, 3)&amp;"-"&amp;IF(ISNUMBER(Educator!D527),"G"&amp;Educator!D527,Educator!D527)&amp;"-"&amp;"2027"</f>
        <v>CID-FLH----2027</v>
      </c>
      <c r="B522" s="49" t="b">
        <f>IF(Educator!A527&gt;0,"topscorewriting.instructure.com")</f>
        <v>0</v>
      </c>
      <c r="C522" s="49" t="str">
        <f>Users!A522</f>
        <v>UID-FLH---2027</v>
      </c>
      <c r="D522" s="49" t="s">
        <v>103</v>
      </c>
      <c r="G522" s="49" t="b">
        <f>IF(Educator!B527&gt;0,"active")</f>
        <v>0</v>
      </c>
    </row>
    <row r="523" spans="1:7" x14ac:dyDescent="0.2">
      <c r="A5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","#",3))+1,1)&amp;"-"&amp;LEFT(Educator!B528, 3)&amp;"-"&amp;LEFT(Educator!A528, 3)&amp;"-"&amp;IF(ISNUMBER(Educator!D528),"G"&amp;Educator!D528,Educator!D528)&amp;"-"&amp;"2027"</f>
        <v>CID-FLH----2027</v>
      </c>
      <c r="B523" s="49" t="b">
        <f>IF(Educator!A528&gt;0,"topscorewriting.instructure.com")</f>
        <v>0</v>
      </c>
      <c r="C523" s="49" t="str">
        <f>Users!A523</f>
        <v>UID-FLH---2027</v>
      </c>
      <c r="D523" s="49" t="s">
        <v>103</v>
      </c>
      <c r="G523" s="49" t="b">
        <f>IF(Educator!B528&gt;0,"active")</f>
        <v>0</v>
      </c>
    </row>
    <row r="524" spans="1:7" x14ac:dyDescent="0.2">
      <c r="A5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","#",3))+1,1)&amp;"-"&amp;LEFT(Educator!B529, 3)&amp;"-"&amp;LEFT(Educator!A529, 3)&amp;"-"&amp;IF(ISNUMBER(Educator!D529),"G"&amp;Educator!D529,Educator!D529)&amp;"-"&amp;"2027"</f>
        <v>CID-FLH----2027</v>
      </c>
      <c r="B524" s="49" t="b">
        <f>IF(Educator!A529&gt;0,"topscorewriting.instructure.com")</f>
        <v>0</v>
      </c>
      <c r="C524" s="49" t="str">
        <f>Users!A524</f>
        <v>UID-FLH---2027</v>
      </c>
      <c r="D524" s="49" t="s">
        <v>103</v>
      </c>
      <c r="G524" s="49" t="b">
        <f>IF(Educator!B529&gt;0,"active")</f>
        <v>0</v>
      </c>
    </row>
    <row r="525" spans="1:7" x14ac:dyDescent="0.2">
      <c r="A5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","#",3))+1,1)&amp;"-"&amp;LEFT(Educator!B530, 3)&amp;"-"&amp;LEFT(Educator!A530, 3)&amp;"-"&amp;IF(ISNUMBER(Educator!D530),"G"&amp;Educator!D530,Educator!D530)&amp;"-"&amp;"2027"</f>
        <v>CID-FLH----2027</v>
      </c>
      <c r="B525" s="49" t="b">
        <f>IF(Educator!A530&gt;0,"topscorewriting.instructure.com")</f>
        <v>0</v>
      </c>
      <c r="C525" s="49" t="str">
        <f>Users!A525</f>
        <v>UID-FLH---2027</v>
      </c>
      <c r="D525" s="49" t="s">
        <v>103</v>
      </c>
      <c r="G525" s="49" t="b">
        <f>IF(Educator!B530&gt;0,"active")</f>
        <v>0</v>
      </c>
    </row>
    <row r="526" spans="1:7" x14ac:dyDescent="0.2">
      <c r="A5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","#",3))+1,1)&amp;"-"&amp;LEFT(Educator!B531, 3)&amp;"-"&amp;LEFT(Educator!A531, 3)&amp;"-"&amp;IF(ISNUMBER(Educator!D531),"G"&amp;Educator!D531,Educator!D531)&amp;"-"&amp;"2027"</f>
        <v>CID-FLH----2027</v>
      </c>
      <c r="B526" s="49" t="b">
        <f>IF(Educator!A531&gt;0,"topscorewriting.instructure.com")</f>
        <v>0</v>
      </c>
      <c r="C526" s="49" t="str">
        <f>Users!A526</f>
        <v>UID-FLH---2027</v>
      </c>
      <c r="D526" s="49" t="s">
        <v>103</v>
      </c>
      <c r="G526" s="49" t="b">
        <f>IF(Educator!B531&gt;0,"active")</f>
        <v>0</v>
      </c>
    </row>
    <row r="527" spans="1:7" x14ac:dyDescent="0.2">
      <c r="A5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","#",3))+1,1)&amp;"-"&amp;LEFT(Educator!B532, 3)&amp;"-"&amp;LEFT(Educator!A532, 3)&amp;"-"&amp;IF(ISNUMBER(Educator!D532),"G"&amp;Educator!D532,Educator!D532)&amp;"-"&amp;"2027"</f>
        <v>CID-FLH----2027</v>
      </c>
      <c r="B527" s="49" t="b">
        <f>IF(Educator!A532&gt;0,"topscorewriting.instructure.com")</f>
        <v>0</v>
      </c>
      <c r="C527" s="49" t="str">
        <f>Users!A527</f>
        <v>UID-FLH---2027</v>
      </c>
      <c r="D527" s="49" t="s">
        <v>103</v>
      </c>
      <c r="G527" s="49" t="b">
        <f>IF(Educator!B532&gt;0,"active")</f>
        <v>0</v>
      </c>
    </row>
    <row r="528" spans="1:7" x14ac:dyDescent="0.2">
      <c r="A5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","#",3))+1,1)&amp;"-"&amp;LEFT(Educator!B533, 3)&amp;"-"&amp;LEFT(Educator!A533, 3)&amp;"-"&amp;IF(ISNUMBER(Educator!D533),"G"&amp;Educator!D533,Educator!D533)&amp;"-"&amp;"2027"</f>
        <v>CID-FLH----2027</v>
      </c>
      <c r="B528" s="49" t="b">
        <f>IF(Educator!A533&gt;0,"topscorewriting.instructure.com")</f>
        <v>0</v>
      </c>
      <c r="C528" s="49" t="str">
        <f>Users!A528</f>
        <v>UID-FLH---2027</v>
      </c>
      <c r="D528" s="49" t="s">
        <v>103</v>
      </c>
      <c r="G528" s="49" t="b">
        <f>IF(Educator!B533&gt;0,"active")</f>
        <v>0</v>
      </c>
    </row>
    <row r="529" spans="1:7" x14ac:dyDescent="0.2">
      <c r="A5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","#",3))+1,1)&amp;"-"&amp;LEFT(Educator!B534, 3)&amp;"-"&amp;LEFT(Educator!A534, 3)&amp;"-"&amp;IF(ISNUMBER(Educator!D534),"G"&amp;Educator!D534,Educator!D534)&amp;"-"&amp;"2027"</f>
        <v>CID-FLH----2027</v>
      </c>
      <c r="B529" s="49" t="b">
        <f>IF(Educator!A534&gt;0,"topscorewriting.instructure.com")</f>
        <v>0</v>
      </c>
      <c r="C529" s="49" t="str">
        <f>Users!A529</f>
        <v>UID-FLH---2027</v>
      </c>
      <c r="D529" s="49" t="s">
        <v>103</v>
      </c>
      <c r="G529" s="49" t="b">
        <f>IF(Educator!B534&gt;0,"active")</f>
        <v>0</v>
      </c>
    </row>
    <row r="530" spans="1:7" x14ac:dyDescent="0.2">
      <c r="A5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","#",3))+1,1)&amp;"-"&amp;LEFT(Educator!B535, 3)&amp;"-"&amp;LEFT(Educator!A535, 3)&amp;"-"&amp;IF(ISNUMBER(Educator!D535),"G"&amp;Educator!D535,Educator!D535)&amp;"-"&amp;"2027"</f>
        <v>CID-FLH----2027</v>
      </c>
      <c r="B530" s="49" t="b">
        <f>IF(Educator!A535&gt;0,"topscorewriting.instructure.com")</f>
        <v>0</v>
      </c>
      <c r="C530" s="49" t="str">
        <f>Users!A530</f>
        <v>UID-FLH---2027</v>
      </c>
      <c r="D530" s="49" t="s">
        <v>103</v>
      </c>
      <c r="G530" s="49" t="b">
        <f>IF(Educator!B535&gt;0,"active")</f>
        <v>0</v>
      </c>
    </row>
    <row r="531" spans="1:7" x14ac:dyDescent="0.2">
      <c r="A5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","#",3))+1,1)&amp;"-"&amp;LEFT(Educator!B536, 3)&amp;"-"&amp;LEFT(Educator!A536, 3)&amp;"-"&amp;IF(ISNUMBER(Educator!D536),"G"&amp;Educator!D536,Educator!D536)&amp;"-"&amp;"2027"</f>
        <v>CID-FLH----2027</v>
      </c>
      <c r="B531" s="49" t="b">
        <f>IF(Educator!A536&gt;0,"topscorewriting.instructure.com")</f>
        <v>0</v>
      </c>
      <c r="C531" s="49" t="str">
        <f>Users!A531</f>
        <v>UID-FLH---2027</v>
      </c>
      <c r="D531" s="49" t="s">
        <v>103</v>
      </c>
      <c r="G531" s="49" t="b">
        <f>IF(Educator!B536&gt;0,"active")</f>
        <v>0</v>
      </c>
    </row>
    <row r="532" spans="1:7" x14ac:dyDescent="0.2">
      <c r="A5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","#",3))+1,1)&amp;"-"&amp;LEFT(Educator!B537, 3)&amp;"-"&amp;LEFT(Educator!A537, 3)&amp;"-"&amp;IF(ISNUMBER(Educator!D537),"G"&amp;Educator!D537,Educator!D537)&amp;"-"&amp;"2027"</f>
        <v>CID-FLH----2027</v>
      </c>
      <c r="B532" s="49" t="b">
        <f>IF(Educator!A537&gt;0,"topscorewriting.instructure.com")</f>
        <v>0</v>
      </c>
      <c r="C532" s="49" t="str">
        <f>Users!A532</f>
        <v>UID-FLH---2027</v>
      </c>
      <c r="D532" s="49" t="s">
        <v>103</v>
      </c>
      <c r="G532" s="49" t="b">
        <f>IF(Educator!B537&gt;0,"active")</f>
        <v>0</v>
      </c>
    </row>
    <row r="533" spans="1:7" x14ac:dyDescent="0.2">
      <c r="A5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","#",3))+1,1)&amp;"-"&amp;LEFT(Educator!B538, 3)&amp;"-"&amp;LEFT(Educator!A538, 3)&amp;"-"&amp;IF(ISNUMBER(Educator!D538),"G"&amp;Educator!D538,Educator!D538)&amp;"-"&amp;"2027"</f>
        <v>CID-FLH----2027</v>
      </c>
      <c r="B533" s="49" t="b">
        <f>IF(Educator!A538&gt;0,"topscorewriting.instructure.com")</f>
        <v>0</v>
      </c>
      <c r="C533" s="49" t="str">
        <f>Users!A533</f>
        <v>UID-FLH---2027</v>
      </c>
      <c r="D533" s="49" t="s">
        <v>103</v>
      </c>
      <c r="G533" s="49" t="b">
        <f>IF(Educator!B538&gt;0,"active")</f>
        <v>0</v>
      </c>
    </row>
    <row r="534" spans="1:7" x14ac:dyDescent="0.2">
      <c r="A5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","#",3))+1,1)&amp;"-"&amp;LEFT(Educator!B539, 3)&amp;"-"&amp;LEFT(Educator!A539, 3)&amp;"-"&amp;IF(ISNUMBER(Educator!D539),"G"&amp;Educator!D539,Educator!D539)&amp;"-"&amp;"2027"</f>
        <v>CID-FLH----2027</v>
      </c>
      <c r="B534" s="49" t="b">
        <f>IF(Educator!A539&gt;0,"topscorewriting.instructure.com")</f>
        <v>0</v>
      </c>
      <c r="C534" s="49" t="str">
        <f>Users!A534</f>
        <v>UID-FLH---2027</v>
      </c>
      <c r="D534" s="49" t="s">
        <v>103</v>
      </c>
      <c r="G534" s="49" t="b">
        <f>IF(Educator!B539&gt;0,"active")</f>
        <v>0</v>
      </c>
    </row>
    <row r="535" spans="1:7" x14ac:dyDescent="0.2">
      <c r="A5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","#",3))+1,1)&amp;"-"&amp;LEFT(Educator!B540, 3)&amp;"-"&amp;LEFT(Educator!A540, 3)&amp;"-"&amp;IF(ISNUMBER(Educator!D540),"G"&amp;Educator!D540,Educator!D540)&amp;"-"&amp;"2027"</f>
        <v>CID-FLH----2027</v>
      </c>
      <c r="B535" s="49" t="b">
        <f>IF(Educator!A540&gt;0,"topscorewriting.instructure.com")</f>
        <v>0</v>
      </c>
      <c r="C535" s="49" t="str">
        <f>Users!A535</f>
        <v>UID-FLH---2027</v>
      </c>
      <c r="D535" s="49" t="s">
        <v>103</v>
      </c>
      <c r="G535" s="49" t="b">
        <f>IF(Educator!B540&gt;0,"active")</f>
        <v>0</v>
      </c>
    </row>
    <row r="536" spans="1:7" x14ac:dyDescent="0.2">
      <c r="A5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","#",3))+1,1)&amp;"-"&amp;LEFT(Educator!B541, 3)&amp;"-"&amp;LEFT(Educator!A541, 3)&amp;"-"&amp;IF(ISNUMBER(Educator!D541),"G"&amp;Educator!D541,Educator!D541)&amp;"-"&amp;"2027"</f>
        <v>CID-FLH----2027</v>
      </c>
      <c r="B536" s="49" t="b">
        <f>IF(Educator!A541&gt;0,"topscorewriting.instructure.com")</f>
        <v>0</v>
      </c>
      <c r="C536" s="49" t="str">
        <f>Users!A536</f>
        <v>UID-FLH---2027</v>
      </c>
      <c r="D536" s="49" t="s">
        <v>103</v>
      </c>
      <c r="G536" s="49" t="b">
        <f>IF(Educator!B541&gt;0,"active")</f>
        <v>0</v>
      </c>
    </row>
    <row r="537" spans="1:7" x14ac:dyDescent="0.2">
      <c r="A5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","#",3))+1,1)&amp;"-"&amp;LEFT(Educator!B542, 3)&amp;"-"&amp;LEFT(Educator!A542, 3)&amp;"-"&amp;IF(ISNUMBER(Educator!D542),"G"&amp;Educator!D542,Educator!D542)&amp;"-"&amp;"2027"</f>
        <v>CID-FLH----2027</v>
      </c>
      <c r="B537" s="49" t="b">
        <f>IF(Educator!A542&gt;0,"topscorewriting.instructure.com")</f>
        <v>0</v>
      </c>
      <c r="C537" s="49" t="str">
        <f>Users!A537</f>
        <v>UID-FLH---2027</v>
      </c>
      <c r="D537" s="49" t="s">
        <v>103</v>
      </c>
      <c r="G537" s="49" t="b">
        <f>IF(Educator!B542&gt;0,"active")</f>
        <v>0</v>
      </c>
    </row>
    <row r="538" spans="1:7" x14ac:dyDescent="0.2">
      <c r="A5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","#",3))+1,1)&amp;"-"&amp;LEFT(Educator!B543, 3)&amp;"-"&amp;LEFT(Educator!A543, 3)&amp;"-"&amp;IF(ISNUMBER(Educator!D543),"G"&amp;Educator!D543,Educator!D543)&amp;"-"&amp;"2027"</f>
        <v>CID-FLH----2027</v>
      </c>
      <c r="B538" s="49" t="b">
        <f>IF(Educator!A543&gt;0,"topscorewriting.instructure.com")</f>
        <v>0</v>
      </c>
      <c r="C538" s="49" t="str">
        <f>Users!A538</f>
        <v>UID-FLH---2027</v>
      </c>
      <c r="D538" s="49" t="s">
        <v>103</v>
      </c>
      <c r="G538" s="49" t="b">
        <f>IF(Educator!B543&gt;0,"active")</f>
        <v>0</v>
      </c>
    </row>
    <row r="539" spans="1:7" x14ac:dyDescent="0.2">
      <c r="A5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","#",3))+1,1)&amp;"-"&amp;LEFT(Educator!B544, 3)&amp;"-"&amp;LEFT(Educator!A544, 3)&amp;"-"&amp;IF(ISNUMBER(Educator!D544),"G"&amp;Educator!D544,Educator!D544)&amp;"-"&amp;"2027"</f>
        <v>CID-FLH----2027</v>
      </c>
      <c r="B539" s="49" t="b">
        <f>IF(Educator!A544&gt;0,"topscorewriting.instructure.com")</f>
        <v>0</v>
      </c>
      <c r="C539" s="49" t="str">
        <f>Users!A539</f>
        <v>UID-FLH---2027</v>
      </c>
      <c r="D539" s="49" t="s">
        <v>103</v>
      </c>
      <c r="G539" s="49" t="b">
        <f>IF(Educator!B544&gt;0,"active")</f>
        <v>0</v>
      </c>
    </row>
    <row r="540" spans="1:7" x14ac:dyDescent="0.2">
      <c r="A5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","#",3))+1,1)&amp;"-"&amp;LEFT(Educator!B545, 3)&amp;"-"&amp;LEFT(Educator!A545, 3)&amp;"-"&amp;IF(ISNUMBER(Educator!D545),"G"&amp;Educator!D545,Educator!D545)&amp;"-"&amp;"2027"</f>
        <v>CID-FLH----2027</v>
      </c>
      <c r="B540" s="49" t="b">
        <f>IF(Educator!A545&gt;0,"topscorewriting.instructure.com")</f>
        <v>0</v>
      </c>
      <c r="C540" s="49" t="str">
        <f>Users!A540</f>
        <v>UID-FLH---2027</v>
      </c>
      <c r="D540" s="49" t="s">
        <v>103</v>
      </c>
      <c r="G540" s="49" t="b">
        <f>IF(Educator!B545&gt;0,"active")</f>
        <v>0</v>
      </c>
    </row>
    <row r="541" spans="1:7" x14ac:dyDescent="0.2">
      <c r="A5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","#",3))+1,1)&amp;"-"&amp;LEFT(Educator!B546, 3)&amp;"-"&amp;LEFT(Educator!A546, 3)&amp;"-"&amp;IF(ISNUMBER(Educator!D546),"G"&amp;Educator!D546,Educator!D546)&amp;"-"&amp;"2027"</f>
        <v>CID-FLH----2027</v>
      </c>
      <c r="B541" s="49" t="b">
        <f>IF(Educator!A546&gt;0,"topscorewriting.instructure.com")</f>
        <v>0</v>
      </c>
      <c r="C541" s="49" t="str">
        <f>Users!A541</f>
        <v>UID-FLH---2027</v>
      </c>
      <c r="D541" s="49" t="s">
        <v>103</v>
      </c>
      <c r="G541" s="49" t="b">
        <f>IF(Educator!B546&gt;0,"active")</f>
        <v>0</v>
      </c>
    </row>
    <row r="542" spans="1:7" x14ac:dyDescent="0.2">
      <c r="A5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","#",3))+1,1)&amp;"-"&amp;LEFT(Educator!B547, 3)&amp;"-"&amp;LEFT(Educator!A547, 3)&amp;"-"&amp;IF(ISNUMBER(Educator!D547),"G"&amp;Educator!D547,Educator!D547)&amp;"-"&amp;"2027"</f>
        <v>CID-FLH----2027</v>
      </c>
      <c r="B542" s="49" t="b">
        <f>IF(Educator!A547&gt;0,"topscorewriting.instructure.com")</f>
        <v>0</v>
      </c>
      <c r="C542" s="49" t="str">
        <f>Users!A542</f>
        <v>UID-FLH---2027</v>
      </c>
      <c r="D542" s="49" t="s">
        <v>103</v>
      </c>
      <c r="G542" s="49" t="b">
        <f>IF(Educator!B547&gt;0,"active")</f>
        <v>0</v>
      </c>
    </row>
    <row r="543" spans="1:7" x14ac:dyDescent="0.2">
      <c r="A5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","#",3))+1,1)&amp;"-"&amp;LEFT(Educator!B548, 3)&amp;"-"&amp;LEFT(Educator!A548, 3)&amp;"-"&amp;IF(ISNUMBER(Educator!D548),"G"&amp;Educator!D548,Educator!D548)&amp;"-"&amp;"2027"</f>
        <v>CID-FLH----2027</v>
      </c>
      <c r="B543" s="49" t="b">
        <f>IF(Educator!A548&gt;0,"topscorewriting.instructure.com")</f>
        <v>0</v>
      </c>
      <c r="C543" s="49" t="str">
        <f>Users!A543</f>
        <v>UID-FLH---2027</v>
      </c>
      <c r="D543" s="49" t="s">
        <v>103</v>
      </c>
      <c r="G543" s="49" t="b">
        <f>IF(Educator!B548&gt;0,"active")</f>
        <v>0</v>
      </c>
    </row>
    <row r="544" spans="1:7" x14ac:dyDescent="0.2">
      <c r="A5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","#",3))+1,1)&amp;"-"&amp;LEFT(Educator!B549, 3)&amp;"-"&amp;LEFT(Educator!A549, 3)&amp;"-"&amp;IF(ISNUMBER(Educator!D549),"G"&amp;Educator!D549,Educator!D549)&amp;"-"&amp;"2027"</f>
        <v>CID-FLH----2027</v>
      </c>
      <c r="B544" s="49" t="b">
        <f>IF(Educator!A549&gt;0,"topscorewriting.instructure.com")</f>
        <v>0</v>
      </c>
      <c r="C544" s="49" t="str">
        <f>Users!A544</f>
        <v>UID-FLH---2027</v>
      </c>
      <c r="D544" s="49" t="s">
        <v>103</v>
      </c>
      <c r="G544" s="49" t="b">
        <f>IF(Educator!B549&gt;0,"active")</f>
        <v>0</v>
      </c>
    </row>
    <row r="545" spans="1:7" x14ac:dyDescent="0.2">
      <c r="A5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","#",3))+1,1)&amp;"-"&amp;LEFT(Educator!B550, 3)&amp;"-"&amp;LEFT(Educator!A550, 3)&amp;"-"&amp;IF(ISNUMBER(Educator!D550),"G"&amp;Educator!D550,Educator!D550)&amp;"-"&amp;"2027"</f>
        <v>CID-FLH----2027</v>
      </c>
      <c r="B545" s="49" t="b">
        <f>IF(Educator!A550&gt;0,"topscorewriting.instructure.com")</f>
        <v>0</v>
      </c>
      <c r="C545" s="49" t="str">
        <f>Users!A545</f>
        <v>UID-FLH---2027</v>
      </c>
      <c r="D545" s="49" t="s">
        <v>103</v>
      </c>
      <c r="G545" s="49" t="b">
        <f>IF(Educator!B550&gt;0,"active")</f>
        <v>0</v>
      </c>
    </row>
    <row r="546" spans="1:7" x14ac:dyDescent="0.2">
      <c r="A5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","#",3))+1,1)&amp;"-"&amp;LEFT(Educator!B551, 3)&amp;"-"&amp;LEFT(Educator!A551, 3)&amp;"-"&amp;IF(ISNUMBER(Educator!D551),"G"&amp;Educator!D551,Educator!D551)&amp;"-"&amp;"2027"</f>
        <v>CID-FLH----2027</v>
      </c>
      <c r="B546" s="49" t="b">
        <f>IF(Educator!A551&gt;0,"topscorewriting.instructure.com")</f>
        <v>0</v>
      </c>
      <c r="C546" s="49" t="str">
        <f>Users!A546</f>
        <v>UID-FLH---2027</v>
      </c>
      <c r="D546" s="49" t="s">
        <v>103</v>
      </c>
      <c r="G546" s="49" t="b">
        <f>IF(Educator!B551&gt;0,"active")</f>
        <v>0</v>
      </c>
    </row>
    <row r="547" spans="1:7" x14ac:dyDescent="0.2">
      <c r="A5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","#",3))+1,1)&amp;"-"&amp;LEFT(Educator!B552, 3)&amp;"-"&amp;LEFT(Educator!A552, 3)&amp;"-"&amp;IF(ISNUMBER(Educator!D552),"G"&amp;Educator!D552,Educator!D552)&amp;"-"&amp;"2027"</f>
        <v>CID-FLH----2027</v>
      </c>
      <c r="B547" s="49" t="b">
        <f>IF(Educator!A552&gt;0,"topscorewriting.instructure.com")</f>
        <v>0</v>
      </c>
      <c r="C547" s="49" t="str">
        <f>Users!A547</f>
        <v>UID-FLH---2027</v>
      </c>
      <c r="D547" s="49" t="s">
        <v>103</v>
      </c>
      <c r="G547" s="49" t="b">
        <f>IF(Educator!B552&gt;0,"active")</f>
        <v>0</v>
      </c>
    </row>
    <row r="548" spans="1:7" x14ac:dyDescent="0.2">
      <c r="A5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","#",3))+1,1)&amp;"-"&amp;LEFT(Educator!B553, 3)&amp;"-"&amp;LEFT(Educator!A553, 3)&amp;"-"&amp;IF(ISNUMBER(Educator!D553),"G"&amp;Educator!D553,Educator!D553)&amp;"-"&amp;"2027"</f>
        <v>CID-FLH----2027</v>
      </c>
      <c r="B548" s="49" t="b">
        <f>IF(Educator!A553&gt;0,"topscorewriting.instructure.com")</f>
        <v>0</v>
      </c>
      <c r="C548" s="49" t="str">
        <f>Users!A548</f>
        <v>UID-FLH---2027</v>
      </c>
      <c r="D548" s="49" t="s">
        <v>103</v>
      </c>
      <c r="G548" s="49" t="b">
        <f>IF(Educator!B553&gt;0,"active")</f>
        <v>0</v>
      </c>
    </row>
    <row r="549" spans="1:7" x14ac:dyDescent="0.2">
      <c r="A5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","#",3))+1,1)&amp;"-"&amp;LEFT(Educator!B554, 3)&amp;"-"&amp;LEFT(Educator!A554, 3)&amp;"-"&amp;IF(ISNUMBER(Educator!D554),"G"&amp;Educator!D554,Educator!D554)&amp;"-"&amp;"2027"</f>
        <v>CID-FLH----2027</v>
      </c>
      <c r="B549" s="49" t="b">
        <f>IF(Educator!A554&gt;0,"topscorewriting.instructure.com")</f>
        <v>0</v>
      </c>
      <c r="C549" s="49" t="str">
        <f>Users!A549</f>
        <v>UID-FLH---2027</v>
      </c>
      <c r="D549" s="49" t="s">
        <v>103</v>
      </c>
      <c r="G549" s="49" t="b">
        <f>IF(Educator!B554&gt;0,"active")</f>
        <v>0</v>
      </c>
    </row>
    <row r="550" spans="1:7" x14ac:dyDescent="0.2">
      <c r="A55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","#",3))+1,1)&amp;"-"&amp;LEFT(Educator!B555, 3)&amp;"-"&amp;LEFT(Educator!A555, 3)&amp;"-"&amp;IF(ISNUMBER(Educator!D555),"G"&amp;Educator!D555,Educator!D555)&amp;"-"&amp;"2027"</f>
        <v>CID-FLH----2027</v>
      </c>
      <c r="B550" s="49" t="b">
        <f>IF(Educator!A555&gt;0,"topscorewriting.instructure.com")</f>
        <v>0</v>
      </c>
      <c r="C550" s="49" t="str">
        <f>Users!A550</f>
        <v>UID-FLH---2027</v>
      </c>
      <c r="D550" s="49" t="s">
        <v>103</v>
      </c>
      <c r="G550" s="49" t="b">
        <f>IF(Educator!B555&gt;0,"active")</f>
        <v>0</v>
      </c>
    </row>
    <row r="551" spans="1:7" x14ac:dyDescent="0.2">
      <c r="A55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","#",3))+1,1)&amp;"-"&amp;LEFT(Educator!B556, 3)&amp;"-"&amp;LEFT(Educator!A556, 3)&amp;"-"&amp;IF(ISNUMBER(Educator!D556),"G"&amp;Educator!D556,Educator!D556)&amp;"-"&amp;"2027"</f>
        <v>CID-FLH----2027</v>
      </c>
      <c r="B551" s="49" t="b">
        <f>IF(Educator!A556&gt;0,"topscorewriting.instructure.com")</f>
        <v>0</v>
      </c>
      <c r="C551" s="49" t="str">
        <f>Users!A551</f>
        <v>UID-FLH---2027</v>
      </c>
      <c r="D551" s="49" t="s">
        <v>103</v>
      </c>
      <c r="G551" s="49" t="b">
        <f>IF(Educator!B556&gt;0,"active")</f>
        <v>0</v>
      </c>
    </row>
    <row r="552" spans="1:7" x14ac:dyDescent="0.2">
      <c r="A55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","#",3))+1,1)&amp;"-"&amp;LEFT(Educator!B557, 3)&amp;"-"&amp;LEFT(Educator!A557, 3)&amp;"-"&amp;IF(ISNUMBER(Educator!D557),"G"&amp;Educator!D557,Educator!D557)&amp;"-"&amp;"2027"</f>
        <v>CID-FLH----2027</v>
      </c>
      <c r="B552" s="49" t="b">
        <f>IF(Educator!A557&gt;0,"topscorewriting.instructure.com")</f>
        <v>0</v>
      </c>
      <c r="C552" s="49" t="str">
        <f>Users!A552</f>
        <v>UID-FLH---2027</v>
      </c>
      <c r="D552" s="49" t="s">
        <v>103</v>
      </c>
      <c r="G552" s="49" t="b">
        <f>IF(Educator!B557&gt;0,"active")</f>
        <v>0</v>
      </c>
    </row>
    <row r="553" spans="1:7" x14ac:dyDescent="0.2">
      <c r="A55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","#",3))+1,1)&amp;"-"&amp;LEFT(Educator!B558, 3)&amp;"-"&amp;LEFT(Educator!A558, 3)&amp;"-"&amp;IF(ISNUMBER(Educator!D558),"G"&amp;Educator!D558,Educator!D558)&amp;"-"&amp;"2027"</f>
        <v>CID-FLH----2027</v>
      </c>
      <c r="B553" s="49" t="b">
        <f>IF(Educator!A558&gt;0,"topscorewriting.instructure.com")</f>
        <v>0</v>
      </c>
      <c r="C553" s="49" t="str">
        <f>Users!A553</f>
        <v>UID-FLH---2027</v>
      </c>
      <c r="D553" s="49" t="s">
        <v>103</v>
      </c>
      <c r="G553" s="49" t="b">
        <f>IF(Educator!B558&gt;0,"active")</f>
        <v>0</v>
      </c>
    </row>
    <row r="554" spans="1:7" x14ac:dyDescent="0.2">
      <c r="A55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","#",3))+1,1)&amp;"-"&amp;LEFT(Educator!B559, 3)&amp;"-"&amp;LEFT(Educator!A559, 3)&amp;"-"&amp;IF(ISNUMBER(Educator!D559),"G"&amp;Educator!D559,Educator!D559)&amp;"-"&amp;"2027"</f>
        <v>CID-FLH----2027</v>
      </c>
      <c r="B554" s="49" t="b">
        <f>IF(Educator!A559&gt;0,"topscorewriting.instructure.com")</f>
        <v>0</v>
      </c>
      <c r="C554" s="49" t="str">
        <f>Users!A554</f>
        <v>UID-FLH---2027</v>
      </c>
      <c r="D554" s="49" t="s">
        <v>103</v>
      </c>
      <c r="G554" s="49" t="b">
        <f>IF(Educator!B559&gt;0,"active")</f>
        <v>0</v>
      </c>
    </row>
    <row r="555" spans="1:7" x14ac:dyDescent="0.2">
      <c r="A55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","#",3))+1,1)&amp;"-"&amp;LEFT(Educator!B560, 3)&amp;"-"&amp;LEFT(Educator!A560, 3)&amp;"-"&amp;IF(ISNUMBER(Educator!D560),"G"&amp;Educator!D560,Educator!D560)&amp;"-"&amp;"2027"</f>
        <v>CID-FLH----2027</v>
      </c>
      <c r="B555" s="49" t="b">
        <f>IF(Educator!A560&gt;0,"topscorewriting.instructure.com")</f>
        <v>0</v>
      </c>
      <c r="C555" s="49" t="str">
        <f>Users!A555</f>
        <v>UID-FLH---2027</v>
      </c>
      <c r="D555" s="49" t="s">
        <v>103</v>
      </c>
      <c r="G555" s="49" t="b">
        <f>IF(Educator!B560&gt;0,"active")</f>
        <v>0</v>
      </c>
    </row>
    <row r="556" spans="1:7" x14ac:dyDescent="0.2">
      <c r="A55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","#",3))+1,1)&amp;"-"&amp;LEFT(Educator!B561, 3)&amp;"-"&amp;LEFT(Educator!A561, 3)&amp;"-"&amp;IF(ISNUMBER(Educator!D561),"G"&amp;Educator!D561,Educator!D561)&amp;"-"&amp;"2027"</f>
        <v>CID-FLH----2027</v>
      </c>
      <c r="B556" s="49" t="b">
        <f>IF(Educator!A561&gt;0,"topscorewriting.instructure.com")</f>
        <v>0</v>
      </c>
      <c r="C556" s="49" t="str">
        <f>Users!A556</f>
        <v>UID-FLH---2027</v>
      </c>
      <c r="D556" s="49" t="s">
        <v>103</v>
      </c>
      <c r="G556" s="49" t="b">
        <f>IF(Educator!B561&gt;0,"active")</f>
        <v>0</v>
      </c>
    </row>
    <row r="557" spans="1:7" x14ac:dyDescent="0.2">
      <c r="A55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","#",3))+1,1)&amp;"-"&amp;LEFT(Educator!B562, 3)&amp;"-"&amp;LEFT(Educator!A562, 3)&amp;"-"&amp;IF(ISNUMBER(Educator!D562),"G"&amp;Educator!D562,Educator!D562)&amp;"-"&amp;"2027"</f>
        <v>CID-FLH----2027</v>
      </c>
      <c r="B557" s="49" t="b">
        <f>IF(Educator!A562&gt;0,"topscorewriting.instructure.com")</f>
        <v>0</v>
      </c>
      <c r="C557" s="49" t="str">
        <f>Users!A557</f>
        <v>UID-FLH---2027</v>
      </c>
      <c r="D557" s="49" t="s">
        <v>103</v>
      </c>
      <c r="G557" s="49" t="b">
        <f>IF(Educator!B562&gt;0,"active")</f>
        <v>0</v>
      </c>
    </row>
    <row r="558" spans="1:7" x14ac:dyDescent="0.2">
      <c r="A55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","#",3))+1,1)&amp;"-"&amp;LEFT(Educator!B563, 3)&amp;"-"&amp;LEFT(Educator!A563, 3)&amp;"-"&amp;IF(ISNUMBER(Educator!D563),"G"&amp;Educator!D563,Educator!D563)&amp;"-"&amp;"2027"</f>
        <v>CID-FLH----2027</v>
      </c>
      <c r="B558" s="49" t="b">
        <f>IF(Educator!A563&gt;0,"topscorewriting.instructure.com")</f>
        <v>0</v>
      </c>
      <c r="C558" s="49" t="str">
        <f>Users!A558</f>
        <v>UID-FLH---2027</v>
      </c>
      <c r="D558" s="49" t="s">
        <v>103</v>
      </c>
      <c r="G558" s="49" t="b">
        <f>IF(Educator!B563&gt;0,"active")</f>
        <v>0</v>
      </c>
    </row>
    <row r="559" spans="1:7" x14ac:dyDescent="0.2">
      <c r="A55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","#",3))+1,1)&amp;"-"&amp;LEFT(Educator!B564, 3)&amp;"-"&amp;LEFT(Educator!A564, 3)&amp;"-"&amp;IF(ISNUMBER(Educator!D564),"G"&amp;Educator!D564,Educator!D564)&amp;"-"&amp;"2027"</f>
        <v>CID-FLH----2027</v>
      </c>
      <c r="B559" s="49" t="b">
        <f>IF(Educator!A564&gt;0,"topscorewriting.instructure.com")</f>
        <v>0</v>
      </c>
      <c r="C559" s="49" t="str">
        <f>Users!A559</f>
        <v>UID-FLH---2027</v>
      </c>
      <c r="D559" s="49" t="s">
        <v>103</v>
      </c>
      <c r="G559" s="49" t="b">
        <f>IF(Educator!B564&gt;0,"active")</f>
        <v>0</v>
      </c>
    </row>
    <row r="560" spans="1:7" x14ac:dyDescent="0.2">
      <c r="A56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","#",3))+1,1)&amp;"-"&amp;LEFT(Educator!B565, 3)&amp;"-"&amp;LEFT(Educator!A565, 3)&amp;"-"&amp;IF(ISNUMBER(Educator!D565),"G"&amp;Educator!D565,Educator!D565)&amp;"-"&amp;"2027"</f>
        <v>CID-FLH----2027</v>
      </c>
      <c r="B560" s="49" t="b">
        <f>IF(Educator!A565&gt;0,"topscorewriting.instructure.com")</f>
        <v>0</v>
      </c>
      <c r="C560" s="49" t="str">
        <f>Users!A560</f>
        <v>UID-FLH---2027</v>
      </c>
      <c r="D560" s="49" t="s">
        <v>103</v>
      </c>
      <c r="G560" s="49" t="b">
        <f>IF(Educator!B565&gt;0,"active")</f>
        <v>0</v>
      </c>
    </row>
    <row r="561" spans="1:7" x14ac:dyDescent="0.2">
      <c r="A56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","#",3))+1,1)&amp;"-"&amp;LEFT(Educator!B566, 3)&amp;"-"&amp;LEFT(Educator!A566, 3)&amp;"-"&amp;IF(ISNUMBER(Educator!D566),"G"&amp;Educator!D566,Educator!D566)&amp;"-"&amp;"2027"</f>
        <v>CID-FLH----2027</v>
      </c>
      <c r="B561" s="49" t="b">
        <f>IF(Educator!A566&gt;0,"topscorewriting.instructure.com")</f>
        <v>0</v>
      </c>
      <c r="C561" s="49" t="str">
        <f>Users!A561</f>
        <v>UID-FLH---2027</v>
      </c>
      <c r="D561" s="49" t="s">
        <v>103</v>
      </c>
      <c r="G561" s="49" t="b">
        <f>IF(Educator!B566&gt;0,"active")</f>
        <v>0</v>
      </c>
    </row>
    <row r="562" spans="1:7" x14ac:dyDescent="0.2">
      <c r="A56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","#",3))+1,1)&amp;"-"&amp;LEFT(Educator!B567, 3)&amp;"-"&amp;LEFT(Educator!A567, 3)&amp;"-"&amp;IF(ISNUMBER(Educator!D567),"G"&amp;Educator!D567,Educator!D567)&amp;"-"&amp;"2027"</f>
        <v>CID-FLH----2027</v>
      </c>
      <c r="B562" s="49" t="b">
        <f>IF(Educator!A567&gt;0,"topscorewriting.instructure.com")</f>
        <v>0</v>
      </c>
      <c r="C562" s="49" t="str">
        <f>Users!A562</f>
        <v>UID-FLH---2027</v>
      </c>
      <c r="D562" s="49" t="s">
        <v>103</v>
      </c>
      <c r="G562" s="49" t="b">
        <f>IF(Educator!B567&gt;0,"active")</f>
        <v>0</v>
      </c>
    </row>
    <row r="563" spans="1:7" x14ac:dyDescent="0.2">
      <c r="A56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","#",3))+1,1)&amp;"-"&amp;LEFT(Educator!B568, 3)&amp;"-"&amp;LEFT(Educator!A568, 3)&amp;"-"&amp;IF(ISNUMBER(Educator!D568),"G"&amp;Educator!D568,Educator!D568)&amp;"-"&amp;"2027"</f>
        <v>CID-FLH----2027</v>
      </c>
      <c r="B563" s="49" t="b">
        <f>IF(Educator!A568&gt;0,"topscorewriting.instructure.com")</f>
        <v>0</v>
      </c>
      <c r="C563" s="49" t="str">
        <f>Users!A563</f>
        <v>UID-FLH---2027</v>
      </c>
      <c r="D563" s="49" t="s">
        <v>103</v>
      </c>
      <c r="G563" s="49" t="b">
        <f>IF(Educator!B568&gt;0,"active")</f>
        <v>0</v>
      </c>
    </row>
    <row r="564" spans="1:7" x14ac:dyDescent="0.2">
      <c r="A56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","#",3))+1,1)&amp;"-"&amp;LEFT(Educator!B569, 3)&amp;"-"&amp;LEFT(Educator!A569, 3)&amp;"-"&amp;IF(ISNUMBER(Educator!D569),"G"&amp;Educator!D569,Educator!D569)&amp;"-"&amp;"2027"</f>
        <v>CID-FLH----2027</v>
      </c>
      <c r="B564" s="49" t="b">
        <f>IF(Educator!A569&gt;0,"topscorewriting.instructure.com")</f>
        <v>0</v>
      </c>
      <c r="C564" s="49" t="str">
        <f>Users!A564</f>
        <v>UID-FLH---2027</v>
      </c>
      <c r="D564" s="49" t="s">
        <v>103</v>
      </c>
      <c r="G564" s="49" t="b">
        <f>IF(Educator!B569&gt;0,"active")</f>
        <v>0</v>
      </c>
    </row>
    <row r="565" spans="1:7" x14ac:dyDescent="0.2">
      <c r="A56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","#",3))+1,1)&amp;"-"&amp;LEFT(Educator!B570, 3)&amp;"-"&amp;LEFT(Educator!A570, 3)&amp;"-"&amp;IF(ISNUMBER(Educator!D570),"G"&amp;Educator!D570,Educator!D570)&amp;"-"&amp;"2027"</f>
        <v>CID-FLH----2027</v>
      </c>
      <c r="B565" s="49" t="b">
        <f>IF(Educator!A570&gt;0,"topscorewriting.instructure.com")</f>
        <v>0</v>
      </c>
      <c r="C565" s="49" t="str">
        <f>Users!A565</f>
        <v>UID-FLH---2027</v>
      </c>
      <c r="D565" s="49" t="s">
        <v>103</v>
      </c>
      <c r="G565" s="49" t="b">
        <f>IF(Educator!B570&gt;0,"active")</f>
        <v>0</v>
      </c>
    </row>
    <row r="566" spans="1:7" x14ac:dyDescent="0.2">
      <c r="A56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","#",3))+1,1)&amp;"-"&amp;LEFT(Educator!B571, 3)&amp;"-"&amp;LEFT(Educator!A571, 3)&amp;"-"&amp;IF(ISNUMBER(Educator!D571),"G"&amp;Educator!D571,Educator!D571)&amp;"-"&amp;"2027"</f>
        <v>CID-FLH----2027</v>
      </c>
      <c r="B566" s="49" t="b">
        <f>IF(Educator!A571&gt;0,"topscorewriting.instructure.com")</f>
        <v>0</v>
      </c>
      <c r="C566" s="49" t="str">
        <f>Users!A566</f>
        <v>UID-FLH---2027</v>
      </c>
      <c r="D566" s="49" t="s">
        <v>103</v>
      </c>
      <c r="G566" s="49" t="b">
        <f>IF(Educator!B571&gt;0,"active")</f>
        <v>0</v>
      </c>
    </row>
    <row r="567" spans="1:7" x14ac:dyDescent="0.2">
      <c r="A56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","#",3))+1,1)&amp;"-"&amp;LEFT(Educator!B572, 3)&amp;"-"&amp;LEFT(Educator!A572, 3)&amp;"-"&amp;IF(ISNUMBER(Educator!D572),"G"&amp;Educator!D572,Educator!D572)&amp;"-"&amp;"2027"</f>
        <v>CID-FLH----2027</v>
      </c>
      <c r="B567" s="49" t="b">
        <f>IF(Educator!A572&gt;0,"topscorewriting.instructure.com")</f>
        <v>0</v>
      </c>
      <c r="C567" s="49" t="str">
        <f>Users!A567</f>
        <v>UID-FLH---2027</v>
      </c>
      <c r="D567" s="49" t="s">
        <v>103</v>
      </c>
      <c r="G567" s="49" t="b">
        <f>IF(Educator!B572&gt;0,"active")</f>
        <v>0</v>
      </c>
    </row>
    <row r="568" spans="1:7" x14ac:dyDescent="0.2">
      <c r="A56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","#",3))+1,1)&amp;"-"&amp;LEFT(Educator!B573, 3)&amp;"-"&amp;LEFT(Educator!A573, 3)&amp;"-"&amp;IF(ISNUMBER(Educator!D573),"G"&amp;Educator!D573,Educator!D573)&amp;"-"&amp;"2027"</f>
        <v>CID-FLH----2027</v>
      </c>
      <c r="B568" s="49" t="b">
        <f>IF(Educator!A573&gt;0,"topscorewriting.instructure.com")</f>
        <v>0</v>
      </c>
      <c r="C568" s="49" t="str">
        <f>Users!A568</f>
        <v>UID-FLH---2027</v>
      </c>
      <c r="D568" s="49" t="s">
        <v>103</v>
      </c>
      <c r="G568" s="49" t="b">
        <f>IF(Educator!B573&gt;0,"active")</f>
        <v>0</v>
      </c>
    </row>
    <row r="569" spans="1:7" x14ac:dyDescent="0.2">
      <c r="A56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","#",3))+1,1)&amp;"-"&amp;LEFT(Educator!B574, 3)&amp;"-"&amp;LEFT(Educator!A574, 3)&amp;"-"&amp;IF(ISNUMBER(Educator!D574),"G"&amp;Educator!D574,Educator!D574)&amp;"-"&amp;"2027"</f>
        <v>CID-FLH----2027</v>
      </c>
      <c r="B569" s="49" t="b">
        <f>IF(Educator!A574&gt;0,"topscorewriting.instructure.com")</f>
        <v>0</v>
      </c>
      <c r="C569" s="49" t="str">
        <f>Users!A569</f>
        <v>UID-FLH---2027</v>
      </c>
      <c r="D569" s="49" t="s">
        <v>103</v>
      </c>
      <c r="G569" s="49" t="b">
        <f>IF(Educator!B574&gt;0,"active")</f>
        <v>0</v>
      </c>
    </row>
    <row r="570" spans="1:7" x14ac:dyDescent="0.2">
      <c r="A57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","#",3))+1,1)&amp;"-"&amp;LEFT(Educator!B575, 3)&amp;"-"&amp;LEFT(Educator!A575, 3)&amp;"-"&amp;IF(ISNUMBER(Educator!D575),"G"&amp;Educator!D575,Educator!D575)&amp;"-"&amp;"2027"</f>
        <v>CID-FLH----2027</v>
      </c>
      <c r="B570" s="49" t="b">
        <f>IF(Educator!A575&gt;0,"topscorewriting.instructure.com")</f>
        <v>0</v>
      </c>
      <c r="C570" s="49" t="str">
        <f>Users!A570</f>
        <v>UID-FLH---2027</v>
      </c>
      <c r="D570" s="49" t="s">
        <v>103</v>
      </c>
      <c r="G570" s="49" t="b">
        <f>IF(Educator!B575&gt;0,"active")</f>
        <v>0</v>
      </c>
    </row>
    <row r="571" spans="1:7" x14ac:dyDescent="0.2">
      <c r="A57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","#",3))+1,1)&amp;"-"&amp;LEFT(Educator!B576, 3)&amp;"-"&amp;LEFT(Educator!A576, 3)&amp;"-"&amp;IF(ISNUMBER(Educator!D576),"G"&amp;Educator!D576,Educator!D576)&amp;"-"&amp;"2027"</f>
        <v>CID-FLH----2027</v>
      </c>
      <c r="B571" s="49" t="b">
        <f>IF(Educator!A576&gt;0,"topscorewriting.instructure.com")</f>
        <v>0</v>
      </c>
      <c r="C571" s="49" t="str">
        <f>Users!A571</f>
        <v>UID-FLH---2027</v>
      </c>
      <c r="D571" s="49" t="s">
        <v>103</v>
      </c>
      <c r="G571" s="49" t="b">
        <f>IF(Educator!B576&gt;0,"active")</f>
        <v>0</v>
      </c>
    </row>
    <row r="572" spans="1:7" x14ac:dyDescent="0.2">
      <c r="A57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","#",3))+1,1)&amp;"-"&amp;LEFT(Educator!B577, 3)&amp;"-"&amp;LEFT(Educator!A577, 3)&amp;"-"&amp;IF(ISNUMBER(Educator!D577),"G"&amp;Educator!D577,Educator!D577)&amp;"-"&amp;"2027"</f>
        <v>CID-FLH----2027</v>
      </c>
      <c r="B572" s="49" t="b">
        <f>IF(Educator!A577&gt;0,"topscorewriting.instructure.com")</f>
        <v>0</v>
      </c>
      <c r="C572" s="49" t="str">
        <f>Users!A572</f>
        <v>UID-FLH---2027</v>
      </c>
      <c r="D572" s="49" t="s">
        <v>103</v>
      </c>
      <c r="G572" s="49" t="b">
        <f>IF(Educator!B577&gt;0,"active")</f>
        <v>0</v>
      </c>
    </row>
    <row r="573" spans="1:7" x14ac:dyDescent="0.2">
      <c r="A57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","#",3))+1,1)&amp;"-"&amp;LEFT(Educator!B578, 3)&amp;"-"&amp;LEFT(Educator!A578, 3)&amp;"-"&amp;IF(ISNUMBER(Educator!D578),"G"&amp;Educator!D578,Educator!D578)&amp;"-"&amp;"2027"</f>
        <v>CID-FLH----2027</v>
      </c>
      <c r="B573" s="49" t="b">
        <f>IF(Educator!A578&gt;0,"topscorewriting.instructure.com")</f>
        <v>0</v>
      </c>
      <c r="C573" s="49" t="str">
        <f>Users!A573</f>
        <v>UID-FLH---2027</v>
      </c>
      <c r="D573" s="49" t="s">
        <v>103</v>
      </c>
      <c r="G573" s="49" t="b">
        <f>IF(Educator!B578&gt;0,"active")</f>
        <v>0</v>
      </c>
    </row>
    <row r="574" spans="1:7" x14ac:dyDescent="0.2">
      <c r="A57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","#",3))+1,1)&amp;"-"&amp;LEFT(Educator!B579, 3)&amp;"-"&amp;LEFT(Educator!A579, 3)&amp;"-"&amp;IF(ISNUMBER(Educator!D579),"G"&amp;Educator!D579,Educator!D579)&amp;"-"&amp;"2027"</f>
        <v>CID-FLH----2027</v>
      </c>
      <c r="B574" s="49" t="b">
        <f>IF(Educator!A579&gt;0,"topscorewriting.instructure.com")</f>
        <v>0</v>
      </c>
      <c r="C574" s="49" t="str">
        <f>Users!A574</f>
        <v>UID-FLH---2027</v>
      </c>
      <c r="D574" s="49" t="s">
        <v>103</v>
      </c>
      <c r="G574" s="49" t="b">
        <f>IF(Educator!B579&gt;0,"active")</f>
        <v>0</v>
      </c>
    </row>
    <row r="575" spans="1:7" x14ac:dyDescent="0.2">
      <c r="A57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","#",3))+1,1)&amp;"-"&amp;LEFT(Educator!B580, 3)&amp;"-"&amp;LEFT(Educator!A580, 3)&amp;"-"&amp;IF(ISNUMBER(Educator!D580),"G"&amp;Educator!D580,Educator!D580)&amp;"-"&amp;"2027"</f>
        <v>CID-FLH----2027</v>
      </c>
      <c r="B575" s="49" t="b">
        <f>IF(Educator!A580&gt;0,"topscorewriting.instructure.com")</f>
        <v>0</v>
      </c>
      <c r="C575" s="49" t="str">
        <f>Users!A575</f>
        <v>UID-FLH---2027</v>
      </c>
      <c r="D575" s="49" t="s">
        <v>103</v>
      </c>
      <c r="G575" s="49" t="b">
        <f>IF(Educator!B580&gt;0,"active")</f>
        <v>0</v>
      </c>
    </row>
    <row r="576" spans="1:7" x14ac:dyDescent="0.2">
      <c r="A57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","#",3))+1,1)&amp;"-"&amp;LEFT(Educator!B581, 3)&amp;"-"&amp;LEFT(Educator!A581, 3)&amp;"-"&amp;IF(ISNUMBER(Educator!D581),"G"&amp;Educator!D581,Educator!D581)&amp;"-"&amp;"2027"</f>
        <v>CID-FLH----2027</v>
      </c>
      <c r="B576" s="49" t="b">
        <f>IF(Educator!A581&gt;0,"topscorewriting.instructure.com")</f>
        <v>0</v>
      </c>
      <c r="C576" s="49" t="str">
        <f>Users!A576</f>
        <v>UID-FLH---2027</v>
      </c>
      <c r="D576" s="49" t="s">
        <v>103</v>
      </c>
      <c r="G576" s="49" t="b">
        <f>IF(Educator!B581&gt;0,"active")</f>
        <v>0</v>
      </c>
    </row>
    <row r="577" spans="1:7" x14ac:dyDescent="0.2">
      <c r="A57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","#",3))+1,1)&amp;"-"&amp;LEFT(Educator!B582, 3)&amp;"-"&amp;LEFT(Educator!A582, 3)&amp;"-"&amp;IF(ISNUMBER(Educator!D582),"G"&amp;Educator!D582,Educator!D582)&amp;"-"&amp;"2027"</f>
        <v>CID-FLH----2027</v>
      </c>
      <c r="B577" s="49" t="b">
        <f>IF(Educator!A582&gt;0,"topscorewriting.instructure.com")</f>
        <v>0</v>
      </c>
      <c r="C577" s="49" t="str">
        <f>Users!A577</f>
        <v>UID-FLH---2027</v>
      </c>
      <c r="D577" s="49" t="s">
        <v>103</v>
      </c>
      <c r="G577" s="49" t="b">
        <f>IF(Educator!B582&gt;0,"active")</f>
        <v>0</v>
      </c>
    </row>
    <row r="578" spans="1:7" x14ac:dyDescent="0.2">
      <c r="A57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","#",3))+1,1)&amp;"-"&amp;LEFT(Educator!B583, 3)&amp;"-"&amp;LEFT(Educator!A583, 3)&amp;"-"&amp;IF(ISNUMBER(Educator!D583),"G"&amp;Educator!D583,Educator!D583)&amp;"-"&amp;"2027"</f>
        <v>CID-FLH----2027</v>
      </c>
      <c r="B578" s="49" t="b">
        <f>IF(Educator!A583&gt;0,"topscorewriting.instructure.com")</f>
        <v>0</v>
      </c>
      <c r="C578" s="49" t="str">
        <f>Users!A578</f>
        <v>UID-FLH---2027</v>
      </c>
      <c r="D578" s="49" t="s">
        <v>103</v>
      </c>
      <c r="G578" s="49" t="b">
        <f>IF(Educator!B583&gt;0,"active")</f>
        <v>0</v>
      </c>
    </row>
    <row r="579" spans="1:7" x14ac:dyDescent="0.2">
      <c r="A57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","#",3))+1,1)&amp;"-"&amp;LEFT(Educator!B584, 3)&amp;"-"&amp;LEFT(Educator!A584, 3)&amp;"-"&amp;IF(ISNUMBER(Educator!D584),"G"&amp;Educator!D584,Educator!D584)&amp;"-"&amp;"2027"</f>
        <v>CID-FLH----2027</v>
      </c>
      <c r="B579" s="49" t="b">
        <f>IF(Educator!A584&gt;0,"topscorewriting.instructure.com")</f>
        <v>0</v>
      </c>
      <c r="C579" s="49" t="str">
        <f>Users!A579</f>
        <v>UID-FLH---2027</v>
      </c>
      <c r="D579" s="49" t="s">
        <v>103</v>
      </c>
      <c r="G579" s="49" t="b">
        <f>IF(Educator!B584&gt;0,"active")</f>
        <v>0</v>
      </c>
    </row>
    <row r="580" spans="1:7" x14ac:dyDescent="0.2">
      <c r="A58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","#",3))+1,1)&amp;"-"&amp;LEFT(Educator!B585, 3)&amp;"-"&amp;LEFT(Educator!A585, 3)&amp;"-"&amp;IF(ISNUMBER(Educator!D585),"G"&amp;Educator!D585,Educator!D585)&amp;"-"&amp;"2027"</f>
        <v>CID-FLH----2027</v>
      </c>
      <c r="B580" s="49" t="b">
        <f>IF(Educator!A585&gt;0,"topscorewriting.instructure.com")</f>
        <v>0</v>
      </c>
      <c r="C580" s="49" t="str">
        <f>Users!A580</f>
        <v>UID-FLH---2027</v>
      </c>
      <c r="D580" s="49" t="s">
        <v>103</v>
      </c>
      <c r="G580" s="49" t="b">
        <f>IF(Educator!B585&gt;0,"active")</f>
        <v>0</v>
      </c>
    </row>
    <row r="581" spans="1:7" x14ac:dyDescent="0.2">
      <c r="A58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","#",3))+1,1)&amp;"-"&amp;LEFT(Educator!B586, 3)&amp;"-"&amp;LEFT(Educator!A586, 3)&amp;"-"&amp;IF(ISNUMBER(Educator!D586),"G"&amp;Educator!D586,Educator!D586)&amp;"-"&amp;"2027"</f>
        <v>CID-FLH----2027</v>
      </c>
      <c r="B581" s="49" t="b">
        <f>IF(Educator!A586&gt;0,"topscorewriting.instructure.com")</f>
        <v>0</v>
      </c>
      <c r="C581" s="49" t="str">
        <f>Users!A581</f>
        <v>UID-FLH---2027</v>
      </c>
      <c r="D581" s="49" t="s">
        <v>103</v>
      </c>
      <c r="G581" s="49" t="b">
        <f>IF(Educator!B586&gt;0,"active")</f>
        <v>0</v>
      </c>
    </row>
    <row r="582" spans="1:7" x14ac:dyDescent="0.2">
      <c r="A58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","#",3))+1,1)&amp;"-"&amp;LEFT(Educator!B587, 3)&amp;"-"&amp;LEFT(Educator!A587, 3)&amp;"-"&amp;IF(ISNUMBER(Educator!D587),"G"&amp;Educator!D587,Educator!D587)&amp;"-"&amp;"2027"</f>
        <v>CID-FLH----2027</v>
      </c>
      <c r="B582" s="49" t="b">
        <f>IF(Educator!A587&gt;0,"topscorewriting.instructure.com")</f>
        <v>0</v>
      </c>
      <c r="C582" s="49" t="str">
        <f>Users!A582</f>
        <v>UID-FLH---2027</v>
      </c>
      <c r="D582" s="49" t="s">
        <v>103</v>
      </c>
      <c r="G582" s="49" t="b">
        <f>IF(Educator!B587&gt;0,"active")</f>
        <v>0</v>
      </c>
    </row>
    <row r="583" spans="1:7" x14ac:dyDescent="0.2">
      <c r="A58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","#",3))+1,1)&amp;"-"&amp;LEFT(Educator!B588, 3)&amp;"-"&amp;LEFT(Educator!A588, 3)&amp;"-"&amp;IF(ISNUMBER(Educator!D588),"G"&amp;Educator!D588,Educator!D588)&amp;"-"&amp;"2027"</f>
        <v>CID-FLH----2027</v>
      </c>
      <c r="B583" s="49" t="b">
        <f>IF(Educator!A588&gt;0,"topscorewriting.instructure.com")</f>
        <v>0</v>
      </c>
      <c r="C583" s="49" t="str">
        <f>Users!A583</f>
        <v>UID-FLH---2027</v>
      </c>
      <c r="D583" s="49" t="s">
        <v>103</v>
      </c>
      <c r="G583" s="49" t="b">
        <f>IF(Educator!B588&gt;0,"active")</f>
        <v>0</v>
      </c>
    </row>
    <row r="584" spans="1:7" x14ac:dyDescent="0.2">
      <c r="A58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","#",3))+1,1)&amp;"-"&amp;LEFT(Educator!B589, 3)&amp;"-"&amp;LEFT(Educator!A589, 3)&amp;"-"&amp;IF(ISNUMBER(Educator!D589),"G"&amp;Educator!D589,Educator!D589)&amp;"-"&amp;"2027"</f>
        <v>CID-FLH----2027</v>
      </c>
      <c r="B584" s="49" t="b">
        <f>IF(Educator!A589&gt;0,"topscorewriting.instructure.com")</f>
        <v>0</v>
      </c>
      <c r="C584" s="49" t="str">
        <f>Users!A584</f>
        <v>UID-FLH---2027</v>
      </c>
      <c r="D584" s="49" t="s">
        <v>103</v>
      </c>
      <c r="G584" s="49" t="b">
        <f>IF(Educator!B589&gt;0,"active")</f>
        <v>0</v>
      </c>
    </row>
    <row r="585" spans="1:7" x14ac:dyDescent="0.2">
      <c r="A58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","#",3))+1,1)&amp;"-"&amp;LEFT(Educator!B590, 3)&amp;"-"&amp;LEFT(Educator!A590, 3)&amp;"-"&amp;IF(ISNUMBER(Educator!D590),"G"&amp;Educator!D590,Educator!D590)&amp;"-"&amp;"2027"</f>
        <v>CID-FLH----2027</v>
      </c>
      <c r="B585" s="49" t="b">
        <f>IF(Educator!A590&gt;0,"topscorewriting.instructure.com")</f>
        <v>0</v>
      </c>
      <c r="C585" s="49" t="str">
        <f>Users!A585</f>
        <v>UID-FLH---2027</v>
      </c>
      <c r="D585" s="49" t="s">
        <v>103</v>
      </c>
      <c r="G585" s="49" t="b">
        <f>IF(Educator!B590&gt;0,"active")</f>
        <v>0</v>
      </c>
    </row>
    <row r="586" spans="1:7" x14ac:dyDescent="0.2">
      <c r="A58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","#",3))+1,1)&amp;"-"&amp;LEFT(Educator!B591, 3)&amp;"-"&amp;LEFT(Educator!A591, 3)&amp;"-"&amp;IF(ISNUMBER(Educator!D591),"G"&amp;Educator!D591,Educator!D591)&amp;"-"&amp;"2027"</f>
        <v>CID-FLH----2027</v>
      </c>
      <c r="B586" s="49" t="b">
        <f>IF(Educator!A591&gt;0,"topscorewriting.instructure.com")</f>
        <v>0</v>
      </c>
      <c r="C586" s="49" t="str">
        <f>Users!A586</f>
        <v>UID-FLH---2027</v>
      </c>
      <c r="D586" s="49" t="s">
        <v>103</v>
      </c>
      <c r="G586" s="49" t="b">
        <f>IF(Educator!B591&gt;0,"active")</f>
        <v>0</v>
      </c>
    </row>
    <row r="587" spans="1:7" x14ac:dyDescent="0.2">
      <c r="A58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","#",3))+1,1)&amp;"-"&amp;LEFT(Educator!B592, 3)&amp;"-"&amp;LEFT(Educator!A592, 3)&amp;"-"&amp;IF(ISNUMBER(Educator!D592),"G"&amp;Educator!D592,Educator!D592)&amp;"-"&amp;"2027"</f>
        <v>CID-FLH----2027</v>
      </c>
      <c r="B587" s="49" t="b">
        <f>IF(Educator!A592&gt;0,"topscorewriting.instructure.com")</f>
        <v>0</v>
      </c>
      <c r="C587" s="49" t="str">
        <f>Users!A587</f>
        <v>UID-FLH---2027</v>
      </c>
      <c r="D587" s="49" t="s">
        <v>103</v>
      </c>
      <c r="G587" s="49" t="b">
        <f>IF(Educator!B592&gt;0,"active")</f>
        <v>0</v>
      </c>
    </row>
    <row r="588" spans="1:7" x14ac:dyDescent="0.2">
      <c r="A58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","#",3))+1,1)&amp;"-"&amp;LEFT(Educator!B593, 3)&amp;"-"&amp;LEFT(Educator!A593, 3)&amp;"-"&amp;IF(ISNUMBER(Educator!D593),"G"&amp;Educator!D593,Educator!D593)&amp;"-"&amp;"2027"</f>
        <v>CID-FLH----2027</v>
      </c>
      <c r="B588" s="49" t="b">
        <f>IF(Educator!A593&gt;0,"topscorewriting.instructure.com")</f>
        <v>0</v>
      </c>
      <c r="C588" s="49" t="str">
        <f>Users!A588</f>
        <v>UID-FLH---2027</v>
      </c>
      <c r="D588" s="49" t="s">
        <v>103</v>
      </c>
      <c r="G588" s="49" t="b">
        <f>IF(Educator!B593&gt;0,"active")</f>
        <v>0</v>
      </c>
    </row>
    <row r="589" spans="1:7" x14ac:dyDescent="0.2">
      <c r="A58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","#",3))+1,1)&amp;"-"&amp;LEFT(Educator!B594, 3)&amp;"-"&amp;LEFT(Educator!A594, 3)&amp;"-"&amp;IF(ISNUMBER(Educator!D594),"G"&amp;Educator!D594,Educator!D594)&amp;"-"&amp;"2027"</f>
        <v>CID-FLH----2027</v>
      </c>
      <c r="B589" s="49" t="b">
        <f>IF(Educator!A594&gt;0,"topscorewriting.instructure.com")</f>
        <v>0</v>
      </c>
      <c r="C589" s="49" t="str">
        <f>Users!A589</f>
        <v>UID-FLH---2027</v>
      </c>
      <c r="D589" s="49" t="s">
        <v>103</v>
      </c>
      <c r="G589" s="49" t="b">
        <f>IF(Educator!B594&gt;0,"active")</f>
        <v>0</v>
      </c>
    </row>
    <row r="590" spans="1:7" x14ac:dyDescent="0.2">
      <c r="A59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","#",3))+1,1)&amp;"-"&amp;LEFT(Educator!B595, 3)&amp;"-"&amp;LEFT(Educator!A595, 3)&amp;"-"&amp;IF(ISNUMBER(Educator!D595),"G"&amp;Educator!D595,Educator!D595)&amp;"-"&amp;"2027"</f>
        <v>CID-FLH----2027</v>
      </c>
      <c r="B590" s="49" t="b">
        <f>IF(Educator!A595&gt;0,"topscorewriting.instructure.com")</f>
        <v>0</v>
      </c>
      <c r="C590" s="49" t="str">
        <f>Users!A590</f>
        <v>UID-FLH---2027</v>
      </c>
      <c r="D590" s="49" t="s">
        <v>103</v>
      </c>
      <c r="G590" s="49" t="b">
        <f>IF(Educator!B595&gt;0,"active")</f>
        <v>0</v>
      </c>
    </row>
    <row r="591" spans="1:7" x14ac:dyDescent="0.2">
      <c r="A59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","#",3))+1,1)&amp;"-"&amp;LEFT(Educator!B596, 3)&amp;"-"&amp;LEFT(Educator!A596, 3)&amp;"-"&amp;IF(ISNUMBER(Educator!D596),"G"&amp;Educator!D596,Educator!D596)&amp;"-"&amp;"2027"</f>
        <v>CID-FLH----2027</v>
      </c>
      <c r="B591" s="49" t="b">
        <f>IF(Educator!A596&gt;0,"topscorewriting.instructure.com")</f>
        <v>0</v>
      </c>
      <c r="C591" s="49" t="str">
        <f>Users!A591</f>
        <v>UID-FLH---2027</v>
      </c>
      <c r="D591" s="49" t="s">
        <v>103</v>
      </c>
      <c r="G591" s="49" t="b">
        <f>IF(Educator!B596&gt;0,"active")</f>
        <v>0</v>
      </c>
    </row>
    <row r="592" spans="1:7" x14ac:dyDescent="0.2">
      <c r="A59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","#",3))+1,1)&amp;"-"&amp;LEFT(Educator!B597, 3)&amp;"-"&amp;LEFT(Educator!A597, 3)&amp;"-"&amp;IF(ISNUMBER(Educator!D597),"G"&amp;Educator!D597,Educator!D597)&amp;"-"&amp;"2027"</f>
        <v>CID-FLH----2027</v>
      </c>
      <c r="B592" s="49" t="b">
        <f>IF(Educator!A597&gt;0,"topscorewriting.instructure.com")</f>
        <v>0</v>
      </c>
      <c r="C592" s="49" t="str">
        <f>Users!A592</f>
        <v>UID-FLH---2027</v>
      </c>
      <c r="D592" s="49" t="s">
        <v>103</v>
      </c>
      <c r="G592" s="49" t="b">
        <f>IF(Educator!B597&gt;0,"active")</f>
        <v>0</v>
      </c>
    </row>
    <row r="593" spans="1:7" x14ac:dyDescent="0.2">
      <c r="A59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","#",3))+1,1)&amp;"-"&amp;LEFT(Educator!B598, 3)&amp;"-"&amp;LEFT(Educator!A598, 3)&amp;"-"&amp;IF(ISNUMBER(Educator!D598),"G"&amp;Educator!D598,Educator!D598)&amp;"-"&amp;"2027"</f>
        <v>CID-FLH----2027</v>
      </c>
      <c r="B593" s="49" t="b">
        <f>IF(Educator!A598&gt;0,"topscorewriting.instructure.com")</f>
        <v>0</v>
      </c>
      <c r="C593" s="49" t="str">
        <f>Users!A593</f>
        <v>UID-FLH---2027</v>
      </c>
      <c r="D593" s="49" t="s">
        <v>103</v>
      </c>
      <c r="G593" s="49" t="b">
        <f>IF(Educator!B598&gt;0,"active")</f>
        <v>0</v>
      </c>
    </row>
    <row r="594" spans="1:7" x14ac:dyDescent="0.2">
      <c r="A59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","#",3))+1,1)&amp;"-"&amp;LEFT(Educator!B599, 3)&amp;"-"&amp;LEFT(Educator!A599, 3)&amp;"-"&amp;IF(ISNUMBER(Educator!D599),"G"&amp;Educator!D599,Educator!D599)&amp;"-"&amp;"2027"</f>
        <v>CID-FLH----2027</v>
      </c>
      <c r="B594" s="49" t="b">
        <f>IF(Educator!A599&gt;0,"topscorewriting.instructure.com")</f>
        <v>0</v>
      </c>
      <c r="C594" s="49" t="str">
        <f>Users!A594</f>
        <v>UID-FLH---2027</v>
      </c>
      <c r="D594" s="49" t="s">
        <v>103</v>
      </c>
      <c r="G594" s="49" t="b">
        <f>IF(Educator!B599&gt;0,"active")</f>
        <v>0</v>
      </c>
    </row>
    <row r="595" spans="1:7" x14ac:dyDescent="0.2">
      <c r="A59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","#",3))+1,1)&amp;"-"&amp;LEFT(Educator!B600, 3)&amp;"-"&amp;LEFT(Educator!A600, 3)&amp;"-"&amp;IF(ISNUMBER(Educator!D600),"G"&amp;Educator!D600,Educator!D600)&amp;"-"&amp;"2027"</f>
        <v>CID-FLH----2027</v>
      </c>
      <c r="B595" s="49" t="b">
        <f>IF(Educator!A600&gt;0,"topscorewriting.instructure.com")</f>
        <v>0</v>
      </c>
      <c r="C595" s="49" t="str">
        <f>Users!A595</f>
        <v>UID-FLH---2027</v>
      </c>
      <c r="D595" s="49" t="s">
        <v>103</v>
      </c>
      <c r="G595" s="49" t="b">
        <f>IF(Educator!B600&gt;0,"active")</f>
        <v>0</v>
      </c>
    </row>
    <row r="596" spans="1:7" x14ac:dyDescent="0.2">
      <c r="A59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","#",3))+1,1)&amp;"-"&amp;LEFT(Educator!B601, 3)&amp;"-"&amp;LEFT(Educator!A601, 3)&amp;"-"&amp;IF(ISNUMBER(Educator!D601),"G"&amp;Educator!D601,Educator!D601)&amp;"-"&amp;"2027"</f>
        <v>CID-FLH----2027</v>
      </c>
      <c r="B596" s="49" t="b">
        <f>IF(Educator!A601&gt;0,"topscorewriting.instructure.com")</f>
        <v>0</v>
      </c>
      <c r="C596" s="49" t="str">
        <f>Users!A596</f>
        <v>UID-FLH---2027</v>
      </c>
      <c r="D596" s="49" t="s">
        <v>103</v>
      </c>
      <c r="G596" s="49" t="b">
        <f>IF(Educator!B601&gt;0,"active")</f>
        <v>0</v>
      </c>
    </row>
    <row r="597" spans="1:7" x14ac:dyDescent="0.2">
      <c r="A59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","#",3))+1,1)&amp;"-"&amp;LEFT(Educator!B602, 3)&amp;"-"&amp;LEFT(Educator!A602, 3)&amp;"-"&amp;IF(ISNUMBER(Educator!D602),"G"&amp;Educator!D602,Educator!D602)&amp;"-"&amp;"2027"</f>
        <v>CID-FLH----2027</v>
      </c>
      <c r="B597" s="49" t="b">
        <f>IF(Educator!A602&gt;0,"topscorewriting.instructure.com")</f>
        <v>0</v>
      </c>
      <c r="C597" s="49" t="str">
        <f>Users!A597</f>
        <v>UID-FLH---2027</v>
      </c>
      <c r="D597" s="49" t="s">
        <v>103</v>
      </c>
      <c r="G597" s="49" t="b">
        <f>IF(Educator!B602&gt;0,"active")</f>
        <v>0</v>
      </c>
    </row>
    <row r="598" spans="1:7" x14ac:dyDescent="0.2">
      <c r="A59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","#",3))+1,1)&amp;"-"&amp;LEFT(Educator!B603, 3)&amp;"-"&amp;LEFT(Educator!A603, 3)&amp;"-"&amp;IF(ISNUMBER(Educator!D603),"G"&amp;Educator!D603,Educator!D603)&amp;"-"&amp;"2027"</f>
        <v>CID-FLH----2027</v>
      </c>
      <c r="B598" s="49" t="b">
        <f>IF(Educator!A603&gt;0,"topscorewriting.instructure.com")</f>
        <v>0</v>
      </c>
      <c r="C598" s="49" t="str">
        <f>Users!A598</f>
        <v>UID-FLH---2027</v>
      </c>
      <c r="D598" s="49" t="s">
        <v>103</v>
      </c>
      <c r="G598" s="49" t="b">
        <f>IF(Educator!B603&gt;0,"active")</f>
        <v>0</v>
      </c>
    </row>
    <row r="599" spans="1:7" x14ac:dyDescent="0.2">
      <c r="A59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","#",3))+1,1)&amp;"-"&amp;LEFT(Educator!B604, 3)&amp;"-"&amp;LEFT(Educator!A604, 3)&amp;"-"&amp;IF(ISNUMBER(Educator!D604),"G"&amp;Educator!D604,Educator!D604)&amp;"-"&amp;"2027"</f>
        <v>CID-FLH----2027</v>
      </c>
      <c r="B599" s="49" t="b">
        <f>IF(Educator!A604&gt;0,"topscorewriting.instructure.com")</f>
        <v>0</v>
      </c>
      <c r="C599" s="49" t="str">
        <f>Users!A599</f>
        <v>UID-FLH---2027</v>
      </c>
      <c r="D599" s="49" t="s">
        <v>103</v>
      </c>
      <c r="G599" s="49" t="b">
        <f>IF(Educator!B604&gt;0,"active")</f>
        <v>0</v>
      </c>
    </row>
    <row r="600" spans="1:7" x14ac:dyDescent="0.2">
      <c r="A60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","#",3))+1,1)&amp;"-"&amp;LEFT(Educator!B605, 3)&amp;"-"&amp;LEFT(Educator!A605, 3)&amp;"-"&amp;IF(ISNUMBER(Educator!D605),"G"&amp;Educator!D605,Educator!D605)&amp;"-"&amp;"2027"</f>
        <v>CID-FLH----2027</v>
      </c>
      <c r="B600" s="49" t="b">
        <f>IF(Educator!A605&gt;0,"topscorewriting.instructure.com")</f>
        <v>0</v>
      </c>
      <c r="C600" s="49" t="str">
        <f>Users!A600</f>
        <v>UID-FLH---2027</v>
      </c>
      <c r="D600" s="49" t="s">
        <v>103</v>
      </c>
      <c r="G600" s="49" t="b">
        <f>IF(Educator!B605&gt;0,"active")</f>
        <v>0</v>
      </c>
    </row>
    <row r="601" spans="1:7" x14ac:dyDescent="0.2">
      <c r="A60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","#",3))+1,1)&amp;"-"&amp;LEFT(Educator!B606, 3)&amp;"-"&amp;LEFT(Educator!A606, 3)&amp;"-"&amp;IF(ISNUMBER(Educator!D606),"G"&amp;Educator!D606,Educator!D606)&amp;"-"&amp;"2027"</f>
        <v>CID-FLH----2027</v>
      </c>
      <c r="B601" s="49" t="b">
        <f>IF(Educator!A606&gt;0,"topscorewriting.instructure.com")</f>
        <v>0</v>
      </c>
      <c r="C601" s="49" t="str">
        <f>Users!A601</f>
        <v>UID-FLH---2027</v>
      </c>
      <c r="D601" s="49" t="s">
        <v>103</v>
      </c>
      <c r="G601" s="49" t="b">
        <f>IF(Educator!B606&gt;0,"active")</f>
        <v>0</v>
      </c>
    </row>
    <row r="602" spans="1:7" x14ac:dyDescent="0.2">
      <c r="A60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","#",3))+1,1)&amp;"-"&amp;LEFT(Educator!B607, 3)&amp;"-"&amp;LEFT(Educator!A607, 3)&amp;"-"&amp;IF(ISNUMBER(Educator!D607),"G"&amp;Educator!D607,Educator!D607)&amp;"-"&amp;"2027"</f>
        <v>CID-FLH----2027</v>
      </c>
      <c r="B602" s="49" t="b">
        <f>IF(Educator!A607&gt;0,"topscorewriting.instructure.com")</f>
        <v>0</v>
      </c>
      <c r="C602" s="49" t="str">
        <f>Users!A602</f>
        <v>UID-FLH---2027</v>
      </c>
      <c r="D602" s="49" t="s">
        <v>103</v>
      </c>
      <c r="G602" s="49" t="b">
        <f>IF(Educator!B607&gt;0,"active")</f>
        <v>0</v>
      </c>
    </row>
    <row r="603" spans="1:7" x14ac:dyDescent="0.2">
      <c r="A60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","#",3))+1,1)&amp;"-"&amp;LEFT(Educator!B608, 3)&amp;"-"&amp;LEFT(Educator!A608, 3)&amp;"-"&amp;IF(ISNUMBER(Educator!D608),"G"&amp;Educator!D608,Educator!D608)&amp;"-"&amp;"2027"</f>
        <v>CID-FLH----2027</v>
      </c>
      <c r="B603" s="49" t="b">
        <f>IF(Educator!A608&gt;0,"topscorewriting.instructure.com")</f>
        <v>0</v>
      </c>
      <c r="C603" s="49" t="str">
        <f>Users!A603</f>
        <v>UID-FLH---2027</v>
      </c>
      <c r="D603" s="49" t="s">
        <v>103</v>
      </c>
      <c r="G603" s="49" t="b">
        <f>IF(Educator!B608&gt;0,"active")</f>
        <v>0</v>
      </c>
    </row>
    <row r="604" spans="1:7" x14ac:dyDescent="0.2">
      <c r="A60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","#",3))+1,1)&amp;"-"&amp;LEFT(Educator!B609, 3)&amp;"-"&amp;LEFT(Educator!A609, 3)&amp;"-"&amp;IF(ISNUMBER(Educator!D609),"G"&amp;Educator!D609,Educator!D609)&amp;"-"&amp;"2027"</f>
        <v>CID-FLH----2027</v>
      </c>
      <c r="B604" s="49" t="b">
        <f>IF(Educator!A609&gt;0,"topscorewriting.instructure.com")</f>
        <v>0</v>
      </c>
      <c r="C604" s="49" t="str">
        <f>Users!A604</f>
        <v>UID-FLH---2027</v>
      </c>
      <c r="D604" s="49" t="s">
        <v>103</v>
      </c>
      <c r="G604" s="49" t="b">
        <f>IF(Educator!B609&gt;0,"active")</f>
        <v>0</v>
      </c>
    </row>
    <row r="605" spans="1:7" x14ac:dyDescent="0.2">
      <c r="A60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","#",3))+1,1)&amp;"-"&amp;LEFT(Educator!B610, 3)&amp;"-"&amp;LEFT(Educator!A610, 3)&amp;"-"&amp;IF(ISNUMBER(Educator!D610),"G"&amp;Educator!D610,Educator!D610)&amp;"-"&amp;"2027"</f>
        <v>CID-FLH----2027</v>
      </c>
      <c r="B605" s="49" t="b">
        <f>IF(Educator!A610&gt;0,"topscorewriting.instructure.com")</f>
        <v>0</v>
      </c>
      <c r="C605" s="49" t="str">
        <f>Users!A605</f>
        <v>UID-FLH---2027</v>
      </c>
      <c r="D605" s="49" t="s">
        <v>103</v>
      </c>
      <c r="G605" s="49" t="b">
        <f>IF(Educator!B610&gt;0,"active")</f>
        <v>0</v>
      </c>
    </row>
    <row r="606" spans="1:7" x14ac:dyDescent="0.2">
      <c r="A60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","#",3))+1,1)&amp;"-"&amp;LEFT(Educator!B611, 3)&amp;"-"&amp;LEFT(Educator!A611, 3)&amp;"-"&amp;IF(ISNUMBER(Educator!D611),"G"&amp;Educator!D611,Educator!D611)&amp;"-"&amp;"2027"</f>
        <v>CID-FLH----2027</v>
      </c>
      <c r="B606" s="49" t="b">
        <f>IF(Educator!A611&gt;0,"topscorewriting.instructure.com")</f>
        <v>0</v>
      </c>
      <c r="C606" s="49" t="str">
        <f>Users!A606</f>
        <v>UID-FLH---2027</v>
      </c>
      <c r="D606" s="49" t="s">
        <v>103</v>
      </c>
      <c r="G606" s="49" t="b">
        <f>IF(Educator!B611&gt;0,"active")</f>
        <v>0</v>
      </c>
    </row>
    <row r="607" spans="1:7" x14ac:dyDescent="0.2">
      <c r="A60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","#",3))+1,1)&amp;"-"&amp;LEFT(Educator!B612, 3)&amp;"-"&amp;LEFT(Educator!A612, 3)&amp;"-"&amp;IF(ISNUMBER(Educator!D612),"G"&amp;Educator!D612,Educator!D612)&amp;"-"&amp;"2027"</f>
        <v>CID-FLH----2027</v>
      </c>
      <c r="B607" s="49" t="b">
        <f>IF(Educator!A612&gt;0,"topscorewriting.instructure.com")</f>
        <v>0</v>
      </c>
      <c r="C607" s="49" t="str">
        <f>Users!A607</f>
        <v>UID-FLH---2027</v>
      </c>
      <c r="D607" s="49" t="s">
        <v>103</v>
      </c>
      <c r="G607" s="49" t="b">
        <f>IF(Educator!B612&gt;0,"active")</f>
        <v>0</v>
      </c>
    </row>
    <row r="608" spans="1:7" x14ac:dyDescent="0.2">
      <c r="A60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","#",3))+1,1)&amp;"-"&amp;LEFT(Educator!B613, 3)&amp;"-"&amp;LEFT(Educator!A613, 3)&amp;"-"&amp;IF(ISNUMBER(Educator!D613),"G"&amp;Educator!D613,Educator!D613)&amp;"-"&amp;"2027"</f>
        <v>CID-FLH----2027</v>
      </c>
      <c r="B608" s="49" t="b">
        <f>IF(Educator!A613&gt;0,"topscorewriting.instructure.com")</f>
        <v>0</v>
      </c>
      <c r="C608" s="49" t="str">
        <f>Users!A608</f>
        <v>UID-FLH---2027</v>
      </c>
      <c r="D608" s="49" t="s">
        <v>103</v>
      </c>
      <c r="G608" s="49" t="b">
        <f>IF(Educator!B613&gt;0,"active")</f>
        <v>0</v>
      </c>
    </row>
    <row r="609" spans="1:7" x14ac:dyDescent="0.2">
      <c r="A60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","#",3))+1,1)&amp;"-"&amp;LEFT(Educator!B614, 3)&amp;"-"&amp;LEFT(Educator!A614, 3)&amp;"-"&amp;IF(ISNUMBER(Educator!D614),"G"&amp;Educator!D614,Educator!D614)&amp;"-"&amp;"2027"</f>
        <v>CID-FLH----2027</v>
      </c>
      <c r="B609" s="49" t="b">
        <f>IF(Educator!A614&gt;0,"topscorewriting.instructure.com")</f>
        <v>0</v>
      </c>
      <c r="C609" s="49" t="str">
        <f>Users!A609</f>
        <v>UID-FLH---2027</v>
      </c>
      <c r="D609" s="49" t="s">
        <v>103</v>
      </c>
      <c r="G609" s="49" t="b">
        <f>IF(Educator!B614&gt;0,"active")</f>
        <v>0</v>
      </c>
    </row>
    <row r="610" spans="1:7" x14ac:dyDescent="0.2">
      <c r="A61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","#",3))+1,1)&amp;"-"&amp;LEFT(Educator!B615, 3)&amp;"-"&amp;LEFT(Educator!A615, 3)&amp;"-"&amp;IF(ISNUMBER(Educator!D615),"G"&amp;Educator!D615,Educator!D615)&amp;"-"&amp;"2027"</f>
        <v>CID-FLH----2027</v>
      </c>
      <c r="B610" s="49" t="b">
        <f>IF(Educator!A615&gt;0,"topscorewriting.instructure.com")</f>
        <v>0</v>
      </c>
      <c r="C610" s="49" t="str">
        <f>Users!A610</f>
        <v>UID-FLH---2027</v>
      </c>
      <c r="D610" s="49" t="s">
        <v>103</v>
      </c>
      <c r="G610" s="49" t="b">
        <f>IF(Educator!B615&gt;0,"active")</f>
        <v>0</v>
      </c>
    </row>
    <row r="611" spans="1:7" x14ac:dyDescent="0.2">
      <c r="A61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","#",3))+1,1)&amp;"-"&amp;LEFT(Educator!B616, 3)&amp;"-"&amp;LEFT(Educator!A616, 3)&amp;"-"&amp;IF(ISNUMBER(Educator!D616),"G"&amp;Educator!D616,Educator!D616)&amp;"-"&amp;"2027"</f>
        <v>CID-FLH----2027</v>
      </c>
      <c r="B611" s="49" t="b">
        <f>IF(Educator!A616&gt;0,"topscorewriting.instructure.com")</f>
        <v>0</v>
      </c>
      <c r="C611" s="49" t="str">
        <f>Users!A611</f>
        <v>UID-FLH---2027</v>
      </c>
      <c r="D611" s="49" t="s">
        <v>103</v>
      </c>
      <c r="G611" s="49" t="b">
        <f>IF(Educator!B616&gt;0,"active")</f>
        <v>0</v>
      </c>
    </row>
    <row r="612" spans="1:7" x14ac:dyDescent="0.2">
      <c r="A61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","#",3))+1,1)&amp;"-"&amp;LEFT(Educator!B617, 3)&amp;"-"&amp;LEFT(Educator!A617, 3)&amp;"-"&amp;IF(ISNUMBER(Educator!D617),"G"&amp;Educator!D617,Educator!D617)&amp;"-"&amp;"2027"</f>
        <v>CID-FLH----2027</v>
      </c>
      <c r="B612" s="49" t="b">
        <f>IF(Educator!A617&gt;0,"topscorewriting.instructure.com")</f>
        <v>0</v>
      </c>
      <c r="C612" s="49" t="str">
        <f>Users!A612</f>
        <v>UID-FLH---2027</v>
      </c>
      <c r="D612" s="49" t="s">
        <v>103</v>
      </c>
      <c r="G612" s="49" t="b">
        <f>IF(Educator!B617&gt;0,"active")</f>
        <v>0</v>
      </c>
    </row>
    <row r="613" spans="1:7" x14ac:dyDescent="0.2">
      <c r="A61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","#",3))+1,1)&amp;"-"&amp;LEFT(Educator!B618, 3)&amp;"-"&amp;LEFT(Educator!A618, 3)&amp;"-"&amp;IF(ISNUMBER(Educator!D618),"G"&amp;Educator!D618,Educator!D618)&amp;"-"&amp;"2027"</f>
        <v>CID-FLH----2027</v>
      </c>
      <c r="B613" s="49" t="b">
        <f>IF(Educator!A618&gt;0,"topscorewriting.instructure.com")</f>
        <v>0</v>
      </c>
      <c r="C613" s="49" t="str">
        <f>Users!A613</f>
        <v>UID-FLH---2027</v>
      </c>
      <c r="D613" s="49" t="s">
        <v>103</v>
      </c>
      <c r="G613" s="49" t="b">
        <f>IF(Educator!B618&gt;0,"active")</f>
        <v>0</v>
      </c>
    </row>
    <row r="614" spans="1:7" x14ac:dyDescent="0.2">
      <c r="A61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","#",3))+1,1)&amp;"-"&amp;LEFT(Educator!B619, 3)&amp;"-"&amp;LEFT(Educator!A619, 3)&amp;"-"&amp;IF(ISNUMBER(Educator!D619),"G"&amp;Educator!D619,Educator!D619)&amp;"-"&amp;"2027"</f>
        <v>CID-FLH----2027</v>
      </c>
      <c r="B614" s="49" t="b">
        <f>IF(Educator!A619&gt;0,"topscorewriting.instructure.com")</f>
        <v>0</v>
      </c>
      <c r="C614" s="49" t="str">
        <f>Users!A614</f>
        <v>UID-FLH---2027</v>
      </c>
      <c r="D614" s="49" t="s">
        <v>103</v>
      </c>
      <c r="G614" s="49" t="b">
        <f>IF(Educator!B619&gt;0,"active")</f>
        <v>0</v>
      </c>
    </row>
    <row r="615" spans="1:7" x14ac:dyDescent="0.2">
      <c r="A61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","#",3))+1,1)&amp;"-"&amp;LEFT(Educator!B620, 3)&amp;"-"&amp;LEFT(Educator!A620, 3)&amp;"-"&amp;IF(ISNUMBER(Educator!D620),"G"&amp;Educator!D620,Educator!D620)&amp;"-"&amp;"2027"</f>
        <v>CID-FLH----2027</v>
      </c>
      <c r="B615" s="49" t="b">
        <f>IF(Educator!A620&gt;0,"topscorewriting.instructure.com")</f>
        <v>0</v>
      </c>
      <c r="C615" s="49" t="str">
        <f>Users!A615</f>
        <v>UID-FLH---2027</v>
      </c>
      <c r="D615" s="49" t="s">
        <v>103</v>
      </c>
      <c r="G615" s="49" t="b">
        <f>IF(Educator!B620&gt;0,"active")</f>
        <v>0</v>
      </c>
    </row>
    <row r="616" spans="1:7" x14ac:dyDescent="0.2">
      <c r="A61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","#",3))+1,1)&amp;"-"&amp;LEFT(Educator!B621, 3)&amp;"-"&amp;LEFT(Educator!A621, 3)&amp;"-"&amp;IF(ISNUMBER(Educator!D621),"G"&amp;Educator!D621,Educator!D621)&amp;"-"&amp;"2027"</f>
        <v>CID-FLH----2027</v>
      </c>
      <c r="B616" s="49" t="b">
        <f>IF(Educator!A621&gt;0,"topscorewriting.instructure.com")</f>
        <v>0</v>
      </c>
      <c r="C616" s="49" t="str">
        <f>Users!A616</f>
        <v>UID-FLH---2027</v>
      </c>
      <c r="D616" s="49" t="s">
        <v>103</v>
      </c>
      <c r="G616" s="49" t="b">
        <f>IF(Educator!B621&gt;0,"active")</f>
        <v>0</v>
      </c>
    </row>
    <row r="617" spans="1:7" x14ac:dyDescent="0.2">
      <c r="A61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","#",3))+1,1)&amp;"-"&amp;LEFT(Educator!B622, 3)&amp;"-"&amp;LEFT(Educator!A622, 3)&amp;"-"&amp;IF(ISNUMBER(Educator!D622),"G"&amp;Educator!D622,Educator!D622)&amp;"-"&amp;"2027"</f>
        <v>CID-FLH----2027</v>
      </c>
      <c r="B617" s="49" t="b">
        <f>IF(Educator!A622&gt;0,"topscorewriting.instructure.com")</f>
        <v>0</v>
      </c>
      <c r="C617" s="49" t="str">
        <f>Users!A617</f>
        <v>UID-FLH---2027</v>
      </c>
      <c r="D617" s="49" t="s">
        <v>103</v>
      </c>
      <c r="G617" s="49" t="b">
        <f>IF(Educator!B622&gt;0,"active")</f>
        <v>0</v>
      </c>
    </row>
    <row r="618" spans="1:7" x14ac:dyDescent="0.2">
      <c r="A61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","#",3))+1,1)&amp;"-"&amp;LEFT(Educator!B623, 3)&amp;"-"&amp;LEFT(Educator!A623, 3)&amp;"-"&amp;IF(ISNUMBER(Educator!D623),"G"&amp;Educator!D623,Educator!D623)&amp;"-"&amp;"2027"</f>
        <v>CID-FLH----2027</v>
      </c>
      <c r="B618" s="49" t="b">
        <f>IF(Educator!A623&gt;0,"topscorewriting.instructure.com")</f>
        <v>0</v>
      </c>
      <c r="C618" s="49" t="str">
        <f>Users!A618</f>
        <v>UID-FLH---2027</v>
      </c>
      <c r="D618" s="49" t="s">
        <v>103</v>
      </c>
      <c r="G618" s="49" t="b">
        <f>IF(Educator!B623&gt;0,"active")</f>
        <v>0</v>
      </c>
    </row>
    <row r="619" spans="1:7" x14ac:dyDescent="0.2">
      <c r="A61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","#",3))+1,1)&amp;"-"&amp;LEFT(Educator!B624, 3)&amp;"-"&amp;LEFT(Educator!A624, 3)&amp;"-"&amp;IF(ISNUMBER(Educator!D624),"G"&amp;Educator!D624,Educator!D624)&amp;"-"&amp;"2027"</f>
        <v>CID-FLH----2027</v>
      </c>
      <c r="B619" s="49" t="b">
        <f>IF(Educator!A624&gt;0,"topscorewriting.instructure.com")</f>
        <v>0</v>
      </c>
      <c r="C619" s="49" t="str">
        <f>Users!A619</f>
        <v>UID-FLH---2027</v>
      </c>
      <c r="D619" s="49" t="s">
        <v>103</v>
      </c>
      <c r="G619" s="49" t="b">
        <f>IF(Educator!B624&gt;0,"active")</f>
        <v>0</v>
      </c>
    </row>
    <row r="620" spans="1:7" x14ac:dyDescent="0.2">
      <c r="A62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","#",3))+1,1)&amp;"-"&amp;LEFT(Educator!B625, 3)&amp;"-"&amp;LEFT(Educator!A625, 3)&amp;"-"&amp;IF(ISNUMBER(Educator!D625),"G"&amp;Educator!D625,Educator!D625)&amp;"-"&amp;"2027"</f>
        <v>CID-FLH----2027</v>
      </c>
      <c r="B620" s="49" t="b">
        <f>IF(Educator!A625&gt;0,"topscorewriting.instructure.com")</f>
        <v>0</v>
      </c>
      <c r="C620" s="49" t="str">
        <f>Users!A620</f>
        <v>UID-FLH---2027</v>
      </c>
      <c r="D620" s="49" t="s">
        <v>103</v>
      </c>
      <c r="G620" s="49" t="b">
        <f>IF(Educator!B625&gt;0,"active")</f>
        <v>0</v>
      </c>
    </row>
    <row r="621" spans="1:7" x14ac:dyDescent="0.2">
      <c r="A62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","#",3))+1,1)&amp;"-"&amp;LEFT(Educator!B626, 3)&amp;"-"&amp;LEFT(Educator!A626, 3)&amp;"-"&amp;IF(ISNUMBER(Educator!D626),"G"&amp;Educator!D626,Educator!D626)&amp;"-"&amp;"2027"</f>
        <v>CID-FLH----2027</v>
      </c>
      <c r="B621" s="49" t="b">
        <f>IF(Educator!A626&gt;0,"topscorewriting.instructure.com")</f>
        <v>0</v>
      </c>
      <c r="C621" s="49" t="str">
        <f>Users!A621</f>
        <v>UID-FLH---2027</v>
      </c>
      <c r="D621" s="49" t="s">
        <v>103</v>
      </c>
      <c r="G621" s="49" t="b">
        <f>IF(Educator!B626&gt;0,"active")</f>
        <v>0</v>
      </c>
    </row>
    <row r="622" spans="1:7" x14ac:dyDescent="0.2">
      <c r="A62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","#",3))+1,1)&amp;"-"&amp;LEFT(Educator!B627, 3)&amp;"-"&amp;LEFT(Educator!A627, 3)&amp;"-"&amp;IF(ISNUMBER(Educator!D627),"G"&amp;Educator!D627,Educator!D627)&amp;"-"&amp;"2027"</f>
        <v>CID-FLH----2027</v>
      </c>
      <c r="B622" s="49" t="b">
        <f>IF(Educator!A627&gt;0,"topscorewriting.instructure.com")</f>
        <v>0</v>
      </c>
      <c r="C622" s="49" t="str">
        <f>Users!A622</f>
        <v>UID-FLH---2027</v>
      </c>
      <c r="D622" s="49" t="s">
        <v>103</v>
      </c>
      <c r="G622" s="49" t="b">
        <f>IF(Educator!B627&gt;0,"active")</f>
        <v>0</v>
      </c>
    </row>
    <row r="623" spans="1:7" x14ac:dyDescent="0.2">
      <c r="A62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","#",3))+1,1)&amp;"-"&amp;LEFT(Educator!B628, 3)&amp;"-"&amp;LEFT(Educator!A628, 3)&amp;"-"&amp;IF(ISNUMBER(Educator!D628),"G"&amp;Educator!D628,Educator!D628)&amp;"-"&amp;"2027"</f>
        <v>CID-FLH----2027</v>
      </c>
      <c r="B623" s="49" t="b">
        <f>IF(Educator!A628&gt;0,"topscorewriting.instructure.com")</f>
        <v>0</v>
      </c>
      <c r="C623" s="49" t="str">
        <f>Users!A623</f>
        <v>UID-FLH---2027</v>
      </c>
      <c r="D623" s="49" t="s">
        <v>103</v>
      </c>
      <c r="G623" s="49" t="b">
        <f>IF(Educator!B628&gt;0,"active")</f>
        <v>0</v>
      </c>
    </row>
    <row r="624" spans="1:7" x14ac:dyDescent="0.2">
      <c r="A62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","#",3))+1,1)&amp;"-"&amp;LEFT(Educator!B629, 3)&amp;"-"&amp;LEFT(Educator!A629, 3)&amp;"-"&amp;IF(ISNUMBER(Educator!D629),"G"&amp;Educator!D629,Educator!D629)&amp;"-"&amp;"2027"</f>
        <v>CID-FLH----2027</v>
      </c>
      <c r="B624" s="49" t="b">
        <f>IF(Educator!A629&gt;0,"topscorewriting.instructure.com")</f>
        <v>0</v>
      </c>
      <c r="C624" s="49" t="str">
        <f>Users!A624</f>
        <v>UID-FLH---2027</v>
      </c>
      <c r="D624" s="49" t="s">
        <v>103</v>
      </c>
      <c r="G624" s="49" t="b">
        <f>IF(Educator!B629&gt;0,"active")</f>
        <v>0</v>
      </c>
    </row>
    <row r="625" spans="1:7" x14ac:dyDescent="0.2">
      <c r="A62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","#",3))+1,1)&amp;"-"&amp;LEFT(Educator!B630, 3)&amp;"-"&amp;LEFT(Educator!A630, 3)&amp;"-"&amp;IF(ISNUMBER(Educator!D630),"G"&amp;Educator!D630,Educator!D630)&amp;"-"&amp;"2027"</f>
        <v>CID-FLH----2027</v>
      </c>
      <c r="B625" s="49" t="b">
        <f>IF(Educator!A630&gt;0,"topscorewriting.instructure.com")</f>
        <v>0</v>
      </c>
      <c r="C625" s="49" t="str">
        <f>Users!A625</f>
        <v>UID-FLH---2027</v>
      </c>
      <c r="D625" s="49" t="s">
        <v>103</v>
      </c>
      <c r="G625" s="49" t="b">
        <f>IF(Educator!B630&gt;0,"active")</f>
        <v>0</v>
      </c>
    </row>
    <row r="626" spans="1:7" x14ac:dyDescent="0.2">
      <c r="A62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","#",3))+1,1)&amp;"-"&amp;LEFT(Educator!B631, 3)&amp;"-"&amp;LEFT(Educator!A631, 3)&amp;"-"&amp;IF(ISNUMBER(Educator!D631),"G"&amp;Educator!D631,Educator!D631)&amp;"-"&amp;"2027"</f>
        <v>CID-FLH----2027</v>
      </c>
      <c r="B626" s="49" t="b">
        <f>IF(Educator!A631&gt;0,"topscorewriting.instructure.com")</f>
        <v>0</v>
      </c>
      <c r="C626" s="49" t="str">
        <f>Users!A626</f>
        <v>UID-FLH---2027</v>
      </c>
      <c r="D626" s="49" t="s">
        <v>103</v>
      </c>
      <c r="G626" s="49" t="b">
        <f>IF(Educator!B631&gt;0,"active")</f>
        <v>0</v>
      </c>
    </row>
    <row r="627" spans="1:7" x14ac:dyDescent="0.2">
      <c r="A62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","#",3))+1,1)&amp;"-"&amp;LEFT(Educator!B632, 3)&amp;"-"&amp;LEFT(Educator!A632, 3)&amp;"-"&amp;IF(ISNUMBER(Educator!D632),"G"&amp;Educator!D632,Educator!D632)&amp;"-"&amp;"2027"</f>
        <v>CID-FLH----2027</v>
      </c>
      <c r="B627" s="49" t="b">
        <f>IF(Educator!A632&gt;0,"topscorewriting.instructure.com")</f>
        <v>0</v>
      </c>
      <c r="C627" s="49" t="str">
        <f>Users!A627</f>
        <v>UID-FLH---2027</v>
      </c>
      <c r="D627" s="49" t="s">
        <v>103</v>
      </c>
      <c r="G627" s="49" t="b">
        <f>IF(Educator!B632&gt;0,"active")</f>
        <v>0</v>
      </c>
    </row>
    <row r="628" spans="1:7" x14ac:dyDescent="0.2">
      <c r="A62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","#",3))+1,1)&amp;"-"&amp;LEFT(Educator!B633, 3)&amp;"-"&amp;LEFT(Educator!A633, 3)&amp;"-"&amp;IF(ISNUMBER(Educator!D633),"G"&amp;Educator!D633,Educator!D633)&amp;"-"&amp;"2027"</f>
        <v>CID-FLH----2027</v>
      </c>
      <c r="B628" s="49" t="b">
        <f>IF(Educator!A633&gt;0,"topscorewriting.instructure.com")</f>
        <v>0</v>
      </c>
      <c r="C628" s="49" t="str">
        <f>Users!A628</f>
        <v>UID-FLH---2027</v>
      </c>
      <c r="D628" s="49" t="s">
        <v>103</v>
      </c>
      <c r="G628" s="49" t="b">
        <f>IF(Educator!B633&gt;0,"active")</f>
        <v>0</v>
      </c>
    </row>
    <row r="629" spans="1:7" x14ac:dyDescent="0.2">
      <c r="A62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","#",3))+1,1)&amp;"-"&amp;LEFT(Educator!B634, 3)&amp;"-"&amp;LEFT(Educator!A634, 3)&amp;"-"&amp;IF(ISNUMBER(Educator!D634),"G"&amp;Educator!D634,Educator!D634)&amp;"-"&amp;"2027"</f>
        <v>CID-FLH----2027</v>
      </c>
      <c r="B629" s="49" t="b">
        <f>IF(Educator!A634&gt;0,"topscorewriting.instructure.com")</f>
        <v>0</v>
      </c>
      <c r="C629" s="49" t="str">
        <f>Users!A629</f>
        <v>UID-FLH---2027</v>
      </c>
      <c r="D629" s="49" t="s">
        <v>103</v>
      </c>
      <c r="G629" s="49" t="b">
        <f>IF(Educator!B634&gt;0,"active")</f>
        <v>0</v>
      </c>
    </row>
    <row r="630" spans="1:7" x14ac:dyDescent="0.2">
      <c r="A63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","#",3))+1,1)&amp;"-"&amp;LEFT(Educator!B635, 3)&amp;"-"&amp;LEFT(Educator!A635, 3)&amp;"-"&amp;IF(ISNUMBER(Educator!D635),"G"&amp;Educator!D635,Educator!D635)&amp;"-"&amp;"2027"</f>
        <v>CID-FLH----2027</v>
      </c>
      <c r="B630" s="49" t="b">
        <f>IF(Educator!A635&gt;0,"topscorewriting.instructure.com")</f>
        <v>0</v>
      </c>
      <c r="C630" s="49" t="str">
        <f>Users!A630</f>
        <v>UID-FLH---2027</v>
      </c>
      <c r="D630" s="49" t="s">
        <v>103</v>
      </c>
      <c r="G630" s="49" t="b">
        <f>IF(Educator!B635&gt;0,"active")</f>
        <v>0</v>
      </c>
    </row>
    <row r="631" spans="1:7" x14ac:dyDescent="0.2">
      <c r="A63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","#",3))+1,1)&amp;"-"&amp;LEFT(Educator!B636, 3)&amp;"-"&amp;LEFT(Educator!A636, 3)&amp;"-"&amp;IF(ISNUMBER(Educator!D636),"G"&amp;Educator!D636,Educator!D636)&amp;"-"&amp;"2027"</f>
        <v>CID-FLH----2027</v>
      </c>
      <c r="B631" s="49" t="b">
        <f>IF(Educator!A636&gt;0,"topscorewriting.instructure.com")</f>
        <v>0</v>
      </c>
      <c r="C631" s="49" t="str">
        <f>Users!A631</f>
        <v>UID-FLH---2027</v>
      </c>
      <c r="D631" s="49" t="s">
        <v>103</v>
      </c>
      <c r="G631" s="49" t="b">
        <f>IF(Educator!B636&gt;0,"active")</f>
        <v>0</v>
      </c>
    </row>
    <row r="632" spans="1:7" x14ac:dyDescent="0.2">
      <c r="A63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","#",3))+1,1)&amp;"-"&amp;LEFT(Educator!B637, 3)&amp;"-"&amp;LEFT(Educator!A637, 3)&amp;"-"&amp;IF(ISNUMBER(Educator!D637),"G"&amp;Educator!D637,Educator!D637)&amp;"-"&amp;"2027"</f>
        <v>CID-FLH----2027</v>
      </c>
      <c r="B632" s="49" t="b">
        <f>IF(Educator!A637&gt;0,"topscorewriting.instructure.com")</f>
        <v>0</v>
      </c>
      <c r="C632" s="49" t="str">
        <f>Users!A632</f>
        <v>UID-FLH---2027</v>
      </c>
      <c r="D632" s="49" t="s">
        <v>103</v>
      </c>
      <c r="G632" s="49" t="b">
        <f>IF(Educator!B637&gt;0,"active")</f>
        <v>0</v>
      </c>
    </row>
    <row r="633" spans="1:7" x14ac:dyDescent="0.2">
      <c r="A63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","#",3))+1,1)&amp;"-"&amp;LEFT(Educator!B638, 3)&amp;"-"&amp;LEFT(Educator!A638, 3)&amp;"-"&amp;IF(ISNUMBER(Educator!D638),"G"&amp;Educator!D638,Educator!D638)&amp;"-"&amp;"2027"</f>
        <v>CID-FLH----2027</v>
      </c>
      <c r="B633" s="49" t="b">
        <f>IF(Educator!A638&gt;0,"topscorewriting.instructure.com")</f>
        <v>0</v>
      </c>
      <c r="C633" s="49" t="str">
        <f>Users!A633</f>
        <v>UID-FLH---2027</v>
      </c>
      <c r="D633" s="49" t="s">
        <v>103</v>
      </c>
      <c r="G633" s="49" t="b">
        <f>IF(Educator!B638&gt;0,"active")</f>
        <v>0</v>
      </c>
    </row>
    <row r="634" spans="1:7" x14ac:dyDescent="0.2">
      <c r="A63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","#",3))+1,1)&amp;"-"&amp;LEFT(Educator!B639, 3)&amp;"-"&amp;LEFT(Educator!A639, 3)&amp;"-"&amp;IF(ISNUMBER(Educator!D639),"G"&amp;Educator!D639,Educator!D639)&amp;"-"&amp;"2027"</f>
        <v>CID-FLH----2027</v>
      </c>
      <c r="B634" s="49" t="b">
        <f>IF(Educator!A639&gt;0,"topscorewriting.instructure.com")</f>
        <v>0</v>
      </c>
      <c r="C634" s="49" t="str">
        <f>Users!A634</f>
        <v>UID-FLH---2027</v>
      </c>
      <c r="D634" s="49" t="s">
        <v>103</v>
      </c>
      <c r="G634" s="49" t="b">
        <f>IF(Educator!B639&gt;0,"active")</f>
        <v>0</v>
      </c>
    </row>
    <row r="635" spans="1:7" x14ac:dyDescent="0.2">
      <c r="A63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","#",3))+1,1)&amp;"-"&amp;LEFT(Educator!B640, 3)&amp;"-"&amp;LEFT(Educator!A640, 3)&amp;"-"&amp;IF(ISNUMBER(Educator!D640),"G"&amp;Educator!D640,Educator!D640)&amp;"-"&amp;"2027"</f>
        <v>CID-FLH----2027</v>
      </c>
      <c r="B635" s="49" t="b">
        <f>IF(Educator!A640&gt;0,"topscorewriting.instructure.com")</f>
        <v>0</v>
      </c>
      <c r="C635" s="49" t="str">
        <f>Users!A635</f>
        <v>UID-FLH---2027</v>
      </c>
      <c r="D635" s="49" t="s">
        <v>103</v>
      </c>
      <c r="G635" s="49" t="b">
        <f>IF(Educator!B640&gt;0,"active")</f>
        <v>0</v>
      </c>
    </row>
    <row r="636" spans="1:7" x14ac:dyDescent="0.2">
      <c r="A63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","#",3))+1,1)&amp;"-"&amp;LEFT(Educator!B641, 3)&amp;"-"&amp;LEFT(Educator!A641, 3)&amp;"-"&amp;IF(ISNUMBER(Educator!D641),"G"&amp;Educator!D641,Educator!D641)&amp;"-"&amp;"2027"</f>
        <v>CID-FLH----2027</v>
      </c>
      <c r="B636" s="49" t="b">
        <f>IF(Educator!A641&gt;0,"topscorewriting.instructure.com")</f>
        <v>0</v>
      </c>
      <c r="C636" s="49" t="str">
        <f>Users!A636</f>
        <v>UID-FLH---2027</v>
      </c>
      <c r="D636" s="49" t="s">
        <v>103</v>
      </c>
      <c r="G636" s="49" t="b">
        <f>IF(Educator!B641&gt;0,"active")</f>
        <v>0</v>
      </c>
    </row>
    <row r="637" spans="1:7" x14ac:dyDescent="0.2">
      <c r="A63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","#",3))+1,1)&amp;"-"&amp;LEFT(Educator!B642, 3)&amp;"-"&amp;LEFT(Educator!A642, 3)&amp;"-"&amp;IF(ISNUMBER(Educator!D642),"G"&amp;Educator!D642,Educator!D642)&amp;"-"&amp;"2027"</f>
        <v>CID-FLH----2027</v>
      </c>
      <c r="B637" s="49" t="b">
        <f>IF(Educator!A642&gt;0,"topscorewriting.instructure.com")</f>
        <v>0</v>
      </c>
      <c r="C637" s="49" t="str">
        <f>Users!A637</f>
        <v>UID-FLH---2027</v>
      </c>
      <c r="D637" s="49" t="s">
        <v>103</v>
      </c>
      <c r="G637" s="49" t="b">
        <f>IF(Educator!B642&gt;0,"active")</f>
        <v>0</v>
      </c>
    </row>
    <row r="638" spans="1:7" x14ac:dyDescent="0.2">
      <c r="A63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","#",3))+1,1)&amp;"-"&amp;LEFT(Educator!B643, 3)&amp;"-"&amp;LEFT(Educator!A643, 3)&amp;"-"&amp;IF(ISNUMBER(Educator!D643),"G"&amp;Educator!D643,Educator!D643)&amp;"-"&amp;"2027"</f>
        <v>CID-FLH----2027</v>
      </c>
      <c r="B638" s="49" t="b">
        <f>IF(Educator!A643&gt;0,"topscorewriting.instructure.com")</f>
        <v>0</v>
      </c>
      <c r="C638" s="49" t="str">
        <f>Users!A638</f>
        <v>UID-FLH---2027</v>
      </c>
      <c r="D638" s="49" t="s">
        <v>103</v>
      </c>
      <c r="G638" s="49" t="b">
        <f>IF(Educator!B643&gt;0,"active")</f>
        <v>0</v>
      </c>
    </row>
    <row r="639" spans="1:7" x14ac:dyDescent="0.2">
      <c r="A63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","#",3))+1,1)&amp;"-"&amp;LEFT(Educator!B644, 3)&amp;"-"&amp;LEFT(Educator!A644, 3)&amp;"-"&amp;IF(ISNUMBER(Educator!D644),"G"&amp;Educator!D644,Educator!D644)&amp;"-"&amp;"2027"</f>
        <v>CID-FLH----2027</v>
      </c>
      <c r="B639" s="49" t="b">
        <f>IF(Educator!A644&gt;0,"topscorewriting.instructure.com")</f>
        <v>0</v>
      </c>
      <c r="C639" s="49" t="str">
        <f>Users!A639</f>
        <v>UID-FLH---2027</v>
      </c>
      <c r="D639" s="49" t="s">
        <v>103</v>
      </c>
      <c r="G639" s="49" t="b">
        <f>IF(Educator!B644&gt;0,"active")</f>
        <v>0</v>
      </c>
    </row>
    <row r="640" spans="1:7" x14ac:dyDescent="0.2">
      <c r="A640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","#",3))+1,1)&amp;"-"&amp;LEFT(Educator!B645, 3)&amp;"-"&amp;LEFT(Educator!A645, 3)&amp;"-"&amp;IF(ISNUMBER(Educator!D645),"G"&amp;Educator!D645,Educator!D645)&amp;"-"&amp;"2027"</f>
        <v>CID-FLH----2027</v>
      </c>
      <c r="B640" s="49" t="b">
        <f>IF(Educator!A645&gt;0,"topscorewriting.instructure.com")</f>
        <v>0</v>
      </c>
      <c r="C640" s="49" t="str">
        <f>Users!A640</f>
        <v>UID-FLH---2027</v>
      </c>
      <c r="D640" s="49" t="s">
        <v>103</v>
      </c>
      <c r="G640" s="49" t="b">
        <f>IF(Educator!B645&gt;0,"active")</f>
        <v>0</v>
      </c>
    </row>
    <row r="641" spans="1:7" x14ac:dyDescent="0.2">
      <c r="A641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","#",3))+1,1)&amp;"-"&amp;LEFT(Educator!B646, 3)&amp;"-"&amp;LEFT(Educator!A646, 3)&amp;"-"&amp;IF(ISNUMBER(Educator!D646),"G"&amp;Educator!D646,Educator!D646)&amp;"-"&amp;"2027"</f>
        <v>CID-FLH----2027</v>
      </c>
      <c r="B641" s="49" t="b">
        <f>IF(Educator!A646&gt;0,"topscorewriting.instructure.com")</f>
        <v>0</v>
      </c>
      <c r="C641" s="49" t="str">
        <f>Users!A641</f>
        <v>UID-FLH---2027</v>
      </c>
      <c r="D641" s="49" t="s">
        <v>103</v>
      </c>
      <c r="G641" s="49" t="b">
        <f>IF(Educator!B646&gt;0,"active")</f>
        <v>0</v>
      </c>
    </row>
    <row r="642" spans="1:7" x14ac:dyDescent="0.2">
      <c r="A642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","#",3))+1,1)&amp;"-"&amp;LEFT(Educator!B647, 3)&amp;"-"&amp;LEFT(Educator!A647, 3)&amp;"-"&amp;IF(ISNUMBER(Educator!D647),"G"&amp;Educator!D647,Educator!D647)&amp;"-"&amp;"2027"</f>
        <v>CID-FLH----2027</v>
      </c>
      <c r="B642" s="49" t="b">
        <f>IF(Educator!A647&gt;0,"topscorewriting.instructure.com")</f>
        <v>0</v>
      </c>
      <c r="C642" s="49" t="str">
        <f>Users!A642</f>
        <v>UID-FLH---2027</v>
      </c>
      <c r="D642" s="49" t="s">
        <v>103</v>
      </c>
      <c r="G642" s="49" t="b">
        <f>IF(Educator!B647&gt;0,"active")</f>
        <v>0</v>
      </c>
    </row>
    <row r="643" spans="1:7" x14ac:dyDescent="0.2">
      <c r="A643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","#",3))+1,1)&amp;"-"&amp;LEFT(Educator!B648, 3)&amp;"-"&amp;LEFT(Educator!A648, 3)&amp;"-"&amp;IF(ISNUMBER(Educator!D648),"G"&amp;Educator!D648,Educator!D648)&amp;"-"&amp;"2027"</f>
        <v>CID-FLH----2027</v>
      </c>
      <c r="B643" s="49" t="b">
        <f>IF(Educator!A648&gt;0,"topscorewriting.instructure.com")</f>
        <v>0</v>
      </c>
      <c r="C643" s="49" t="str">
        <f>Users!A643</f>
        <v>UID-FLH---2027</v>
      </c>
      <c r="D643" s="49" t="s">
        <v>103</v>
      </c>
      <c r="G643" s="49" t="b">
        <f>IF(Educator!B648&gt;0,"active")</f>
        <v>0</v>
      </c>
    </row>
    <row r="644" spans="1:7" x14ac:dyDescent="0.2">
      <c r="A644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","#",3))+1,1)&amp;"-"&amp;LEFT(Educator!B649, 3)&amp;"-"&amp;LEFT(Educator!A649, 3)&amp;"-"&amp;IF(ISNUMBER(Educator!D649),"G"&amp;Educator!D649,Educator!D649)&amp;"-"&amp;"2027"</f>
        <v>CID-FLH----2027</v>
      </c>
      <c r="B644" s="49" t="b">
        <f>IF(Educator!A649&gt;0,"topscorewriting.instructure.com")</f>
        <v>0</v>
      </c>
      <c r="C644" s="49" t="str">
        <f>Users!A644</f>
        <v>UID-FLH---2027</v>
      </c>
      <c r="D644" s="49" t="s">
        <v>103</v>
      </c>
      <c r="G644" s="49" t="b">
        <f>IF(Educator!B649&gt;0,"active")</f>
        <v>0</v>
      </c>
    </row>
    <row r="645" spans="1:7" x14ac:dyDescent="0.2">
      <c r="A645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","#",3))+1,1)&amp;"-"&amp;LEFT(Educator!B650, 3)&amp;"-"&amp;LEFT(Educator!A650, 3)&amp;"-"&amp;IF(ISNUMBER(Educator!D650),"G"&amp;Educator!D650,Educator!D650)&amp;"-"&amp;"2027"</f>
        <v>CID-FLH----2027</v>
      </c>
      <c r="B645" s="49" t="b">
        <f>IF(Educator!A650&gt;0,"topscorewriting.instructure.com")</f>
        <v>0</v>
      </c>
      <c r="C645" s="49" t="str">
        <f>Users!A645</f>
        <v>UID-FLH---2027</v>
      </c>
      <c r="D645" s="49" t="s">
        <v>103</v>
      </c>
      <c r="G645" s="49" t="b">
        <f>IF(Educator!B650&gt;0,"active")</f>
        <v>0</v>
      </c>
    </row>
    <row r="646" spans="1:7" x14ac:dyDescent="0.2">
      <c r="A646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","#",3))+1,1)&amp;"-"&amp;LEFT(Educator!B651, 3)&amp;"-"&amp;LEFT(Educator!A651, 3)&amp;"-"&amp;IF(ISNUMBER(Educator!D651),"G"&amp;Educator!D651,Educator!D651)&amp;"-"&amp;"2027"</f>
        <v>CID-FLH----2027</v>
      </c>
      <c r="B646" s="49" t="b">
        <f>IF(Educator!A651&gt;0,"topscorewriting.instructure.com")</f>
        <v>0</v>
      </c>
      <c r="C646" s="49" t="str">
        <f>Users!A646</f>
        <v>UID-FLH---2027</v>
      </c>
      <c r="D646" s="49" t="s">
        <v>103</v>
      </c>
      <c r="G646" s="49" t="b">
        <f>IF(Educator!B651&gt;0,"active")</f>
        <v>0</v>
      </c>
    </row>
    <row r="647" spans="1:7" x14ac:dyDescent="0.2">
      <c r="A647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","#",3))+1,1)&amp;"-"&amp;LEFT(Educator!B652, 3)&amp;"-"&amp;LEFT(Educator!A652, 3)&amp;"-"&amp;IF(ISNUMBER(Educator!D652),"G"&amp;Educator!D652,Educator!D652)&amp;"-"&amp;"2027"</f>
        <v>CID-FLH----2027</v>
      </c>
      <c r="B647" s="49" t="b">
        <f>IF(Educator!A652&gt;0,"topscorewriting.instructure.com")</f>
        <v>0</v>
      </c>
      <c r="C647" s="49" t="str">
        <f>Users!A647</f>
        <v>UID-FLH---2027</v>
      </c>
      <c r="D647" s="49" t="s">
        <v>103</v>
      </c>
      <c r="G647" s="49" t="b">
        <f>IF(Educator!B652&gt;0,"active")</f>
        <v>0</v>
      </c>
    </row>
    <row r="648" spans="1:7" x14ac:dyDescent="0.2">
      <c r="A648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","#",3))+1,1)&amp;"-"&amp;LEFT(Educator!B653, 3)&amp;"-"&amp;LEFT(Educator!A653, 3)&amp;"-"&amp;IF(ISNUMBER(Educator!D653),"G"&amp;Educator!D653,Educator!D653)&amp;"-"&amp;"2027"</f>
        <v>CID-FLH----2027</v>
      </c>
      <c r="B648" s="49" t="b">
        <f>IF(Educator!A653&gt;0,"topscorewriting.instructure.com")</f>
        <v>0</v>
      </c>
      <c r="C648" s="49" t="str">
        <f>Users!A648</f>
        <v>UID-FLH---2027</v>
      </c>
      <c r="D648" s="49" t="s">
        <v>103</v>
      </c>
      <c r="G648" s="49" t="b">
        <f>IF(Educator!B653&gt;0,"active")</f>
        <v>0</v>
      </c>
    </row>
    <row r="649" spans="1:7" x14ac:dyDescent="0.2">
      <c r="A649" s="49" t="str">
        <f>Educator!$K$2&amp; (LEFT(Educator!$B$4)&amp;MID(Educator!$B$4,FIND("#",SUBSTITUTE(Educator!$B$4&amp;" "," ","#",1))+1,1)&amp;MID(Educator!$B$4,FIND("#",SUBSTITUTE(Educator!$B$4&amp;" "," ","#",2))+1,1))&amp;MID(Educator!$B$4,FIND("#",SUBSTITUTE(Educator!$B$4&amp;" "," ","#",3))+1,1)&amp;"-"&amp;LEFT(Educator!B654, 3)&amp;"-"&amp;LEFT(Educator!A654, 3)&amp;"-"&amp;IF(ISNUMBER(Educator!D654),"G"&amp;Educator!D654,Educator!D654)&amp;"-"&amp;"2027"</f>
        <v>CID-FLH----2027</v>
      </c>
      <c r="B649" s="49" t="b">
        <f>IF(Educator!A654&gt;0,"topscorewriting.instructure.com")</f>
        <v>0</v>
      </c>
      <c r="C649" s="49" t="str">
        <f>Users!A649</f>
        <v>UID-FLH---2027</v>
      </c>
      <c r="D649" s="49" t="s">
        <v>103</v>
      </c>
      <c r="G649" s="49" t="b">
        <f>IF(Educator!B654&gt;0,"active")</f>
        <v>0</v>
      </c>
    </row>
  </sheetData>
  <conditionalFormatting sqref="G1:G1048576">
    <cfRule type="cellIs" dxfId="0" priority="1" operator="equal">
      <formula>"active"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Email</vt:lpstr>
      <vt:lpstr>Courses Legend</vt:lpstr>
      <vt:lpstr>Educator</vt:lpstr>
      <vt:lpstr>Users</vt:lpstr>
      <vt:lpstr>Courses</vt:lpstr>
      <vt:lpstr>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Charlene Gillego</cp:lastModifiedBy>
  <dcterms:created xsi:type="dcterms:W3CDTF">2017-08-08T16:53:12Z</dcterms:created>
  <dcterms:modified xsi:type="dcterms:W3CDTF">2026-06-25T11:36:26Z</dcterms:modified>
</cp:coreProperties>
</file>